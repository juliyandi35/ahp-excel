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Research Consultant Projects\Project AHP\"/>
    </mc:Choice>
  </mc:AlternateContent>
  <xr:revisionPtr revIDLastSave="0" documentId="13_ncr:1_{7DBF891C-2191-4D6B-A3B5-1B28C3C964CB}" xr6:coauthVersionLast="47" xr6:coauthVersionMax="47" xr10:uidLastSave="{00000000-0000-0000-0000-000000000000}"/>
  <bookViews>
    <workbookView xWindow="-98" yWindow="-98" windowWidth="19396" windowHeight="11475" firstSheet="19" activeTab="19" xr2:uid="{CFE2264B-ABAE-1243-B279-1422BE88CEFC}"/>
  </bookViews>
  <sheets>
    <sheet name="Ranking (DPRD)" sheetId="17" r:id="rId1"/>
    <sheet name="Ranking (Jefri)" sheetId="16" r:id="rId2"/>
    <sheet name="Ranking (Jhon)" sheetId="13" r:id="rId3"/>
    <sheet name="AHP (Jhon)" sheetId="12" r:id="rId4"/>
    <sheet name="AHP (Jefri)" sheetId="14" r:id="rId5"/>
    <sheet name="AHP (DPRD)" sheetId="15" r:id="rId6"/>
    <sheet name="Pairw Comp Matrix" sheetId="11" r:id="rId7"/>
    <sheet name="PERBANDINGAN KRITERIA" sheetId="5" r:id="rId8"/>
    <sheet name="PERSENTASE KERUSAKAN GEDUNG" sheetId="1" r:id="rId9"/>
    <sheet name="LOKASI GEDUNG" sheetId="2" r:id="rId10"/>
    <sheet name="USIA BANGUNAN" sheetId="3" r:id="rId11"/>
    <sheet name="JUMLAH SISWA" sheetId="4" r:id="rId12"/>
    <sheet name="OLAH DATA KRITERIA" sheetId="6" r:id="rId13"/>
    <sheet name="NORMALISASI % KERUSAKAN GEDUNG" sheetId="7" r:id="rId14"/>
    <sheet name="AHP &amp; Rank (% Kerusakan)" sheetId="18" r:id="rId15"/>
    <sheet name="NORMALISASI LOKASI GEDUNG" sheetId="8" r:id="rId16"/>
    <sheet name="AHP &amp; Rank (Lokasi Gedung)" sheetId="19" r:id="rId17"/>
    <sheet name="NORMALISASI USIA BANGUNAN" sheetId="9" r:id="rId18"/>
    <sheet name="AHP &amp; Rank (Usia Gedung)" sheetId="20" r:id="rId19"/>
    <sheet name="NORMALISASI JUMLAH SISWA" sheetId="10" r:id="rId20"/>
    <sheet name="AHP &amp; Rank (Jumlah Siswa)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0" i="10" l="1"/>
  <c r="AE9" i="10"/>
  <c r="J5" i="21"/>
  <c r="AE8" i="10"/>
  <c r="AE7" i="10"/>
  <c r="X14" i="10"/>
  <c r="AE6" i="10"/>
  <c r="AD7" i="10"/>
  <c r="X12" i="10"/>
  <c r="AB8" i="10"/>
  <c r="G4" i="21"/>
  <c r="D7" i="21" s="1"/>
  <c r="AB7" i="10"/>
  <c r="AA9" i="10"/>
  <c r="F5" i="21" s="1"/>
  <c r="AA8" i="10"/>
  <c r="Y10" i="10" s="1"/>
  <c r="AA7" i="10"/>
  <c r="AA6" i="10"/>
  <c r="Z8" i="10"/>
  <c r="Y9" i="10"/>
  <c r="Z7" i="10"/>
  <c r="Y7" i="10"/>
  <c r="Y6" i="10"/>
  <c r="X10" i="10"/>
  <c r="Z117" i="10"/>
  <c r="AA118" i="10"/>
  <c r="F4" i="21" s="1"/>
  <c r="Y120" i="10"/>
  <c r="AA119" i="10"/>
  <c r="AE123" i="10"/>
  <c r="AE122" i="10"/>
  <c r="J8" i="21"/>
  <c r="H10" i="21" s="1"/>
  <c r="AE121" i="10"/>
  <c r="AE117" i="10"/>
  <c r="AD124" i="10"/>
  <c r="AK117" i="10"/>
  <c r="P3" i="21"/>
  <c r="X116" i="10"/>
  <c r="C2" i="21"/>
  <c r="B3" i="21" s="1"/>
  <c r="AC130" i="10"/>
  <c r="AC129" i="10"/>
  <c r="AC128" i="10"/>
  <c r="AC127" i="10"/>
  <c r="D2" i="21"/>
  <c r="O13" i="20"/>
  <c r="AK128" i="10"/>
  <c r="AJ128" i="10"/>
  <c r="AJ127" i="10"/>
  <c r="AI127" i="10"/>
  <c r="AK126" i="10"/>
  <c r="AK125" i="10"/>
  <c r="AJ125" i="10"/>
  <c r="AI125" i="10"/>
  <c r="AH125" i="10"/>
  <c r="AG125" i="10"/>
  <c r="AK124" i="10"/>
  <c r="AK123" i="10"/>
  <c r="AH123" i="10"/>
  <c r="AG123" i="10"/>
  <c r="AF123" i="10"/>
  <c r="AK122" i="10"/>
  <c r="AH122" i="10"/>
  <c r="AG122" i="10"/>
  <c r="AK121" i="10"/>
  <c r="AH121" i="10"/>
  <c r="AG121" i="10"/>
  <c r="AK119" i="10"/>
  <c r="AG119" i="10"/>
  <c r="Z126" i="10" s="1"/>
  <c r="AE119" i="10"/>
  <c r="AK118" i="10"/>
  <c r="AJ118" i="10"/>
  <c r="AI118" i="10"/>
  <c r="AH118" i="10"/>
  <c r="AG118" i="10"/>
  <c r="AB118" i="10"/>
  <c r="Z118" i="10"/>
  <c r="AI117" i="10"/>
  <c r="AH117" i="10"/>
  <c r="AG117" i="10"/>
  <c r="AF117" i="10"/>
  <c r="J3" i="21"/>
  <c r="AD117" i="10"/>
  <c r="I3" i="21" s="1"/>
  <c r="C9" i="21" s="1"/>
  <c r="AC117" i="10"/>
  <c r="H3" i="21" s="1"/>
  <c r="C8" i="21" s="1"/>
  <c r="AB117" i="10"/>
  <c r="AA117" i="10"/>
  <c r="AK116" i="10"/>
  <c r="AG116" i="10"/>
  <c r="AE116" i="10"/>
  <c r="AA116" i="10"/>
  <c r="AJ18" i="10"/>
  <c r="AJ17" i="10"/>
  <c r="AJ16" i="10"/>
  <c r="AJ15" i="10"/>
  <c r="O11" i="21" s="1"/>
  <c r="K15" i="21" s="1"/>
  <c r="AJ14" i="10"/>
  <c r="AK8" i="10"/>
  <c r="AJ8" i="10"/>
  <c r="AI8" i="10"/>
  <c r="AH8" i="10"/>
  <c r="AG8" i="10"/>
  <c r="AJ7" i="10"/>
  <c r="AJ6" i="10"/>
  <c r="O2" i="21" s="1"/>
  <c r="AK128" i="9"/>
  <c r="AJ128" i="9"/>
  <c r="AK127" i="9"/>
  <c r="AJ127" i="9"/>
  <c r="AI127" i="9"/>
  <c r="AK126" i="9"/>
  <c r="AJ126" i="9"/>
  <c r="AI126" i="9"/>
  <c r="AH126" i="9"/>
  <c r="AG127" i="9" s="1"/>
  <c r="AK124" i="9"/>
  <c r="AE130" i="9" s="1"/>
  <c r="AJ124" i="9"/>
  <c r="AI124" i="9"/>
  <c r="AE128" i="9" s="1"/>
  <c r="AH124" i="9"/>
  <c r="L10" i="20"/>
  <c r="J12" i="20" s="1"/>
  <c r="AF124" i="9"/>
  <c r="AK123" i="9"/>
  <c r="AJ123" i="9"/>
  <c r="AI123" i="9"/>
  <c r="AH123" i="9"/>
  <c r="AF123" i="9"/>
  <c r="AK122" i="9"/>
  <c r="AJ122" i="9"/>
  <c r="AI122" i="9"/>
  <c r="AH122" i="9"/>
  <c r="AF122" i="9"/>
  <c r="K8" i="20" s="1"/>
  <c r="H11" i="20" s="1"/>
  <c r="AK121" i="9"/>
  <c r="AJ121" i="9"/>
  <c r="AI121" i="9"/>
  <c r="AH121" i="9"/>
  <c r="AG121" i="9"/>
  <c r="AF121" i="9"/>
  <c r="AE121" i="9"/>
  <c r="AD121" i="9"/>
  <c r="AC121" i="9"/>
  <c r="H7" i="20" s="1"/>
  <c r="AK120" i="9"/>
  <c r="AJ120" i="9"/>
  <c r="AI120" i="9"/>
  <c r="AH120" i="9"/>
  <c r="AG120" i="9"/>
  <c r="AF120" i="9"/>
  <c r="AE120" i="9"/>
  <c r="AD120" i="9"/>
  <c r="AC120" i="9"/>
  <c r="AK119" i="9"/>
  <c r="Z130" i="9" s="1"/>
  <c r="AJ119" i="9"/>
  <c r="AI119" i="9"/>
  <c r="AH119" i="9"/>
  <c r="AF119" i="9"/>
  <c r="AJ118" i="9"/>
  <c r="Y129" i="9" s="1"/>
  <c r="AF118" i="9"/>
  <c r="AC118" i="9"/>
  <c r="AK117" i="9"/>
  <c r="AJ117" i="9"/>
  <c r="AI117" i="9"/>
  <c r="AH117" i="9"/>
  <c r="AG117" i="9"/>
  <c r="AF117" i="9"/>
  <c r="X125" i="9" s="1"/>
  <c r="AE117" i="9"/>
  <c r="AD117" i="9"/>
  <c r="AC117" i="9"/>
  <c r="Z117" i="9"/>
  <c r="Y117" i="9"/>
  <c r="AJ116" i="9"/>
  <c r="AF116" i="9"/>
  <c r="AE116" i="9"/>
  <c r="Y116" i="9"/>
  <c r="AH19" i="9"/>
  <c r="AJ10" i="9"/>
  <c r="AJ18" i="9"/>
  <c r="O14" i="20" s="1"/>
  <c r="N15" i="20" s="1"/>
  <c r="AJ17" i="9"/>
  <c r="AJ16" i="9"/>
  <c r="AJ14" i="9"/>
  <c r="AJ13" i="9"/>
  <c r="AC19" i="9" s="1"/>
  <c r="AJ12" i="9"/>
  <c r="O7" i="20" s="1"/>
  <c r="G15" i="20" s="1"/>
  <c r="AJ11" i="9"/>
  <c r="AJ9" i="9"/>
  <c r="AJ8" i="9"/>
  <c r="O4" i="20" s="1"/>
  <c r="D15" i="20" s="1"/>
  <c r="AG8" i="9"/>
  <c r="AF8" i="9"/>
  <c r="AC8" i="9"/>
  <c r="AJ7" i="9"/>
  <c r="Y7" i="9"/>
  <c r="AJ6" i="9"/>
  <c r="Y6" i="9"/>
  <c r="Y240" i="8"/>
  <c r="Y239" i="8"/>
  <c r="Y238" i="8"/>
  <c r="Y237" i="8"/>
  <c r="Y236" i="8"/>
  <c r="Y235" i="8"/>
  <c r="Y234" i="8"/>
  <c r="Y233" i="8"/>
  <c r="Y229" i="8"/>
  <c r="Y232" i="8"/>
  <c r="AK128" i="8"/>
  <c r="AJ128" i="8"/>
  <c r="AK126" i="8"/>
  <c r="AJ126" i="8"/>
  <c r="AI126" i="8"/>
  <c r="AH126" i="8"/>
  <c r="AK124" i="8"/>
  <c r="AJ124" i="8"/>
  <c r="AE129" i="8" s="1"/>
  <c r="AI124" i="8"/>
  <c r="N10" i="19" s="1"/>
  <c r="J14" i="19" s="1"/>
  <c r="AH124" i="8"/>
  <c r="AG124" i="8"/>
  <c r="AF124" i="8"/>
  <c r="AK123" i="8"/>
  <c r="AJ123" i="8"/>
  <c r="AI123" i="8"/>
  <c r="AH123" i="8"/>
  <c r="AG123" i="8"/>
  <c r="AF123" i="8"/>
  <c r="AE123" i="8"/>
  <c r="AK122" i="8"/>
  <c r="AJ122" i="8"/>
  <c r="AI122" i="8"/>
  <c r="AH122" i="8"/>
  <c r="AG122" i="8"/>
  <c r="AF122" i="8"/>
  <c r="AK121" i="8"/>
  <c r="AJ121" i="8"/>
  <c r="AB129" i="8" s="1"/>
  <c r="AI121" i="8"/>
  <c r="AH121" i="8"/>
  <c r="AG121" i="8"/>
  <c r="AF121" i="8"/>
  <c r="AE121" i="8"/>
  <c r="AD121" i="8"/>
  <c r="AB123" i="8" s="1"/>
  <c r="AC121" i="8"/>
  <c r="AB122" i="8" s="1"/>
  <c r="AK120" i="8"/>
  <c r="AJ120" i="8"/>
  <c r="AA129" i="8" s="1"/>
  <c r="AI120" i="8"/>
  <c r="AH120" i="8"/>
  <c r="AG120" i="8"/>
  <c r="AF120" i="8"/>
  <c r="AE120" i="8"/>
  <c r="AD120" i="8"/>
  <c r="AC120" i="8"/>
  <c r="AK119" i="8"/>
  <c r="Z130" i="8" s="1"/>
  <c r="AJ119" i="8"/>
  <c r="AI119" i="8"/>
  <c r="AH119" i="8"/>
  <c r="AG119" i="8"/>
  <c r="AF119" i="8"/>
  <c r="AE119" i="8"/>
  <c r="AD119" i="8"/>
  <c r="AC119" i="8"/>
  <c r="AK118" i="8"/>
  <c r="AJ118" i="8"/>
  <c r="AI118" i="8"/>
  <c r="Y128" i="8" s="1"/>
  <c r="AH118" i="8"/>
  <c r="AG118" i="8"/>
  <c r="AF118" i="8"/>
  <c r="AE118" i="8"/>
  <c r="AD118" i="8"/>
  <c r="AC118" i="8"/>
  <c r="AK117" i="8"/>
  <c r="AJ117" i="8"/>
  <c r="AI117" i="8"/>
  <c r="AH117" i="8"/>
  <c r="AG117" i="8"/>
  <c r="AF117" i="8"/>
  <c r="K3" i="19" s="1"/>
  <c r="AE117" i="8"/>
  <c r="AD117" i="8"/>
  <c r="AC117" i="8"/>
  <c r="AK116" i="8"/>
  <c r="AJ116" i="8"/>
  <c r="AI116" i="8"/>
  <c r="AH116" i="8"/>
  <c r="M2" i="19" s="1"/>
  <c r="B13" i="19" s="1"/>
  <c r="AG116" i="8"/>
  <c r="AF116" i="8"/>
  <c r="W125" i="8" s="1"/>
  <c r="AE116" i="8"/>
  <c r="AD116" i="8"/>
  <c r="AC116" i="8"/>
  <c r="W122" i="8" s="1"/>
  <c r="AB116" i="8"/>
  <c r="W121" i="8" s="1"/>
  <c r="AA116" i="8"/>
  <c r="W120" i="8" s="1"/>
  <c r="Z116" i="8"/>
  <c r="Y116" i="8"/>
  <c r="X116" i="8"/>
  <c r="AK14" i="8"/>
  <c r="P10" i="19" s="1"/>
  <c r="J16" i="19" s="1"/>
  <c r="AJ14" i="8"/>
  <c r="AI14" i="8"/>
  <c r="AH14" i="8"/>
  <c r="AE17" i="8" s="1"/>
  <c r="AG14" i="8"/>
  <c r="L10" i="19" s="1"/>
  <c r="J12" i="19" s="1"/>
  <c r="AF14" i="8"/>
  <c r="AK13" i="8"/>
  <c r="AJ13" i="8"/>
  <c r="AI13" i="8"/>
  <c r="AH13" i="8"/>
  <c r="AG13" i="8"/>
  <c r="AF13" i="8"/>
  <c r="AK12" i="8"/>
  <c r="AJ12" i="8"/>
  <c r="AI12" i="8"/>
  <c r="AH12" i="8"/>
  <c r="AC17" i="8" s="1"/>
  <c r="AG12" i="8"/>
  <c r="AF12" i="8"/>
  <c r="AK11" i="8"/>
  <c r="AJ11" i="8"/>
  <c r="AI11" i="8"/>
  <c r="AH11" i="8"/>
  <c r="AG11" i="8"/>
  <c r="AF11" i="8"/>
  <c r="AE11" i="8"/>
  <c r="AD11" i="8"/>
  <c r="AC11" i="8"/>
  <c r="AK10" i="8"/>
  <c r="AJ10" i="8"/>
  <c r="AI10" i="8"/>
  <c r="AH10" i="8"/>
  <c r="AG10" i="8"/>
  <c r="AF10" i="8"/>
  <c r="AE10" i="8"/>
  <c r="AD10" i="8"/>
  <c r="I6" i="19" s="1"/>
  <c r="F9" i="19" s="1"/>
  <c r="AC10" i="8"/>
  <c r="AK9" i="8"/>
  <c r="AJ9" i="8"/>
  <c r="AI9" i="8"/>
  <c r="Z18" i="8" s="1"/>
  <c r="AH9" i="8"/>
  <c r="AG9" i="8"/>
  <c r="AF9" i="8"/>
  <c r="AE9" i="8"/>
  <c r="AD9" i="8"/>
  <c r="AC9" i="8"/>
  <c r="AK8" i="8"/>
  <c r="AJ8" i="8"/>
  <c r="AI8" i="8"/>
  <c r="Y18" i="8" s="1"/>
  <c r="AH8" i="8"/>
  <c r="AG8" i="8"/>
  <c r="AF8" i="8"/>
  <c r="AE8" i="8"/>
  <c r="AD8" i="8"/>
  <c r="AC8" i="8"/>
  <c r="AK7" i="8"/>
  <c r="X20" i="8" s="1"/>
  <c r="AH7" i="8"/>
  <c r="AG7" i="8"/>
  <c r="AF7" i="8"/>
  <c r="AK6" i="8"/>
  <c r="P2" i="19" s="1"/>
  <c r="B16" i="19" s="1"/>
  <c r="AJ6" i="8"/>
  <c r="AI6" i="8"/>
  <c r="AH6" i="8"/>
  <c r="AG6" i="8"/>
  <c r="AF6" i="8"/>
  <c r="AE6" i="8"/>
  <c r="AD6" i="8"/>
  <c r="AC6" i="8"/>
  <c r="AB6" i="8"/>
  <c r="AA6" i="8"/>
  <c r="W10" i="8" s="1"/>
  <c r="Z6" i="8"/>
  <c r="Y6" i="8"/>
  <c r="AK128" i="7"/>
  <c r="AJ128" i="7"/>
  <c r="AI129" i="7" s="1"/>
  <c r="AK127" i="7"/>
  <c r="AJ127" i="7"/>
  <c r="AI127" i="7"/>
  <c r="AK126" i="7"/>
  <c r="P12" i="18" s="1"/>
  <c r="AJ126" i="7"/>
  <c r="AK125" i="7"/>
  <c r="AJ125" i="7"/>
  <c r="O11" i="18" s="1"/>
  <c r="K15" i="18" s="1"/>
  <c r="AI125" i="7"/>
  <c r="AG125" i="7"/>
  <c r="AF126" i="7" s="1"/>
  <c r="AK124" i="7"/>
  <c r="AJ124" i="7"/>
  <c r="O10" i="18" s="1"/>
  <c r="J15" i="18" s="1"/>
  <c r="AI124" i="7"/>
  <c r="AG124" i="7"/>
  <c r="AK123" i="7"/>
  <c r="AJ123" i="7"/>
  <c r="AI123" i="7"/>
  <c r="AH123" i="7"/>
  <c r="AG123" i="7"/>
  <c r="AF123" i="7"/>
  <c r="P8" i="18"/>
  <c r="H16" i="18" s="1"/>
  <c r="AJ122" i="7"/>
  <c r="AF122" i="7"/>
  <c r="AK121" i="7"/>
  <c r="AB130" i="7" s="1"/>
  <c r="AJ121" i="7"/>
  <c r="AI121" i="7"/>
  <c r="AH121" i="7"/>
  <c r="AG121" i="7"/>
  <c r="AF121" i="7"/>
  <c r="AE121" i="7"/>
  <c r="J7" i="18" s="1"/>
  <c r="AD121" i="7"/>
  <c r="AB123" i="7" s="1"/>
  <c r="AC121" i="7"/>
  <c r="AK120" i="7"/>
  <c r="AA130" i="7" s="1"/>
  <c r="AJ120" i="7"/>
  <c r="AI120" i="7"/>
  <c r="AH120" i="7"/>
  <c r="AG120" i="7"/>
  <c r="AF120" i="7"/>
  <c r="AE120" i="7"/>
  <c r="AD120" i="7"/>
  <c r="AC120" i="7"/>
  <c r="AA122" i="7" s="1"/>
  <c r="AB120" i="7"/>
  <c r="AK119" i="7"/>
  <c r="AJ119" i="7"/>
  <c r="AI119" i="7"/>
  <c r="AH119" i="7"/>
  <c r="AG119" i="7"/>
  <c r="AF119" i="7"/>
  <c r="AE119" i="7"/>
  <c r="AD119" i="7"/>
  <c r="AC119" i="7"/>
  <c r="AB119" i="7"/>
  <c r="AJ118" i="7"/>
  <c r="AF118" i="7"/>
  <c r="AC118" i="7"/>
  <c r="AF117" i="7"/>
  <c r="AJ116" i="7"/>
  <c r="AI116" i="7"/>
  <c r="W128" i="7" s="1"/>
  <c r="AH116" i="7"/>
  <c r="W127" i="7" s="1"/>
  <c r="AG116" i="7"/>
  <c r="AF116" i="7"/>
  <c r="K2" i="18" s="1"/>
  <c r="B11" i="18" s="1"/>
  <c r="AD116" i="7"/>
  <c r="AC116" i="7"/>
  <c r="X116" i="7"/>
  <c r="P14" i="21"/>
  <c r="O13" i="21"/>
  <c r="M15" i="21" s="1"/>
  <c r="P13" i="21"/>
  <c r="N12" i="21"/>
  <c r="O12" i="21"/>
  <c r="P12" i="21"/>
  <c r="M11" i="21"/>
  <c r="N11" i="21"/>
  <c r="P11" i="21"/>
  <c r="K16" i="21" s="1"/>
  <c r="L10" i="21"/>
  <c r="J12" i="21" s="1"/>
  <c r="M10" i="21"/>
  <c r="J13" i="21" s="1"/>
  <c r="N10" i="21"/>
  <c r="O10" i="21"/>
  <c r="J15" i="21" s="1"/>
  <c r="P10" i="21"/>
  <c r="K9" i="21"/>
  <c r="L9" i="21"/>
  <c r="I12" i="21" s="1"/>
  <c r="M9" i="21"/>
  <c r="I13" i="21" s="1"/>
  <c r="N9" i="21"/>
  <c r="O9" i="21"/>
  <c r="I15" i="21" s="1"/>
  <c r="P9" i="21"/>
  <c r="I16" i="21" s="1"/>
  <c r="K8" i="21"/>
  <c r="H11" i="21" s="1"/>
  <c r="L8" i="21"/>
  <c r="H12" i="21" s="1"/>
  <c r="M8" i="21"/>
  <c r="H13" i="21" s="1"/>
  <c r="N8" i="21"/>
  <c r="O8" i="21"/>
  <c r="H15" i="21" s="1"/>
  <c r="P8" i="21"/>
  <c r="I7" i="21"/>
  <c r="G9" i="21" s="1"/>
  <c r="J7" i="21"/>
  <c r="K7" i="21"/>
  <c r="G11" i="21" s="1"/>
  <c r="L7" i="21"/>
  <c r="M7" i="21"/>
  <c r="G13" i="21" s="1"/>
  <c r="N7" i="21"/>
  <c r="O7" i="21"/>
  <c r="G15" i="21" s="1"/>
  <c r="P7" i="21"/>
  <c r="H6" i="21"/>
  <c r="F8" i="21" s="1"/>
  <c r="I6" i="21"/>
  <c r="J6" i="21"/>
  <c r="F10" i="21" s="1"/>
  <c r="K6" i="21"/>
  <c r="L6" i="21"/>
  <c r="F12" i="21" s="1"/>
  <c r="M6" i="21"/>
  <c r="F13" i="21" s="1"/>
  <c r="N6" i="21"/>
  <c r="F14" i="21" s="1"/>
  <c r="O6" i="21"/>
  <c r="F15" i="21" s="1"/>
  <c r="P6" i="21"/>
  <c r="G5" i="21"/>
  <c r="E7" i="21" s="1"/>
  <c r="H5" i="21"/>
  <c r="I5" i="21"/>
  <c r="E9" i="21" s="1"/>
  <c r="K5" i="21"/>
  <c r="E11" i="21" s="1"/>
  <c r="M5" i="21"/>
  <c r="E13" i="21" s="1"/>
  <c r="N5" i="21"/>
  <c r="E14" i="21" s="1"/>
  <c r="O5" i="21"/>
  <c r="P5" i="21"/>
  <c r="H4" i="21"/>
  <c r="D8" i="21" s="1"/>
  <c r="I4" i="21"/>
  <c r="D9" i="21" s="1"/>
  <c r="J4" i="21"/>
  <c r="K4" i="21"/>
  <c r="D11" i="21" s="1"/>
  <c r="L4" i="21"/>
  <c r="D12" i="21" s="1"/>
  <c r="M4" i="21"/>
  <c r="D13" i="21" s="1"/>
  <c r="N4" i="21"/>
  <c r="D14" i="21" s="1"/>
  <c r="O4" i="21"/>
  <c r="D15" i="21" s="1"/>
  <c r="P4" i="21"/>
  <c r="D16" i="21" s="1"/>
  <c r="E3" i="21"/>
  <c r="C5" i="21" s="1"/>
  <c r="F3" i="21"/>
  <c r="C6" i="21" s="1"/>
  <c r="G3" i="21"/>
  <c r="C7" i="21" s="1"/>
  <c r="K3" i="21"/>
  <c r="L3" i="21"/>
  <c r="M3" i="21"/>
  <c r="C13" i="21" s="1"/>
  <c r="N3" i="21"/>
  <c r="C14" i="21" s="1"/>
  <c r="O3" i="21"/>
  <c r="E2" i="21"/>
  <c r="B5" i="21" s="1"/>
  <c r="G2" i="21"/>
  <c r="B7" i="21" s="1"/>
  <c r="H2" i="21"/>
  <c r="I2" i="21"/>
  <c r="B9" i="21" s="1"/>
  <c r="J2" i="21"/>
  <c r="K2" i="21"/>
  <c r="B11" i="21" s="1"/>
  <c r="L2" i="21"/>
  <c r="B12" i="21" s="1"/>
  <c r="M2" i="21"/>
  <c r="B13" i="21" s="1"/>
  <c r="N2" i="21"/>
  <c r="B14" i="21" s="1"/>
  <c r="P2" i="21"/>
  <c r="P15" i="21"/>
  <c r="O16" i="21" s="1"/>
  <c r="O14" i="21"/>
  <c r="N13" i="21"/>
  <c r="M12" i="21"/>
  <c r="L13" i="21" s="1"/>
  <c r="L11" i="21"/>
  <c r="K10" i="21"/>
  <c r="J11" i="21" s="1"/>
  <c r="J9" i="21"/>
  <c r="I8" i="21"/>
  <c r="H9" i="21" s="1"/>
  <c r="H7" i="21"/>
  <c r="G6" i="21"/>
  <c r="F7" i="21" s="1"/>
  <c r="D3" i="21"/>
  <c r="C4" i="21" s="1"/>
  <c r="P14" i="20"/>
  <c r="P13" i="20"/>
  <c r="M16" i="20" s="1"/>
  <c r="N12" i="20"/>
  <c r="O12" i="20"/>
  <c r="P12" i="20"/>
  <c r="M11" i="20"/>
  <c r="K13" i="20" s="1"/>
  <c r="N11" i="20"/>
  <c r="K14" i="20" s="1"/>
  <c r="O11" i="20"/>
  <c r="K15" i="20" s="1"/>
  <c r="P11" i="20"/>
  <c r="K16" i="20" s="1"/>
  <c r="M10" i="20"/>
  <c r="J13" i="20" s="1"/>
  <c r="O10" i="20"/>
  <c r="J15" i="20" s="1"/>
  <c r="P10" i="20"/>
  <c r="K9" i="20"/>
  <c r="L9" i="20"/>
  <c r="M9" i="20"/>
  <c r="I13" i="20" s="1"/>
  <c r="N9" i="20"/>
  <c r="O9" i="20"/>
  <c r="I15" i="20" s="1"/>
  <c r="P9" i="20"/>
  <c r="I16" i="20" s="1"/>
  <c r="J8" i="20"/>
  <c r="H10" i="20" s="1"/>
  <c r="L8" i="20"/>
  <c r="H12" i="20" s="1"/>
  <c r="M8" i="20"/>
  <c r="H13" i="20" s="1"/>
  <c r="N8" i="20"/>
  <c r="I7" i="20"/>
  <c r="J7" i="20"/>
  <c r="K7" i="20"/>
  <c r="L7" i="20"/>
  <c r="M7" i="20"/>
  <c r="G13" i="20" s="1"/>
  <c r="N7" i="20"/>
  <c r="P7" i="20"/>
  <c r="G16" i="20" s="1"/>
  <c r="H6" i="20"/>
  <c r="F8" i="20" s="1"/>
  <c r="I6" i="20"/>
  <c r="F9" i="20" s="1"/>
  <c r="J6" i="20"/>
  <c r="F10" i="20" s="1"/>
  <c r="K6" i="20"/>
  <c r="F11" i="20" s="1"/>
  <c r="L6" i="20"/>
  <c r="F12" i="20" s="1"/>
  <c r="M6" i="20"/>
  <c r="F13" i="20" s="1"/>
  <c r="N6" i="20"/>
  <c r="F14" i="20" s="1"/>
  <c r="O6" i="20"/>
  <c r="F15" i="20" s="1"/>
  <c r="P6" i="20"/>
  <c r="G5" i="20"/>
  <c r="E7" i="20" s="1"/>
  <c r="H5" i="20"/>
  <c r="I5" i="20"/>
  <c r="E9" i="20" s="1"/>
  <c r="J5" i="20"/>
  <c r="E10" i="20" s="1"/>
  <c r="K5" i="20"/>
  <c r="E11" i="20" s="1"/>
  <c r="L5" i="20"/>
  <c r="M5" i="20"/>
  <c r="E13" i="20" s="1"/>
  <c r="N5" i="20"/>
  <c r="E14" i="20" s="1"/>
  <c r="O5" i="20"/>
  <c r="P5" i="20"/>
  <c r="E16" i="20" s="1"/>
  <c r="F4" i="20"/>
  <c r="G4" i="20"/>
  <c r="H4" i="20"/>
  <c r="D8" i="20" s="1"/>
  <c r="I4" i="20"/>
  <c r="D9" i="20" s="1"/>
  <c r="J4" i="20"/>
  <c r="D10" i="20" s="1"/>
  <c r="K4" i="20"/>
  <c r="D11" i="20" s="1"/>
  <c r="L4" i="20"/>
  <c r="D12" i="20" s="1"/>
  <c r="M4" i="20"/>
  <c r="D13" i="20" s="1"/>
  <c r="N4" i="20"/>
  <c r="D14" i="20" s="1"/>
  <c r="P4" i="20"/>
  <c r="E3" i="20"/>
  <c r="F3" i="20"/>
  <c r="C6" i="20" s="1"/>
  <c r="G3" i="20"/>
  <c r="H3" i="20"/>
  <c r="C8" i="20" s="1"/>
  <c r="I3" i="20"/>
  <c r="C9" i="20" s="1"/>
  <c r="J3" i="20"/>
  <c r="C10" i="20" s="1"/>
  <c r="K3" i="20"/>
  <c r="C11" i="20" s="1"/>
  <c r="L3" i="20"/>
  <c r="C12" i="20" s="1"/>
  <c r="M3" i="20"/>
  <c r="N3" i="20"/>
  <c r="O3" i="20"/>
  <c r="P3" i="20"/>
  <c r="C16" i="20" s="1"/>
  <c r="D2" i="20"/>
  <c r="E2" i="20"/>
  <c r="F2" i="20"/>
  <c r="G2" i="20"/>
  <c r="B7" i="20" s="1"/>
  <c r="H2" i="20"/>
  <c r="I2" i="20"/>
  <c r="B9" i="20" s="1"/>
  <c r="J2" i="20"/>
  <c r="B10" i="20" s="1"/>
  <c r="K2" i="20"/>
  <c r="L2" i="20"/>
  <c r="B12" i="20" s="1"/>
  <c r="M2" i="20"/>
  <c r="B13" i="20" s="1"/>
  <c r="N2" i="20"/>
  <c r="O2" i="20"/>
  <c r="P2" i="20"/>
  <c r="P15" i="20"/>
  <c r="O16" i="20" s="1"/>
  <c r="N13" i="20"/>
  <c r="L11" i="20"/>
  <c r="K12" i="20" s="1"/>
  <c r="K10" i="20"/>
  <c r="J9" i="20"/>
  <c r="I8" i="20"/>
  <c r="H9" i="20" s="1"/>
  <c r="G6" i="20"/>
  <c r="F7" i="20" s="1"/>
  <c r="F5" i="20"/>
  <c r="E4" i="20"/>
  <c r="D5" i="20" s="1"/>
  <c r="D3" i="20"/>
  <c r="C4" i="20" s="1"/>
  <c r="C2" i="20"/>
  <c r="B3" i="20" s="1"/>
  <c r="P14" i="19"/>
  <c r="N16" i="19" s="1"/>
  <c r="O13" i="19"/>
  <c r="M15" i="19" s="1"/>
  <c r="P13" i="19"/>
  <c r="M16" i="19" s="1"/>
  <c r="N12" i="19"/>
  <c r="O12" i="19"/>
  <c r="L15" i="19" s="1"/>
  <c r="P12" i="19"/>
  <c r="M11" i="19"/>
  <c r="N11" i="19"/>
  <c r="K14" i="19" s="1"/>
  <c r="O11" i="19"/>
  <c r="K15" i="19" s="1"/>
  <c r="P11" i="19"/>
  <c r="K16" i="19" s="1"/>
  <c r="K9" i="19"/>
  <c r="I11" i="19" s="1"/>
  <c r="L9" i="19"/>
  <c r="M9" i="19"/>
  <c r="I13" i="19" s="1"/>
  <c r="N9" i="19"/>
  <c r="I14" i="19" s="1"/>
  <c r="O9" i="19"/>
  <c r="I15" i="19" s="1"/>
  <c r="P9" i="19"/>
  <c r="I16" i="19" s="1"/>
  <c r="J8" i="19"/>
  <c r="K8" i="19"/>
  <c r="L8" i="19"/>
  <c r="N8" i="19"/>
  <c r="O8" i="19"/>
  <c r="P8" i="19"/>
  <c r="H16" i="19" s="1"/>
  <c r="I7" i="19"/>
  <c r="G9" i="19" s="1"/>
  <c r="J7" i="19"/>
  <c r="G10" i="19" s="1"/>
  <c r="K7" i="19"/>
  <c r="L7" i="19"/>
  <c r="G12" i="19" s="1"/>
  <c r="M7" i="19"/>
  <c r="G13" i="19" s="1"/>
  <c r="N7" i="19"/>
  <c r="G14" i="19" s="1"/>
  <c r="P7" i="19"/>
  <c r="G16" i="19" s="1"/>
  <c r="H6" i="19"/>
  <c r="F8" i="19" s="1"/>
  <c r="J6" i="19"/>
  <c r="F10" i="19" s="1"/>
  <c r="K6" i="19"/>
  <c r="F11" i="19" s="1"/>
  <c r="L6" i="19"/>
  <c r="F12" i="19" s="1"/>
  <c r="M6" i="19"/>
  <c r="F13" i="19" s="1"/>
  <c r="N6" i="19"/>
  <c r="P6" i="19"/>
  <c r="F16" i="19" s="1"/>
  <c r="G5" i="19"/>
  <c r="E7" i="19" s="1"/>
  <c r="H5" i="19"/>
  <c r="I5" i="19"/>
  <c r="E9" i="19" s="1"/>
  <c r="J5" i="19"/>
  <c r="K5" i="19"/>
  <c r="E11" i="19" s="1"/>
  <c r="L5" i="19"/>
  <c r="M5" i="19"/>
  <c r="O5" i="19"/>
  <c r="E15" i="19" s="1"/>
  <c r="F4" i="19"/>
  <c r="D6" i="19" s="1"/>
  <c r="G4" i="19"/>
  <c r="D7" i="19" s="1"/>
  <c r="H4" i="19"/>
  <c r="I4" i="19"/>
  <c r="D9" i="19" s="1"/>
  <c r="J4" i="19"/>
  <c r="D10" i="19" s="1"/>
  <c r="K4" i="19"/>
  <c r="D11" i="19" s="1"/>
  <c r="L4" i="19"/>
  <c r="O4" i="19"/>
  <c r="D15" i="19" s="1"/>
  <c r="P4" i="19"/>
  <c r="D16" i="19" s="1"/>
  <c r="E3" i="19"/>
  <c r="F3" i="19"/>
  <c r="G3" i="19"/>
  <c r="H3" i="19"/>
  <c r="I3" i="19"/>
  <c r="J3" i="19"/>
  <c r="L3" i="19"/>
  <c r="M3" i="19"/>
  <c r="N3" i="19"/>
  <c r="C14" i="19" s="1"/>
  <c r="O3" i="19"/>
  <c r="P3" i="19"/>
  <c r="C16" i="19" s="1"/>
  <c r="D2" i="19"/>
  <c r="B4" i="19" s="1"/>
  <c r="E2" i="19"/>
  <c r="B5" i="19" s="1"/>
  <c r="G2" i="19"/>
  <c r="H2" i="19"/>
  <c r="I2" i="19"/>
  <c r="B9" i="19" s="1"/>
  <c r="J2" i="19"/>
  <c r="K2" i="19"/>
  <c r="B11" i="19" s="1"/>
  <c r="L2" i="19"/>
  <c r="B12" i="19" s="1"/>
  <c r="N2" i="19"/>
  <c r="B14" i="19" s="1"/>
  <c r="O2" i="19"/>
  <c r="B15" i="19" s="1"/>
  <c r="P15" i="19"/>
  <c r="O16" i="19" s="1"/>
  <c r="O14" i="19"/>
  <c r="N13" i="19"/>
  <c r="M14" i="19" s="1"/>
  <c r="M12" i="19"/>
  <c r="L13" i="19" s="1"/>
  <c r="L11" i="19"/>
  <c r="K10" i="19"/>
  <c r="J11" i="19" s="1"/>
  <c r="J9" i="19"/>
  <c r="I8" i="19"/>
  <c r="H9" i="19" s="1"/>
  <c r="H7" i="19"/>
  <c r="G8" i="19" s="1"/>
  <c r="G6" i="19"/>
  <c r="F5" i="19"/>
  <c r="E4" i="19"/>
  <c r="D3" i="19"/>
  <c r="C4" i="19" s="1"/>
  <c r="C2" i="19"/>
  <c r="B43" i="21"/>
  <c r="N16" i="21"/>
  <c r="M16" i="21"/>
  <c r="N15" i="21"/>
  <c r="M14" i="21"/>
  <c r="I14" i="21"/>
  <c r="G14" i="21"/>
  <c r="K13" i="21"/>
  <c r="K14" i="21"/>
  <c r="K12" i="21"/>
  <c r="F11" i="21"/>
  <c r="D10" i="21"/>
  <c r="B10" i="21"/>
  <c r="I11" i="21"/>
  <c r="F9" i="21"/>
  <c r="G16" i="21"/>
  <c r="F16" i="21"/>
  <c r="B43" i="20"/>
  <c r="N16" i="20"/>
  <c r="M14" i="20"/>
  <c r="G14" i="20"/>
  <c r="C14" i="20"/>
  <c r="C13" i="20"/>
  <c r="B11" i="20"/>
  <c r="I14" i="20"/>
  <c r="P8" i="20"/>
  <c r="G9" i="20"/>
  <c r="D7" i="20"/>
  <c r="F16" i="20"/>
  <c r="B5" i="20"/>
  <c r="D16" i="20"/>
  <c r="B43" i="19"/>
  <c r="C15" i="19"/>
  <c r="H12" i="19"/>
  <c r="D12" i="19"/>
  <c r="H11" i="19"/>
  <c r="G11" i="19"/>
  <c r="H10" i="19"/>
  <c r="B10" i="19"/>
  <c r="I12" i="19"/>
  <c r="E8" i="19"/>
  <c r="D5" i="19"/>
  <c r="B25" i="13"/>
  <c r="G3" i="13"/>
  <c r="G11" i="13"/>
  <c r="B43" i="18"/>
  <c r="P14" i="18"/>
  <c r="N16" i="18" s="1"/>
  <c r="O13" i="18"/>
  <c r="M15" i="18" s="1"/>
  <c r="P13" i="18"/>
  <c r="N12" i="18"/>
  <c r="L14" i="18" s="1"/>
  <c r="O12" i="18"/>
  <c r="M11" i="18"/>
  <c r="N11" i="18"/>
  <c r="P11" i="18"/>
  <c r="K16" i="18" s="1"/>
  <c r="L10" i="18"/>
  <c r="J12" i="18" s="1"/>
  <c r="M10" i="18"/>
  <c r="J13" i="18" s="1"/>
  <c r="N10" i="18"/>
  <c r="J14" i="18" s="1"/>
  <c r="P10" i="18"/>
  <c r="J16" i="18" s="1"/>
  <c r="K9" i="18"/>
  <c r="I11" i="18" s="1"/>
  <c r="L9" i="18"/>
  <c r="I12" i="18" s="1"/>
  <c r="M9" i="18"/>
  <c r="I13" i="18" s="1"/>
  <c r="N9" i="18"/>
  <c r="I14" i="18" s="1"/>
  <c r="O9" i="18"/>
  <c r="I15" i="18" s="1"/>
  <c r="P9" i="18"/>
  <c r="I16" i="18" s="1"/>
  <c r="J8" i="18"/>
  <c r="H10" i="18" s="1"/>
  <c r="K8" i="18"/>
  <c r="H11" i="18" s="1"/>
  <c r="L8" i="18"/>
  <c r="H12" i="18" s="1"/>
  <c r="M8" i="18"/>
  <c r="H13" i="18" s="1"/>
  <c r="N8" i="18"/>
  <c r="H14" i="18" s="1"/>
  <c r="O8" i="18"/>
  <c r="H15" i="18" s="1"/>
  <c r="K7" i="18"/>
  <c r="L7" i="18"/>
  <c r="M7" i="18"/>
  <c r="N7" i="18"/>
  <c r="O7" i="18"/>
  <c r="H6" i="18"/>
  <c r="F8" i="18" s="1"/>
  <c r="I6" i="18"/>
  <c r="F9" i="18" s="1"/>
  <c r="J6" i="18"/>
  <c r="F10" i="18" s="1"/>
  <c r="K6" i="18"/>
  <c r="F11" i="18" s="1"/>
  <c r="L6" i="18"/>
  <c r="F12" i="18" s="1"/>
  <c r="M6" i="18"/>
  <c r="F13" i="18" s="1"/>
  <c r="N6" i="18"/>
  <c r="F14" i="18" s="1"/>
  <c r="O6" i="18"/>
  <c r="F15" i="18" s="1"/>
  <c r="P6" i="18"/>
  <c r="F16" i="18" s="1"/>
  <c r="G5" i="18"/>
  <c r="E7" i="18" s="1"/>
  <c r="H5" i="18"/>
  <c r="E8" i="18" s="1"/>
  <c r="I5" i="18"/>
  <c r="J5" i="18"/>
  <c r="E10" i="18" s="1"/>
  <c r="K5" i="18"/>
  <c r="E11" i="18" s="1"/>
  <c r="L5" i="18"/>
  <c r="E12" i="18" s="1"/>
  <c r="M5" i="18"/>
  <c r="E13" i="18" s="1"/>
  <c r="N5" i="18"/>
  <c r="E14" i="18" s="1"/>
  <c r="O5" i="18"/>
  <c r="E15" i="18" s="1"/>
  <c r="P5" i="18"/>
  <c r="E16" i="18" s="1"/>
  <c r="F4" i="18"/>
  <c r="D6" i="18" s="1"/>
  <c r="G4" i="18"/>
  <c r="D7" i="18" s="1"/>
  <c r="H4" i="18"/>
  <c r="D8" i="18" s="1"/>
  <c r="I4" i="18"/>
  <c r="D9" i="18" s="1"/>
  <c r="J4" i="18"/>
  <c r="D10" i="18" s="1"/>
  <c r="K4" i="18"/>
  <c r="L4" i="18"/>
  <c r="M4" i="18"/>
  <c r="N4" i="18"/>
  <c r="O4" i="18"/>
  <c r="D15" i="18" s="1"/>
  <c r="P4" i="18"/>
  <c r="D16" i="18" s="1"/>
  <c r="E3" i="18"/>
  <c r="C5" i="18" s="1"/>
  <c r="F3" i="18"/>
  <c r="C6" i="18" s="1"/>
  <c r="G3" i="18"/>
  <c r="C7" i="18" s="1"/>
  <c r="H3" i="18"/>
  <c r="C8" i="18" s="1"/>
  <c r="I3" i="18"/>
  <c r="C9" i="18" s="1"/>
  <c r="J3" i="18"/>
  <c r="K3" i="18"/>
  <c r="L3" i="18"/>
  <c r="C12" i="18" s="1"/>
  <c r="M3" i="18"/>
  <c r="C13" i="18" s="1"/>
  <c r="N3" i="18"/>
  <c r="C14" i="18" s="1"/>
  <c r="O3" i="18"/>
  <c r="P3" i="18"/>
  <c r="C16" i="18" s="1"/>
  <c r="D2" i="18"/>
  <c r="B4" i="18" s="1"/>
  <c r="E2" i="18"/>
  <c r="B5" i="18" s="1"/>
  <c r="F2" i="18"/>
  <c r="B6" i="18" s="1"/>
  <c r="G2" i="18"/>
  <c r="B7" i="18" s="1"/>
  <c r="H2" i="18"/>
  <c r="B8" i="18" s="1"/>
  <c r="I2" i="18"/>
  <c r="B9" i="18" s="1"/>
  <c r="J2" i="18"/>
  <c r="B10" i="18" s="1"/>
  <c r="L2" i="18"/>
  <c r="B12" i="18" s="1"/>
  <c r="M2" i="18"/>
  <c r="O2" i="18"/>
  <c r="B15" i="18" s="1"/>
  <c r="P2" i="18"/>
  <c r="P15" i="18"/>
  <c r="O14" i="18"/>
  <c r="N15" i="18" s="1"/>
  <c r="N13" i="18"/>
  <c r="M14" i="18" s="1"/>
  <c r="M12" i="18"/>
  <c r="L13" i="18" s="1"/>
  <c r="L11" i="18"/>
  <c r="K12" i="18" s="1"/>
  <c r="K10" i="18"/>
  <c r="J11" i="18" s="1"/>
  <c r="J9" i="18"/>
  <c r="I10" i="18" s="1"/>
  <c r="I8" i="18"/>
  <c r="H9" i="18" s="1"/>
  <c r="H7" i="18"/>
  <c r="G6" i="18"/>
  <c r="F7" i="18" s="1"/>
  <c r="F5" i="18"/>
  <c r="E6" i="18" s="1"/>
  <c r="E4" i="18"/>
  <c r="D5" i="18" s="1"/>
  <c r="D3" i="18"/>
  <c r="C4" i="18" s="1"/>
  <c r="C2" i="18"/>
  <c r="B3" i="18" s="1"/>
  <c r="C15" i="18"/>
  <c r="C10" i="18"/>
  <c r="E9" i="18"/>
  <c r="AJ237" i="10"/>
  <c r="AI237" i="10"/>
  <c r="AJ236" i="10"/>
  <c r="AI236" i="10"/>
  <c r="AK235" i="10"/>
  <c r="AF240" i="10" s="1"/>
  <c r="AJ235" i="10"/>
  <c r="AI235" i="10"/>
  <c r="AF238" i="10" s="1"/>
  <c r="AH235" i="10"/>
  <c r="AG235" i="10"/>
  <c r="AJ234" i="10"/>
  <c r="AI234" i="10"/>
  <c r="AK233" i="10"/>
  <c r="AJ233" i="10"/>
  <c r="AD239" i="10" s="1"/>
  <c r="AI233" i="10"/>
  <c r="AH233" i="10"/>
  <c r="AG233" i="10"/>
  <c r="AE233" i="10"/>
  <c r="AD234" i="10" s="1"/>
  <c r="AK232" i="10"/>
  <c r="AJ232" i="10"/>
  <c r="AI232" i="10"/>
  <c r="AH232" i="10"/>
  <c r="AC237" i="10" s="1"/>
  <c r="AG232" i="10"/>
  <c r="AF232" i="10"/>
  <c r="AE232" i="10"/>
  <c r="AD232" i="10"/>
  <c r="AJ231" i="10"/>
  <c r="AI231" i="10"/>
  <c r="AJ230" i="10"/>
  <c r="AI230" i="10"/>
  <c r="AK229" i="10"/>
  <c r="AJ229" i="10"/>
  <c r="AI229" i="10"/>
  <c r="AH229" i="10"/>
  <c r="AB229" i="10"/>
  <c r="AA229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AK227" i="10"/>
  <c r="AJ227" i="10"/>
  <c r="AI227" i="10"/>
  <c r="AH227" i="10"/>
  <c r="AG227" i="10"/>
  <c r="AF227" i="10"/>
  <c r="X235" i="10" s="1"/>
  <c r="AE227" i="10"/>
  <c r="AD227" i="10"/>
  <c r="AC227" i="10"/>
  <c r="Y227" i="10"/>
  <c r="AG226" i="10"/>
  <c r="AE226" i="10"/>
  <c r="AD226" i="10"/>
  <c r="AB226" i="10"/>
  <c r="AA226" i="10"/>
  <c r="Z226" i="10"/>
  <c r="W229" i="10" s="1"/>
  <c r="AD130" i="10"/>
  <c r="AD128" i="10"/>
  <c r="AD127" i="10"/>
  <c r="AD125" i="10"/>
  <c r="AC126" i="10"/>
  <c r="AB128" i="10"/>
  <c r="Z120" i="10"/>
  <c r="X128" i="10"/>
  <c r="X127" i="10"/>
  <c r="X125" i="10"/>
  <c r="X123" i="10"/>
  <c r="X121" i="10"/>
  <c r="X120" i="10"/>
  <c r="W124" i="10"/>
  <c r="W120" i="10"/>
  <c r="W119" i="10"/>
  <c r="AK18" i="10"/>
  <c r="AI20" i="10" s="1"/>
  <c r="AI17" i="10"/>
  <c r="AH18" i="10" s="1"/>
  <c r="AK16" i="10"/>
  <c r="AG20" i="10" s="1"/>
  <c r="AK15" i="10"/>
  <c r="AF20" i="10" s="1"/>
  <c r="AG15" i="10"/>
  <c r="AF16" i="10" s="1"/>
  <c r="AK13" i="10"/>
  <c r="AD20" i="10" s="1"/>
  <c r="AH13" i="10"/>
  <c r="AD17" i="10" s="1"/>
  <c r="AG13" i="10"/>
  <c r="AD16" i="10" s="1"/>
  <c r="AE13" i="10"/>
  <c r="AK12" i="10"/>
  <c r="AH12" i="10"/>
  <c r="AG12" i="10"/>
  <c r="AE12" i="10"/>
  <c r="AK11" i="10"/>
  <c r="AH11" i="10"/>
  <c r="AB17" i="10" s="1"/>
  <c r="AG11" i="10"/>
  <c r="AB16" i="10" s="1"/>
  <c r="AE11" i="10"/>
  <c r="AK9" i="10"/>
  <c r="AG9" i="10"/>
  <c r="Z16" i="10" s="1"/>
  <c r="AK7" i="10"/>
  <c r="AI7" i="10"/>
  <c r="AH7" i="10"/>
  <c r="X17" i="10" s="1"/>
  <c r="AG7" i="10"/>
  <c r="AF7" i="10"/>
  <c r="X11" i="10"/>
  <c r="X9" i="10"/>
  <c r="AK6" i="10"/>
  <c r="W20" i="10" s="1"/>
  <c r="AG6" i="10"/>
  <c r="W16" i="10" s="1"/>
  <c r="W14" i="10"/>
  <c r="AK239" i="9"/>
  <c r="AJ238" i="9"/>
  <c r="AJ237" i="9"/>
  <c r="AI237" i="9"/>
  <c r="AJ236" i="9"/>
  <c r="AI236" i="9"/>
  <c r="AJ235" i="9"/>
  <c r="AI235" i="9"/>
  <c r="AK234" i="9"/>
  <c r="AJ234" i="9"/>
  <c r="AG234" i="9"/>
  <c r="AK233" i="9"/>
  <c r="AJ233" i="9"/>
  <c r="AG233" i="9"/>
  <c r="AJ232" i="9"/>
  <c r="AI232" i="9"/>
  <c r="AK231" i="9"/>
  <c r="AJ231" i="9"/>
  <c r="AI231" i="9"/>
  <c r="AH231" i="9"/>
  <c r="AG231" i="9"/>
  <c r="AF231" i="9"/>
  <c r="AE231" i="9"/>
  <c r="AD231" i="9"/>
  <c r="AC231" i="9"/>
  <c r="AK230" i="9"/>
  <c r="AJ230" i="9"/>
  <c r="AI230" i="9"/>
  <c r="AH230" i="9"/>
  <c r="AG230" i="9"/>
  <c r="AF230" i="9"/>
  <c r="AE230" i="9"/>
  <c r="AD230" i="9"/>
  <c r="AC230" i="9"/>
  <c r="AJ229" i="9"/>
  <c r="AI229" i="9"/>
  <c r="AG229" i="9"/>
  <c r="AE229" i="9"/>
  <c r="AD229" i="9"/>
  <c r="AC229" i="9"/>
  <c r="AJ228" i="9"/>
  <c r="AI228" i="9"/>
  <c r="AG228" i="9"/>
  <c r="AF228" i="9"/>
  <c r="AC228" i="9"/>
  <c r="AJ227" i="9"/>
  <c r="AI227" i="9"/>
  <c r="AF227" i="9"/>
  <c r="AC227" i="9"/>
  <c r="AJ226" i="9"/>
  <c r="AI226" i="9"/>
  <c r="AG226" i="9"/>
  <c r="AF226" i="9"/>
  <c r="AE226" i="9"/>
  <c r="AC226" i="9"/>
  <c r="Y226" i="9"/>
  <c r="AC130" i="9"/>
  <c r="AC128" i="9"/>
  <c r="AC124" i="9"/>
  <c r="AC123" i="9"/>
  <c r="AB130" i="9"/>
  <c r="AB128" i="9"/>
  <c r="AB127" i="9"/>
  <c r="AB125" i="9"/>
  <c r="AB124" i="9"/>
  <c r="AB123" i="9"/>
  <c r="AB122" i="9"/>
  <c r="AA130" i="9"/>
  <c r="AA128" i="9"/>
  <c r="AA126" i="9"/>
  <c r="AA125" i="9"/>
  <c r="AA122" i="9"/>
  <c r="Z128" i="9"/>
  <c r="Z125" i="9"/>
  <c r="X129" i="9"/>
  <c r="X128" i="9"/>
  <c r="X126" i="9"/>
  <c r="X124" i="9"/>
  <c r="X123" i="9"/>
  <c r="X122" i="9"/>
  <c r="W125" i="9"/>
  <c r="AK18" i="9"/>
  <c r="AI20" i="9" s="1"/>
  <c r="AK17" i="9"/>
  <c r="AH20" i="9" s="1"/>
  <c r="AI17" i="9"/>
  <c r="AH18" i="9" s="1"/>
  <c r="AK16" i="9"/>
  <c r="AG20" i="9" s="1"/>
  <c r="AI16" i="9"/>
  <c r="AG18" i="9" s="1"/>
  <c r="AH16" i="9"/>
  <c r="AK14" i="9"/>
  <c r="AI14" i="9"/>
  <c r="AH14" i="9"/>
  <c r="AF14" i="9"/>
  <c r="AK13" i="9"/>
  <c r="AI13" i="9"/>
  <c r="AH13" i="9"/>
  <c r="AF13" i="9"/>
  <c r="AK12" i="9"/>
  <c r="AI12" i="9"/>
  <c r="AC18" i="9" s="1"/>
  <c r="AF12" i="9"/>
  <c r="AC15" i="9" s="1"/>
  <c r="AK11" i="9"/>
  <c r="AI11" i="9"/>
  <c r="AB18" i="9" s="1"/>
  <c r="AH11" i="9"/>
  <c r="AG11" i="9"/>
  <c r="AB16" i="9" s="1"/>
  <c r="AF11" i="9"/>
  <c r="AB15" i="9" s="1"/>
  <c r="AE11" i="9"/>
  <c r="AD11" i="9"/>
  <c r="AC11" i="9"/>
  <c r="AB12" i="9" s="1"/>
  <c r="AK10" i="9"/>
  <c r="AA20" i="9" s="1"/>
  <c r="AI10" i="9"/>
  <c r="AA18" i="9" s="1"/>
  <c r="AH10" i="9"/>
  <c r="AA17" i="9" s="1"/>
  <c r="AG10" i="9"/>
  <c r="AA16" i="9" s="1"/>
  <c r="AF10" i="9"/>
  <c r="AA15" i="9" s="1"/>
  <c r="AE10" i="9"/>
  <c r="AA14" i="9" s="1"/>
  <c r="AD10" i="9"/>
  <c r="AC10" i="9"/>
  <c r="AA12" i="9" s="1"/>
  <c r="AK9" i="9"/>
  <c r="AI9" i="9"/>
  <c r="AH9" i="9"/>
  <c r="AF9" i="9"/>
  <c r="AC9" i="9"/>
  <c r="AK7" i="9"/>
  <c r="AI7" i="9"/>
  <c r="AH7" i="9"/>
  <c r="AG7" i="9"/>
  <c r="X16" i="9" s="1"/>
  <c r="AF7" i="9"/>
  <c r="AE7" i="9"/>
  <c r="AD7" i="9"/>
  <c r="X13" i="9" s="1"/>
  <c r="AC7" i="9"/>
  <c r="X12" i="9" s="1"/>
  <c r="Z7" i="9"/>
  <c r="AF6" i="9"/>
  <c r="AK239" i="8"/>
  <c r="AK238" i="8"/>
  <c r="AG235" i="8"/>
  <c r="AK234" i="8"/>
  <c r="AJ234" i="8"/>
  <c r="AE239" i="8" s="1"/>
  <c r="AI234" i="8"/>
  <c r="AH234" i="8"/>
  <c r="AG234" i="8"/>
  <c r="AF234" i="8"/>
  <c r="AK233" i="8"/>
  <c r="AJ233" i="8"/>
  <c r="AI233" i="8"/>
  <c r="AH233" i="8"/>
  <c r="AG233" i="8"/>
  <c r="AF233" i="8"/>
  <c r="AK232" i="8"/>
  <c r="AJ232" i="8"/>
  <c r="AI232" i="8"/>
  <c r="AH232" i="8"/>
  <c r="AG232" i="8"/>
  <c r="AF232" i="8"/>
  <c r="AK231" i="8"/>
  <c r="AJ231" i="8"/>
  <c r="AI231" i="8"/>
  <c r="AH231" i="8"/>
  <c r="AG231" i="8"/>
  <c r="AF231" i="8"/>
  <c r="AE231" i="8"/>
  <c r="AD231" i="8"/>
  <c r="AC231" i="8"/>
  <c r="AK230" i="8"/>
  <c r="AJ230" i="8"/>
  <c r="AI230" i="8"/>
  <c r="AH230" i="8"/>
  <c r="AG230" i="8"/>
  <c r="AF230" i="8"/>
  <c r="AE230" i="8"/>
  <c r="AD230" i="8"/>
  <c r="AC230" i="8"/>
  <c r="AK229" i="8"/>
  <c r="AJ229" i="8"/>
  <c r="AI229" i="8"/>
  <c r="AH229" i="8"/>
  <c r="AG229" i="8"/>
  <c r="AF229" i="8"/>
  <c r="AK228" i="8"/>
  <c r="AH228" i="8"/>
  <c r="AG228" i="8"/>
  <c r="AF228" i="8"/>
  <c r="AG227" i="8"/>
  <c r="AK226" i="8"/>
  <c r="AJ226" i="8"/>
  <c r="AI226" i="8"/>
  <c r="AH226" i="8"/>
  <c r="AG226" i="8"/>
  <c r="AF226" i="8"/>
  <c r="AE226" i="8"/>
  <c r="AD226" i="8"/>
  <c r="AC226" i="8"/>
  <c r="Z226" i="8"/>
  <c r="Y226" i="8"/>
  <c r="X226" i="8"/>
  <c r="AG128" i="8"/>
  <c r="AF127" i="8"/>
  <c r="AE125" i="8"/>
  <c r="AD127" i="8"/>
  <c r="AD126" i="8"/>
  <c r="AJ237" i="7"/>
  <c r="AI237" i="7"/>
  <c r="AJ236" i="7"/>
  <c r="AI236" i="7"/>
  <c r="AJ234" i="7"/>
  <c r="AI234" i="7"/>
  <c r="AG234" i="7"/>
  <c r="AF234" i="7"/>
  <c r="AK233" i="7"/>
  <c r="AD240" i="7" s="1"/>
  <c r="AJ233" i="7"/>
  <c r="AI233" i="7"/>
  <c r="AG233" i="7"/>
  <c r="AF233" i="7"/>
  <c r="AK231" i="7"/>
  <c r="AJ231" i="7"/>
  <c r="AI231" i="7"/>
  <c r="AH231" i="7"/>
  <c r="AG231" i="7"/>
  <c r="AB236" i="7" s="1"/>
  <c r="AF231" i="7"/>
  <c r="AE231" i="7"/>
  <c r="AD231" i="7"/>
  <c r="AC231" i="7"/>
  <c r="AB232" i="7" s="1"/>
  <c r="AK230" i="7"/>
  <c r="AJ230" i="7"/>
  <c r="AI230" i="7"/>
  <c r="AH230" i="7"/>
  <c r="AG230" i="7"/>
  <c r="AF230" i="7"/>
  <c r="AA235" i="7" s="1"/>
  <c r="AE230" i="7"/>
  <c r="AD230" i="7"/>
  <c r="AA233" i="7" s="1"/>
  <c r="AC230" i="7"/>
  <c r="AJ229" i="7"/>
  <c r="AI229" i="7"/>
  <c r="AG229" i="7"/>
  <c r="AF229" i="7"/>
  <c r="AE229" i="7"/>
  <c r="AD229" i="7"/>
  <c r="AC229" i="7"/>
  <c r="AJ228" i="7"/>
  <c r="AI228" i="7"/>
  <c r="AC228" i="7"/>
  <c r="AJ227" i="7"/>
  <c r="AI227" i="7"/>
  <c r="AG227" i="7"/>
  <c r="AF227" i="7"/>
  <c r="AE227" i="7"/>
  <c r="AD227" i="7"/>
  <c r="AC227" i="7"/>
  <c r="Y227" i="7"/>
  <c r="AJ226" i="7"/>
  <c r="AI226" i="7"/>
  <c r="AG226" i="7"/>
  <c r="AF226" i="7"/>
  <c r="AE226" i="7"/>
  <c r="AD226" i="7"/>
  <c r="W233" i="7" s="1"/>
  <c r="AC226" i="7"/>
  <c r="Y226" i="7"/>
  <c r="X226" i="7"/>
  <c r="AA127" i="7"/>
  <c r="AA125" i="7"/>
  <c r="X128" i="7"/>
  <c r="X124" i="7"/>
  <c r="AJ240" i="10"/>
  <c r="AI240" i="10"/>
  <c r="AH240" i="10"/>
  <c r="AG240" i="10"/>
  <c r="AE240" i="10"/>
  <c r="AD240" i="10"/>
  <c r="AC240" i="10"/>
  <c r="AB240" i="10"/>
  <c r="AA240" i="10"/>
  <c r="Z240" i="10"/>
  <c r="Y240" i="10"/>
  <c r="X240" i="10"/>
  <c r="W240" i="10"/>
  <c r="AI239" i="10"/>
  <c r="AH239" i="10"/>
  <c r="AG239" i="10"/>
  <c r="AF239" i="10"/>
  <c r="AE239" i="10"/>
  <c r="AC239" i="10"/>
  <c r="AB239" i="10"/>
  <c r="AA239" i="10"/>
  <c r="Z239" i="10"/>
  <c r="Y239" i="10"/>
  <c r="X239" i="10"/>
  <c r="W239" i="10"/>
  <c r="AH238" i="10"/>
  <c r="AG238" i="10"/>
  <c r="AE238" i="10"/>
  <c r="AD238" i="10"/>
  <c r="AC238" i="10"/>
  <c r="AB238" i="10"/>
  <c r="AA238" i="10"/>
  <c r="Z238" i="10"/>
  <c r="Y238" i="10"/>
  <c r="X238" i="10"/>
  <c r="W238" i="10"/>
  <c r="AG237" i="10"/>
  <c r="AF237" i="10"/>
  <c r="AE237" i="10"/>
  <c r="AD237" i="10"/>
  <c r="AB237" i="10"/>
  <c r="AA237" i="10"/>
  <c r="Z237" i="10"/>
  <c r="Y237" i="10"/>
  <c r="X237" i="10"/>
  <c r="W237" i="10"/>
  <c r="AF236" i="10"/>
  <c r="AE236" i="10"/>
  <c r="AD236" i="10"/>
  <c r="AC236" i="10"/>
  <c r="AB236" i="10"/>
  <c r="AA236" i="10"/>
  <c r="Z236" i="10"/>
  <c r="Y236" i="10"/>
  <c r="X236" i="10"/>
  <c r="W236" i="10"/>
  <c r="AE235" i="10"/>
  <c r="AD235" i="10"/>
  <c r="AC235" i="10"/>
  <c r="AB235" i="10"/>
  <c r="AA235" i="10"/>
  <c r="Z235" i="10"/>
  <c r="Y235" i="10"/>
  <c r="W235" i="10"/>
  <c r="AC234" i="10"/>
  <c r="AB234" i="10"/>
  <c r="AA234" i="10"/>
  <c r="Z234" i="10"/>
  <c r="Y234" i="10"/>
  <c r="X234" i="10"/>
  <c r="W234" i="10"/>
  <c r="AC233" i="10"/>
  <c r="AB233" i="10"/>
  <c r="AA233" i="10"/>
  <c r="Z233" i="10"/>
  <c r="Y233" i="10"/>
  <c r="X233" i="10"/>
  <c r="W233" i="10"/>
  <c r="AB232" i="10"/>
  <c r="AA232" i="10"/>
  <c r="Z232" i="10"/>
  <c r="Y232" i="10"/>
  <c r="X232" i="10"/>
  <c r="W232" i="10"/>
  <c r="AA231" i="10"/>
  <c r="Z231" i="10"/>
  <c r="Y231" i="10"/>
  <c r="X231" i="10"/>
  <c r="W231" i="10"/>
  <c r="Z230" i="10"/>
  <c r="Y230" i="10"/>
  <c r="X230" i="10"/>
  <c r="W230" i="10"/>
  <c r="Y229" i="10"/>
  <c r="X229" i="10"/>
  <c r="X228" i="10"/>
  <c r="W228" i="10"/>
  <c r="W227" i="10"/>
  <c r="AJ130" i="10"/>
  <c r="AI130" i="10"/>
  <c r="AH130" i="10"/>
  <c r="AG130" i="10"/>
  <c r="AF130" i="10"/>
  <c r="AE130" i="10"/>
  <c r="AB130" i="10"/>
  <c r="AA130" i="10"/>
  <c r="Z130" i="10"/>
  <c r="Y130" i="10"/>
  <c r="W130" i="10"/>
  <c r="AI129" i="10"/>
  <c r="AH129" i="10"/>
  <c r="AG129" i="10"/>
  <c r="AF129" i="10"/>
  <c r="AE129" i="10"/>
  <c r="AD129" i="10"/>
  <c r="AB129" i="10"/>
  <c r="AA129" i="10"/>
  <c r="Z129" i="10"/>
  <c r="Y129" i="10"/>
  <c r="X129" i="10"/>
  <c r="W129" i="10"/>
  <c r="AH128" i="10"/>
  <c r="AG128" i="10"/>
  <c r="AF128" i="10"/>
  <c r="AE128" i="10"/>
  <c r="AA128" i="10"/>
  <c r="Z128" i="10"/>
  <c r="Y128" i="10"/>
  <c r="W128" i="10"/>
  <c r="AG127" i="10"/>
  <c r="AF127" i="10"/>
  <c r="AE127" i="10"/>
  <c r="AB127" i="10"/>
  <c r="AA127" i="10"/>
  <c r="Z127" i="10"/>
  <c r="Y127" i="10"/>
  <c r="W127" i="10"/>
  <c r="AF126" i="10"/>
  <c r="AE126" i="10"/>
  <c r="AD126" i="10"/>
  <c r="AB126" i="10"/>
  <c r="AA126" i="10"/>
  <c r="Y126" i="10"/>
  <c r="X126" i="10"/>
  <c r="W126" i="10"/>
  <c r="AE125" i="10"/>
  <c r="AC125" i="10"/>
  <c r="AB125" i="10"/>
  <c r="AA125" i="10"/>
  <c r="Z125" i="10"/>
  <c r="Y125" i="10"/>
  <c r="W125" i="10"/>
  <c r="AC124" i="10"/>
  <c r="AB124" i="10"/>
  <c r="AA124" i="10"/>
  <c r="Z124" i="10"/>
  <c r="Y124" i="10"/>
  <c r="AC123" i="10"/>
  <c r="AB123" i="10"/>
  <c r="AA123" i="10"/>
  <c r="Z123" i="10"/>
  <c r="Y123" i="10"/>
  <c r="W123" i="10"/>
  <c r="AB122" i="10"/>
  <c r="AA122" i="10"/>
  <c r="Z122" i="10"/>
  <c r="Y122" i="10"/>
  <c r="X122" i="10"/>
  <c r="W122" i="10"/>
  <c r="AA121" i="10"/>
  <c r="Z121" i="10"/>
  <c r="Y121" i="10"/>
  <c r="W121" i="10"/>
  <c r="X119" i="10"/>
  <c r="X118" i="10"/>
  <c r="W118" i="10"/>
  <c r="AJ20" i="10"/>
  <c r="AH20" i="10"/>
  <c r="AE20" i="10"/>
  <c r="AC20" i="10"/>
  <c r="AB20" i="10"/>
  <c r="AA20" i="10"/>
  <c r="Z20" i="10"/>
  <c r="Y20" i="10"/>
  <c r="X20" i="10"/>
  <c r="AI19" i="10"/>
  <c r="AH19" i="10"/>
  <c r="AG19" i="10"/>
  <c r="AE19" i="10"/>
  <c r="AD19" i="10"/>
  <c r="AC19" i="10"/>
  <c r="AB19" i="10"/>
  <c r="AA19" i="10"/>
  <c r="Z19" i="10"/>
  <c r="Y19" i="10"/>
  <c r="X19" i="10"/>
  <c r="W19" i="10"/>
  <c r="AG18" i="10"/>
  <c r="AF18" i="10"/>
  <c r="AE18" i="10"/>
  <c r="AD18" i="10"/>
  <c r="AC18" i="10"/>
  <c r="AB18" i="10"/>
  <c r="AA18" i="10"/>
  <c r="Z18" i="10"/>
  <c r="Y18" i="10"/>
  <c r="X18" i="10"/>
  <c r="W18" i="10"/>
  <c r="AG17" i="10"/>
  <c r="AF17" i="10"/>
  <c r="AE17" i="10"/>
  <c r="AC17" i="10"/>
  <c r="AA17" i="10"/>
  <c r="Z17" i="10"/>
  <c r="Y17" i="10"/>
  <c r="W17" i="10"/>
  <c r="AE16" i="10"/>
  <c r="AC16" i="10"/>
  <c r="AA16" i="10"/>
  <c r="Y16" i="10"/>
  <c r="X16" i="10"/>
  <c r="AE15" i="10"/>
  <c r="AD15" i="10"/>
  <c r="AC15" i="10"/>
  <c r="AB15" i="10"/>
  <c r="AA15" i="10"/>
  <c r="Z15" i="10"/>
  <c r="Y15" i="10"/>
  <c r="X15" i="10"/>
  <c r="W15" i="10"/>
  <c r="AD14" i="10"/>
  <c r="AC14" i="10"/>
  <c r="AB14" i="10"/>
  <c r="AA14" i="10"/>
  <c r="Z14" i="10"/>
  <c r="Y14" i="10"/>
  <c r="AC13" i="10"/>
  <c r="AB13" i="10"/>
  <c r="AA13" i="10"/>
  <c r="Z13" i="10"/>
  <c r="Y13" i="10"/>
  <c r="W13" i="10"/>
  <c r="AB12" i="10"/>
  <c r="AA12" i="10"/>
  <c r="Z12" i="10"/>
  <c r="Y12" i="10"/>
  <c r="W12" i="10"/>
  <c r="AA11" i="10"/>
  <c r="Z11" i="10"/>
  <c r="W11" i="10"/>
  <c r="Z10" i="10"/>
  <c r="W9" i="10"/>
  <c r="X8" i="10"/>
  <c r="W8" i="10"/>
  <c r="W7" i="10"/>
  <c r="AJ240" i="9"/>
  <c r="AI240" i="9"/>
  <c r="AH240" i="9"/>
  <c r="AG240" i="9"/>
  <c r="AF240" i="9"/>
  <c r="AE240" i="9"/>
  <c r="AD240" i="9"/>
  <c r="AC240" i="9"/>
  <c r="AB240" i="9"/>
  <c r="AA240" i="9"/>
  <c r="Z240" i="9"/>
  <c r="Y240" i="9"/>
  <c r="X240" i="9"/>
  <c r="W240" i="9"/>
  <c r="AI239" i="9"/>
  <c r="AH239" i="9"/>
  <c r="AG239" i="9"/>
  <c r="AF239" i="9"/>
  <c r="AE239" i="9"/>
  <c r="AD239" i="9"/>
  <c r="AC239" i="9"/>
  <c r="AB239" i="9"/>
  <c r="AA239" i="9"/>
  <c r="Z239" i="9"/>
  <c r="Y239" i="9"/>
  <c r="X239" i="9"/>
  <c r="W239" i="9"/>
  <c r="AH238" i="9"/>
  <c r="AG238" i="9"/>
  <c r="AF238" i="9"/>
  <c r="AE238" i="9"/>
  <c r="AD238" i="9"/>
  <c r="AC238" i="9"/>
  <c r="AB238" i="9"/>
  <c r="AA238" i="9"/>
  <c r="Z238" i="9"/>
  <c r="Y238" i="9"/>
  <c r="X238" i="9"/>
  <c r="W238" i="9"/>
  <c r="AG237" i="9"/>
  <c r="AF237" i="9"/>
  <c r="AE237" i="9"/>
  <c r="AD237" i="9"/>
  <c r="AC237" i="9"/>
  <c r="AB237" i="9"/>
  <c r="AA237" i="9"/>
  <c r="Z237" i="9"/>
  <c r="Y237" i="9"/>
  <c r="X237" i="9"/>
  <c r="W237" i="9"/>
  <c r="AF236" i="9"/>
  <c r="AE236" i="9"/>
  <c r="AD236" i="9"/>
  <c r="AC236" i="9"/>
  <c r="AB236" i="9"/>
  <c r="AA236" i="9"/>
  <c r="Z236" i="9"/>
  <c r="Y236" i="9"/>
  <c r="X236" i="9"/>
  <c r="W236" i="9"/>
  <c r="AE235" i="9"/>
  <c r="AD235" i="9"/>
  <c r="AC235" i="9"/>
  <c r="AB235" i="9"/>
  <c r="AA235" i="9"/>
  <c r="Z235" i="9"/>
  <c r="Y235" i="9"/>
  <c r="X235" i="9"/>
  <c r="W235" i="9"/>
  <c r="AD234" i="9"/>
  <c r="AC234" i="9"/>
  <c r="AB234" i="9"/>
  <c r="AA234" i="9"/>
  <c r="Z234" i="9"/>
  <c r="Y234" i="9"/>
  <c r="X234" i="9"/>
  <c r="W234" i="9"/>
  <c r="AC233" i="9"/>
  <c r="AB233" i="9"/>
  <c r="AA233" i="9"/>
  <c r="Z233" i="9"/>
  <c r="Y233" i="9"/>
  <c r="X233" i="9"/>
  <c r="W233" i="9"/>
  <c r="AB232" i="9"/>
  <c r="AA232" i="9"/>
  <c r="Z232" i="9"/>
  <c r="Y232" i="9"/>
  <c r="X232" i="9"/>
  <c r="W232" i="9"/>
  <c r="AA231" i="9"/>
  <c r="Z231" i="9"/>
  <c r="Y231" i="9"/>
  <c r="X231" i="9"/>
  <c r="W231" i="9"/>
  <c r="Z230" i="9"/>
  <c r="Y230" i="9"/>
  <c r="X230" i="9"/>
  <c r="W230" i="9"/>
  <c r="Y229" i="9"/>
  <c r="X229" i="9"/>
  <c r="W229" i="9"/>
  <c r="X228" i="9"/>
  <c r="W228" i="9"/>
  <c r="W227" i="9"/>
  <c r="AJ130" i="9"/>
  <c r="AI130" i="9"/>
  <c r="AH130" i="9"/>
  <c r="AG130" i="9"/>
  <c r="AF130" i="9"/>
  <c r="AD130" i="9"/>
  <c r="Y130" i="9"/>
  <c r="X130" i="9"/>
  <c r="W130" i="9"/>
  <c r="AI129" i="9"/>
  <c r="AH129" i="9"/>
  <c r="AG129" i="9"/>
  <c r="AF129" i="9"/>
  <c r="AE129" i="9"/>
  <c r="AD129" i="9"/>
  <c r="AC129" i="9"/>
  <c r="AB129" i="9"/>
  <c r="AA129" i="9"/>
  <c r="Z129" i="9"/>
  <c r="W129" i="9"/>
  <c r="AH128" i="9"/>
  <c r="AG128" i="9"/>
  <c r="AF128" i="9"/>
  <c r="AD128" i="9"/>
  <c r="Y128" i="9"/>
  <c r="W128" i="9"/>
  <c r="AF127" i="9"/>
  <c r="AE127" i="9"/>
  <c r="AD127" i="9"/>
  <c r="AC127" i="9"/>
  <c r="AA127" i="9"/>
  <c r="Z127" i="9"/>
  <c r="Y127" i="9"/>
  <c r="X127" i="9"/>
  <c r="W127" i="9"/>
  <c r="AF126" i="9"/>
  <c r="AE126" i="9"/>
  <c r="AD126" i="9"/>
  <c r="AC126" i="9"/>
  <c r="AB126" i="9"/>
  <c r="Z126" i="9"/>
  <c r="Y126" i="9"/>
  <c r="W126" i="9"/>
  <c r="AE125" i="9"/>
  <c r="AD125" i="9"/>
  <c r="AC125" i="9"/>
  <c r="Y125" i="9"/>
  <c r="AD124" i="9"/>
  <c r="AA124" i="9"/>
  <c r="Z124" i="9"/>
  <c r="Y124" i="9"/>
  <c r="W124" i="9"/>
  <c r="AA123" i="9"/>
  <c r="Z123" i="9"/>
  <c r="Y123" i="9"/>
  <c r="W123" i="9"/>
  <c r="Z122" i="9"/>
  <c r="Y122" i="9"/>
  <c r="W122" i="9"/>
  <c r="AA121" i="9"/>
  <c r="Z121" i="9"/>
  <c r="Y121" i="9"/>
  <c r="X121" i="9"/>
  <c r="W121" i="9"/>
  <c r="Z120" i="9"/>
  <c r="Y120" i="9"/>
  <c r="X120" i="9"/>
  <c r="W120" i="9"/>
  <c r="Y119" i="9"/>
  <c r="X119" i="9"/>
  <c r="W119" i="9"/>
  <c r="X118" i="9"/>
  <c r="W118" i="9"/>
  <c r="W117" i="9"/>
  <c r="AJ20" i="9"/>
  <c r="AF20" i="9"/>
  <c r="AE20" i="9"/>
  <c r="AD20" i="9"/>
  <c r="AC20" i="9"/>
  <c r="AB20" i="9"/>
  <c r="Z20" i="9"/>
  <c r="Y20" i="9"/>
  <c r="X20" i="9"/>
  <c r="W20" i="9"/>
  <c r="AI19" i="9"/>
  <c r="AG19" i="9"/>
  <c r="AF19" i="9"/>
  <c r="AE19" i="9"/>
  <c r="AD19" i="9"/>
  <c r="AB19" i="9"/>
  <c r="AA19" i="9"/>
  <c r="Z19" i="9"/>
  <c r="Y19" i="9"/>
  <c r="X19" i="9"/>
  <c r="W19" i="9"/>
  <c r="AF18" i="9"/>
  <c r="AE18" i="9"/>
  <c r="AD18" i="9"/>
  <c r="Z18" i="9"/>
  <c r="Y18" i="9"/>
  <c r="X18" i="9"/>
  <c r="W18" i="9"/>
  <c r="AG17" i="9"/>
  <c r="AF17" i="9"/>
  <c r="AE17" i="9"/>
  <c r="AD17" i="9"/>
  <c r="AC17" i="9"/>
  <c r="AB17" i="9"/>
  <c r="Z17" i="9"/>
  <c r="Y17" i="9"/>
  <c r="X17" i="9"/>
  <c r="W17" i="9"/>
  <c r="AF16" i="9"/>
  <c r="AE16" i="9"/>
  <c r="AD16" i="9"/>
  <c r="AC16" i="9"/>
  <c r="Z16" i="9"/>
  <c r="Y16" i="9"/>
  <c r="W16" i="9"/>
  <c r="AE15" i="9"/>
  <c r="AD15" i="9"/>
  <c r="Z15" i="9"/>
  <c r="Y15" i="9"/>
  <c r="X15" i="9"/>
  <c r="W15" i="9"/>
  <c r="AD14" i="9"/>
  <c r="AC14" i="9"/>
  <c r="AB14" i="9"/>
  <c r="Z14" i="9"/>
  <c r="Y14" i="9"/>
  <c r="X14" i="9"/>
  <c r="W14" i="9"/>
  <c r="AC13" i="9"/>
  <c r="AB13" i="9"/>
  <c r="AA13" i="9"/>
  <c r="Z13" i="9"/>
  <c r="Y13" i="9"/>
  <c r="W13" i="9"/>
  <c r="Z12" i="9"/>
  <c r="Y12" i="9"/>
  <c r="W12" i="9"/>
  <c r="AA11" i="9"/>
  <c r="Z11" i="9"/>
  <c r="Y11" i="9"/>
  <c r="X11" i="9"/>
  <c r="W11" i="9"/>
  <c r="Z10" i="9"/>
  <c r="Y10" i="9"/>
  <c r="X10" i="9"/>
  <c r="W10" i="9"/>
  <c r="Y9" i="9"/>
  <c r="X9" i="9"/>
  <c r="W9" i="9"/>
  <c r="X8" i="9"/>
  <c r="W8" i="9"/>
  <c r="W7" i="9"/>
  <c r="AJ240" i="8"/>
  <c r="AI240" i="8"/>
  <c r="AH240" i="8"/>
  <c r="AG240" i="8"/>
  <c r="AF240" i="8"/>
  <c r="AE240" i="8"/>
  <c r="AD240" i="8"/>
  <c r="AC240" i="8"/>
  <c r="AB240" i="8"/>
  <c r="AA240" i="8"/>
  <c r="Z240" i="8"/>
  <c r="X240" i="8"/>
  <c r="W240" i="8"/>
  <c r="AI239" i="8"/>
  <c r="AH239" i="8"/>
  <c r="AG239" i="8"/>
  <c r="AF239" i="8"/>
  <c r="AD239" i="8"/>
  <c r="AC239" i="8"/>
  <c r="AB239" i="8"/>
  <c r="AA239" i="8"/>
  <c r="Z239" i="8"/>
  <c r="X239" i="8"/>
  <c r="W239" i="8"/>
  <c r="AH238" i="8"/>
  <c r="AG238" i="8"/>
  <c r="AF238" i="8"/>
  <c r="AE238" i="8"/>
  <c r="AD238" i="8"/>
  <c r="AC238" i="8"/>
  <c r="AB238" i="8"/>
  <c r="AA238" i="8"/>
  <c r="Z238" i="8"/>
  <c r="X238" i="8"/>
  <c r="W238" i="8"/>
  <c r="AG237" i="8"/>
  <c r="AF237" i="8"/>
  <c r="AE237" i="8"/>
  <c r="AD237" i="8"/>
  <c r="AC237" i="8"/>
  <c r="AB237" i="8"/>
  <c r="AA237" i="8"/>
  <c r="Z237" i="8"/>
  <c r="X237" i="8"/>
  <c r="W237" i="8"/>
  <c r="AF236" i="8"/>
  <c r="AE236" i="8"/>
  <c r="AD236" i="8"/>
  <c r="AC236" i="8"/>
  <c r="AB236" i="8"/>
  <c r="AA236" i="8"/>
  <c r="Z236" i="8"/>
  <c r="X236" i="8"/>
  <c r="W236" i="8"/>
  <c r="AE235" i="8"/>
  <c r="AD235" i="8"/>
  <c r="AC235" i="8"/>
  <c r="AB235" i="8"/>
  <c r="AA235" i="8"/>
  <c r="Z235" i="8"/>
  <c r="X235" i="8"/>
  <c r="W235" i="8"/>
  <c r="AD234" i="8"/>
  <c r="AC234" i="8"/>
  <c r="AB234" i="8"/>
  <c r="AA234" i="8"/>
  <c r="Z234" i="8"/>
  <c r="X234" i="8"/>
  <c r="W234" i="8"/>
  <c r="AC233" i="8"/>
  <c r="AB233" i="8"/>
  <c r="AA233" i="8"/>
  <c r="Z233" i="8"/>
  <c r="X233" i="8"/>
  <c r="W233" i="8"/>
  <c r="AB232" i="8"/>
  <c r="AA232" i="8"/>
  <c r="Z232" i="8"/>
  <c r="X232" i="8"/>
  <c r="W232" i="8"/>
  <c r="AA231" i="8"/>
  <c r="Z231" i="8"/>
  <c r="Y231" i="8"/>
  <c r="X231" i="8"/>
  <c r="W231" i="8"/>
  <c r="Z230" i="8"/>
  <c r="Y230" i="8"/>
  <c r="X230" i="8"/>
  <c r="W230" i="8"/>
  <c r="X229" i="8"/>
  <c r="W229" i="8"/>
  <c r="X228" i="8"/>
  <c r="W228" i="8"/>
  <c r="W227" i="8"/>
  <c r="AJ130" i="8"/>
  <c r="AI130" i="8"/>
  <c r="AH130" i="8"/>
  <c r="AG130" i="8"/>
  <c r="AF130" i="8"/>
  <c r="AE130" i="8"/>
  <c r="AD130" i="8"/>
  <c r="AC130" i="8"/>
  <c r="AB130" i="8"/>
  <c r="AA130" i="8"/>
  <c r="Y130" i="8"/>
  <c r="X130" i="8"/>
  <c r="W130" i="8"/>
  <c r="AI129" i="8"/>
  <c r="AH129" i="8"/>
  <c r="AG129" i="8"/>
  <c r="AF129" i="8"/>
  <c r="AD129" i="8"/>
  <c r="AC129" i="8"/>
  <c r="Z129" i="8"/>
  <c r="Y129" i="8"/>
  <c r="X129" i="8"/>
  <c r="W129" i="8"/>
  <c r="AH128" i="8"/>
  <c r="AF128" i="8"/>
  <c r="AD128" i="8"/>
  <c r="AC128" i="8"/>
  <c r="AB128" i="8"/>
  <c r="AA128" i="8"/>
  <c r="Z128" i="8"/>
  <c r="X128" i="8"/>
  <c r="W128" i="8"/>
  <c r="AG127" i="8"/>
  <c r="AE127" i="8"/>
  <c r="AC127" i="8"/>
  <c r="AB127" i="8"/>
  <c r="AA127" i="8"/>
  <c r="Z127" i="8"/>
  <c r="Y127" i="8"/>
  <c r="X127" i="8"/>
  <c r="W127" i="8"/>
  <c r="AF126" i="8"/>
  <c r="AE126" i="8"/>
  <c r="AC126" i="8"/>
  <c r="AB126" i="8"/>
  <c r="AA126" i="8"/>
  <c r="Z126" i="8"/>
  <c r="Y126" i="8"/>
  <c r="X126" i="8"/>
  <c r="W126" i="8"/>
  <c r="AD125" i="8"/>
  <c r="AC125" i="8"/>
  <c r="AB125" i="8"/>
  <c r="AA125" i="8"/>
  <c r="Z125" i="8"/>
  <c r="Y125" i="8"/>
  <c r="AD124" i="8"/>
  <c r="AC124" i="8"/>
  <c r="AB124" i="8"/>
  <c r="AA124" i="8"/>
  <c r="Z124" i="8"/>
  <c r="Y124" i="8"/>
  <c r="X124" i="8"/>
  <c r="W124" i="8"/>
  <c r="AC123" i="8"/>
  <c r="AA123" i="8"/>
  <c r="Z123" i="8"/>
  <c r="Y123" i="8"/>
  <c r="X123" i="8"/>
  <c r="W123" i="8"/>
  <c r="AA122" i="8"/>
  <c r="Z122" i="8"/>
  <c r="Y122" i="8"/>
  <c r="X122" i="8"/>
  <c r="AA121" i="8"/>
  <c r="Z121" i="8"/>
  <c r="Y121" i="8"/>
  <c r="X121" i="8"/>
  <c r="Z120" i="8"/>
  <c r="Y120" i="8"/>
  <c r="X120" i="8"/>
  <c r="Y119" i="8"/>
  <c r="X119" i="8"/>
  <c r="W119" i="8"/>
  <c r="X118" i="8"/>
  <c r="W118" i="8"/>
  <c r="W117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AH18" i="8"/>
  <c r="AG18" i="8"/>
  <c r="AF18" i="8"/>
  <c r="AE18" i="8"/>
  <c r="AD18" i="8"/>
  <c r="AC18" i="8"/>
  <c r="AB18" i="8"/>
  <c r="AA18" i="8"/>
  <c r="X18" i="8"/>
  <c r="W18" i="8"/>
  <c r="AG17" i="8"/>
  <c r="AF17" i="8"/>
  <c r="AD17" i="8"/>
  <c r="AB17" i="8"/>
  <c r="AA17" i="8"/>
  <c r="Z17" i="8"/>
  <c r="Y17" i="8"/>
  <c r="X17" i="8"/>
  <c r="W17" i="8"/>
  <c r="AF16" i="8"/>
  <c r="AE16" i="8"/>
  <c r="AD16" i="8"/>
  <c r="AC16" i="8"/>
  <c r="AB16" i="8"/>
  <c r="AA16" i="8"/>
  <c r="Z16" i="8"/>
  <c r="Y16" i="8"/>
  <c r="X16" i="8"/>
  <c r="W16" i="8"/>
  <c r="AE15" i="8"/>
  <c r="AD15" i="8"/>
  <c r="AC15" i="8"/>
  <c r="AB15" i="8"/>
  <c r="AA15" i="8"/>
  <c r="Z15" i="8"/>
  <c r="Y15" i="8"/>
  <c r="X15" i="8"/>
  <c r="W15" i="8"/>
  <c r="AD14" i="8"/>
  <c r="AC14" i="8"/>
  <c r="AB14" i="8"/>
  <c r="AA14" i="8"/>
  <c r="Z14" i="8"/>
  <c r="Y14" i="8"/>
  <c r="X14" i="8"/>
  <c r="W14" i="8"/>
  <c r="AC13" i="8"/>
  <c r="AB13" i="8"/>
  <c r="AA13" i="8"/>
  <c r="Z13" i="8"/>
  <c r="Y13" i="8"/>
  <c r="X13" i="8"/>
  <c r="W13" i="8"/>
  <c r="AB12" i="8"/>
  <c r="AA12" i="8"/>
  <c r="Z12" i="8"/>
  <c r="Y12" i="8"/>
  <c r="X12" i="8"/>
  <c r="W12" i="8"/>
  <c r="AA11" i="8"/>
  <c r="Z11" i="8"/>
  <c r="Y11" i="8"/>
  <c r="X11" i="8"/>
  <c r="W11" i="8"/>
  <c r="Z10" i="8"/>
  <c r="Y10" i="8"/>
  <c r="X10" i="8"/>
  <c r="Y9" i="8"/>
  <c r="X9" i="8"/>
  <c r="W9" i="8"/>
  <c r="X8" i="8"/>
  <c r="W8" i="8"/>
  <c r="W7" i="8"/>
  <c r="AJ240" i="7"/>
  <c r="AI240" i="7"/>
  <c r="AH240" i="7"/>
  <c r="AG240" i="7"/>
  <c r="AF240" i="7"/>
  <c r="AE240" i="7"/>
  <c r="AC240" i="7"/>
  <c r="AB240" i="7"/>
  <c r="AA240" i="7"/>
  <c r="Z240" i="7"/>
  <c r="Y240" i="7"/>
  <c r="X240" i="7"/>
  <c r="W240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AG237" i="7"/>
  <c r="AF237" i="7"/>
  <c r="AE237" i="7"/>
  <c r="AD237" i="7"/>
  <c r="AC237" i="7"/>
  <c r="AB237" i="7"/>
  <c r="AA237" i="7"/>
  <c r="Z237" i="7"/>
  <c r="Y237" i="7"/>
  <c r="X237" i="7"/>
  <c r="W237" i="7"/>
  <c r="AF236" i="7"/>
  <c r="AE236" i="7"/>
  <c r="AD236" i="7"/>
  <c r="AC236" i="7"/>
  <c r="AA236" i="7"/>
  <c r="Z236" i="7"/>
  <c r="Y236" i="7"/>
  <c r="X236" i="7"/>
  <c r="W236" i="7"/>
  <c r="AE235" i="7"/>
  <c r="AD235" i="7"/>
  <c r="AC235" i="7"/>
  <c r="AB235" i="7"/>
  <c r="Z235" i="7"/>
  <c r="Y235" i="7"/>
  <c r="X235" i="7"/>
  <c r="W235" i="7"/>
  <c r="AD234" i="7"/>
  <c r="AC234" i="7"/>
  <c r="AB234" i="7"/>
  <c r="AA234" i="7"/>
  <c r="Z234" i="7"/>
  <c r="Y234" i="7"/>
  <c r="X234" i="7"/>
  <c r="W234" i="7"/>
  <c r="AC233" i="7"/>
  <c r="AB233" i="7"/>
  <c r="Z233" i="7"/>
  <c r="Y233" i="7"/>
  <c r="X233" i="7"/>
  <c r="AA232" i="7"/>
  <c r="Z232" i="7"/>
  <c r="Y232" i="7"/>
  <c r="X232" i="7"/>
  <c r="W232" i="7"/>
  <c r="AA231" i="7"/>
  <c r="Z231" i="7"/>
  <c r="Y231" i="7"/>
  <c r="X231" i="7"/>
  <c r="W231" i="7"/>
  <c r="Z230" i="7"/>
  <c r="Y230" i="7"/>
  <c r="X230" i="7"/>
  <c r="W230" i="7"/>
  <c r="Y229" i="7"/>
  <c r="X229" i="7"/>
  <c r="W229" i="7"/>
  <c r="X228" i="7"/>
  <c r="W228" i="7"/>
  <c r="W227" i="7"/>
  <c r="AJ130" i="7"/>
  <c r="AI130" i="7"/>
  <c r="AH130" i="7"/>
  <c r="AG130" i="7"/>
  <c r="AF130" i="7"/>
  <c r="AE130" i="7"/>
  <c r="AD130" i="7"/>
  <c r="AC130" i="7"/>
  <c r="Z130" i="7"/>
  <c r="Y130" i="7"/>
  <c r="X130" i="7"/>
  <c r="AH129" i="7"/>
  <c r="AC129" i="7"/>
  <c r="AA129" i="7"/>
  <c r="X129" i="7"/>
  <c r="W129" i="7"/>
  <c r="AH128" i="7"/>
  <c r="AG128" i="7"/>
  <c r="AE128" i="7"/>
  <c r="AC128" i="7"/>
  <c r="AB128" i="7"/>
  <c r="AA128" i="7"/>
  <c r="Z128" i="7"/>
  <c r="Y128" i="7"/>
  <c r="AG127" i="7"/>
  <c r="AF127" i="7"/>
  <c r="AE127" i="7"/>
  <c r="AD127" i="7"/>
  <c r="AC127" i="7"/>
  <c r="Y127" i="7"/>
  <c r="X127" i="7"/>
  <c r="AG129" i="7"/>
  <c r="AE126" i="7"/>
  <c r="AC126" i="7"/>
  <c r="AA126" i="7"/>
  <c r="Z126" i="7"/>
  <c r="Y126" i="7"/>
  <c r="X126" i="7"/>
  <c r="W126" i="7"/>
  <c r="AF129" i="7"/>
  <c r="AF128" i="7"/>
  <c r="AE125" i="7"/>
  <c r="AD125" i="7"/>
  <c r="Y125" i="7"/>
  <c r="AE129" i="7"/>
  <c r="AC124" i="7"/>
  <c r="AA124" i="7"/>
  <c r="Y124" i="7"/>
  <c r="AD129" i="7"/>
  <c r="AD128" i="7"/>
  <c r="AD126" i="7"/>
  <c r="AD124" i="7"/>
  <c r="AC123" i="7"/>
  <c r="AA123" i="7"/>
  <c r="Z123" i="7"/>
  <c r="Y123" i="7"/>
  <c r="AC125" i="7"/>
  <c r="Y122" i="7"/>
  <c r="X122" i="7"/>
  <c r="AB129" i="7"/>
  <c r="AB127" i="7"/>
  <c r="AB126" i="7"/>
  <c r="AB125" i="7"/>
  <c r="AB124" i="7"/>
  <c r="AB122" i="7"/>
  <c r="AA121" i="7"/>
  <c r="Z121" i="7"/>
  <c r="Y121" i="7"/>
  <c r="X121" i="7"/>
  <c r="W121" i="7"/>
  <c r="Z120" i="7"/>
  <c r="Y120" i="7"/>
  <c r="X120" i="7"/>
  <c r="W120" i="7"/>
  <c r="Z129" i="7"/>
  <c r="Z127" i="7"/>
  <c r="Z125" i="7"/>
  <c r="Z124" i="7"/>
  <c r="Z122" i="7"/>
  <c r="Y119" i="7"/>
  <c r="X119" i="7"/>
  <c r="W119" i="7"/>
  <c r="Y129" i="7"/>
  <c r="W118" i="7"/>
  <c r="X125" i="7"/>
  <c r="X123" i="7"/>
  <c r="X118" i="7"/>
  <c r="W130" i="7"/>
  <c r="W124" i="7"/>
  <c r="W123" i="7"/>
  <c r="W122" i="7"/>
  <c r="W117" i="7"/>
  <c r="AJ20" i="7"/>
  <c r="AI20" i="7"/>
  <c r="AI19" i="7"/>
  <c r="AH20" i="7"/>
  <c r="AH19" i="7"/>
  <c r="AH18" i="7"/>
  <c r="AG20" i="7"/>
  <c r="AG19" i="7"/>
  <c r="AG18" i="7"/>
  <c r="AG17" i="7"/>
  <c r="AF20" i="7"/>
  <c r="AF19" i="7"/>
  <c r="AF18" i="7"/>
  <c r="AF17" i="7"/>
  <c r="AF16" i="7"/>
  <c r="AE20" i="7"/>
  <c r="AE19" i="7"/>
  <c r="AE18" i="7"/>
  <c r="AE17" i="7"/>
  <c r="AE16" i="7"/>
  <c r="AE15" i="7"/>
  <c r="AD20" i="7"/>
  <c r="AD19" i="7"/>
  <c r="AD18" i="7"/>
  <c r="AD17" i="7"/>
  <c r="AD16" i="7"/>
  <c r="AD15" i="7"/>
  <c r="AD14" i="7"/>
  <c r="AC13" i="7"/>
  <c r="AC20" i="7"/>
  <c r="AC19" i="7"/>
  <c r="AC18" i="7"/>
  <c r="AC17" i="7"/>
  <c r="AC16" i="7"/>
  <c r="AC15" i="7"/>
  <c r="AC14" i="7"/>
  <c r="AB20" i="7"/>
  <c r="AB19" i="7"/>
  <c r="AB18" i="7"/>
  <c r="AB17" i="7"/>
  <c r="AB16" i="7"/>
  <c r="AB15" i="7"/>
  <c r="AB14" i="7"/>
  <c r="AB13" i="7"/>
  <c r="AB12" i="7"/>
  <c r="AA20" i="7"/>
  <c r="AA19" i="7"/>
  <c r="AA18" i="7"/>
  <c r="AA17" i="7"/>
  <c r="AA16" i="7"/>
  <c r="AA15" i="7"/>
  <c r="AA14" i="7"/>
  <c r="AA13" i="7"/>
  <c r="AA12" i="7"/>
  <c r="AA11" i="7"/>
  <c r="Z20" i="7"/>
  <c r="Z19" i="7"/>
  <c r="Z18" i="7"/>
  <c r="Z17" i="7"/>
  <c r="Z16" i="7"/>
  <c r="Z15" i="7"/>
  <c r="Z14" i="7"/>
  <c r="Z13" i="7"/>
  <c r="Z12" i="7"/>
  <c r="Z11" i="7"/>
  <c r="Z10" i="7"/>
  <c r="Y20" i="7"/>
  <c r="Y19" i="7"/>
  <c r="Y18" i="7"/>
  <c r="Y17" i="7"/>
  <c r="Y16" i="7"/>
  <c r="Y15" i="7"/>
  <c r="Y14" i="7"/>
  <c r="Y13" i="7"/>
  <c r="Y12" i="7"/>
  <c r="Y11" i="7"/>
  <c r="Y10" i="7"/>
  <c r="Y9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AK19" i="7"/>
  <c r="AJ18" i="7"/>
  <c r="AJ17" i="7"/>
  <c r="AI17" i="7"/>
  <c r="AJ16" i="7"/>
  <c r="AJ15" i="7"/>
  <c r="AI15" i="7"/>
  <c r="AG15" i="7"/>
  <c r="AJ14" i="7"/>
  <c r="AI14" i="7"/>
  <c r="AG14" i="7"/>
  <c r="AJ13" i="7"/>
  <c r="AI13" i="7"/>
  <c r="AG13" i="7"/>
  <c r="AE13" i="7"/>
  <c r="AJ12" i="7"/>
  <c r="AI12" i="7"/>
  <c r="AG12" i="7"/>
  <c r="AF12" i="7"/>
  <c r="AE12" i="7"/>
  <c r="AD12" i="7"/>
  <c r="AK11" i="7"/>
  <c r="AJ11" i="7"/>
  <c r="AI11" i="7"/>
  <c r="AH11" i="7"/>
  <c r="AG11" i="7"/>
  <c r="AF11" i="7"/>
  <c r="AE11" i="7"/>
  <c r="AD11" i="7"/>
  <c r="AC11" i="7"/>
  <c r="AK10" i="7"/>
  <c r="AJ10" i="7"/>
  <c r="AI10" i="7"/>
  <c r="AH10" i="7"/>
  <c r="AG10" i="7"/>
  <c r="AF10" i="7"/>
  <c r="AE10" i="7"/>
  <c r="AD10" i="7"/>
  <c r="AC10" i="7"/>
  <c r="AK9" i="7"/>
  <c r="AJ9" i="7"/>
  <c r="AI9" i="7"/>
  <c r="AH9" i="7"/>
  <c r="AG9" i="7"/>
  <c r="AF9" i="7"/>
  <c r="AE9" i="7"/>
  <c r="AD9" i="7"/>
  <c r="AC9" i="7"/>
  <c r="AK8" i="7"/>
  <c r="AJ8" i="7"/>
  <c r="AG8" i="7"/>
  <c r="AC8" i="7"/>
  <c r="AJ7" i="7"/>
  <c r="AI7" i="7"/>
  <c r="AG7" i="7"/>
  <c r="AF7" i="7"/>
  <c r="AE7" i="7"/>
  <c r="AD7" i="7"/>
  <c r="AC7" i="7"/>
  <c r="Y7" i="7"/>
  <c r="AK6" i="7"/>
  <c r="AJ6" i="7"/>
  <c r="AI6" i="7"/>
  <c r="AH6" i="7"/>
  <c r="AG6" i="7"/>
  <c r="AF6" i="7"/>
  <c r="AE6" i="7"/>
  <c r="AD6" i="7"/>
  <c r="AC6" i="7"/>
  <c r="X6" i="7"/>
  <c r="D23" i="11"/>
  <c r="C23" i="11"/>
  <c r="B23" i="11"/>
  <c r="C22" i="11"/>
  <c r="B22" i="11"/>
  <c r="B21" i="11"/>
  <c r="D15" i="11"/>
  <c r="C15" i="11"/>
  <c r="B15" i="11"/>
  <c r="B14" i="11"/>
  <c r="D13" i="11"/>
  <c r="C14" i="11" s="1"/>
  <c r="B13" i="11"/>
  <c r="D7" i="11"/>
  <c r="C7" i="11"/>
  <c r="B7" i="11"/>
  <c r="C6" i="11"/>
  <c r="B6" i="11"/>
  <c r="C4" i="11"/>
  <c r="B5" i="11" s="1"/>
  <c r="B3" i="15"/>
  <c r="C2" i="12"/>
  <c r="D5" i="15"/>
  <c r="C5" i="15"/>
  <c r="B5" i="15"/>
  <c r="C4" i="15"/>
  <c r="B4" i="15"/>
  <c r="D5" i="14"/>
  <c r="C5" i="14"/>
  <c r="B5" i="14"/>
  <c r="B4" i="14"/>
  <c r="D3" i="14"/>
  <c r="D6" i="14" s="1"/>
  <c r="B3" i="14"/>
  <c r="D5" i="12"/>
  <c r="C5" i="12"/>
  <c r="B5" i="12"/>
  <c r="C4" i="12"/>
  <c r="B4" i="12"/>
  <c r="B3" i="12"/>
  <c r="B21" i="15"/>
  <c r="E6" i="15"/>
  <c r="E13" i="15" s="1"/>
  <c r="D6" i="15"/>
  <c r="B21" i="14"/>
  <c r="E6" i="14"/>
  <c r="B21" i="12"/>
  <c r="X13" i="10" l="1"/>
  <c r="Y11" i="10"/>
  <c r="W10" i="10"/>
  <c r="E4" i="21"/>
  <c r="D5" i="21" s="1"/>
  <c r="F2" i="21"/>
  <c r="F17" i="21" s="1"/>
  <c r="F29" i="21" s="1"/>
  <c r="X130" i="10"/>
  <c r="W117" i="10"/>
  <c r="L5" i="21"/>
  <c r="Y119" i="10"/>
  <c r="X124" i="10"/>
  <c r="AF19" i="10"/>
  <c r="M12" i="20"/>
  <c r="L13" i="20" s="1"/>
  <c r="N10" i="20"/>
  <c r="J14" i="20" s="1"/>
  <c r="M15" i="20"/>
  <c r="M17" i="20" s="1"/>
  <c r="M26" i="20" s="1"/>
  <c r="O8" i="20"/>
  <c r="H15" i="20" s="1"/>
  <c r="O10" i="19"/>
  <c r="J15" i="19" s="1"/>
  <c r="AE128" i="8"/>
  <c r="O7" i="19"/>
  <c r="G15" i="19" s="1"/>
  <c r="O6" i="19"/>
  <c r="F15" i="19" s="1"/>
  <c r="P5" i="19"/>
  <c r="E16" i="19" s="1"/>
  <c r="M4" i="19"/>
  <c r="D13" i="19" s="1"/>
  <c r="X125" i="8"/>
  <c r="M10" i="19"/>
  <c r="J13" i="19" s="1"/>
  <c r="J17" i="19" s="1"/>
  <c r="J29" i="19" s="1"/>
  <c r="M8" i="19"/>
  <c r="H13" i="19" s="1"/>
  <c r="N5" i="19"/>
  <c r="E14" i="19" s="1"/>
  <c r="N4" i="19"/>
  <c r="D14" i="19" s="1"/>
  <c r="W20" i="8"/>
  <c r="F2" i="19"/>
  <c r="B6" i="19" s="1"/>
  <c r="P7" i="18"/>
  <c r="G16" i="18" s="1"/>
  <c r="I7" i="18"/>
  <c r="G9" i="18" s="1"/>
  <c r="N2" i="18"/>
  <c r="W125" i="7"/>
  <c r="K17" i="20"/>
  <c r="K25" i="20" s="1"/>
  <c r="J11" i="20"/>
  <c r="F17" i="20"/>
  <c r="F32" i="20" s="1"/>
  <c r="C10" i="21"/>
  <c r="E12" i="21"/>
  <c r="J14" i="21"/>
  <c r="K17" i="21"/>
  <c r="K26" i="21" s="1"/>
  <c r="C11" i="21"/>
  <c r="C12" i="21"/>
  <c r="J16" i="21"/>
  <c r="H14" i="21"/>
  <c r="H16" i="21"/>
  <c r="I10" i="21"/>
  <c r="M17" i="21"/>
  <c r="M34" i="21" s="1"/>
  <c r="N17" i="21"/>
  <c r="N35" i="21" s="1"/>
  <c r="O17" i="21"/>
  <c r="O21" i="21" s="1"/>
  <c r="G8" i="21"/>
  <c r="B15" i="21"/>
  <c r="C15" i="21"/>
  <c r="P17" i="21"/>
  <c r="P21" i="21" s="1"/>
  <c r="B16" i="21"/>
  <c r="E6" i="21"/>
  <c r="G10" i="21"/>
  <c r="E15" i="21"/>
  <c r="E8" i="21"/>
  <c r="G12" i="21"/>
  <c r="L14" i="21"/>
  <c r="L15" i="21"/>
  <c r="E10" i="21"/>
  <c r="L16" i="21"/>
  <c r="B4" i="21"/>
  <c r="B6" i="21"/>
  <c r="B8" i="21"/>
  <c r="C16" i="21"/>
  <c r="D6" i="21"/>
  <c r="E16" i="21"/>
  <c r="B4" i="20"/>
  <c r="H14" i="20"/>
  <c r="H16" i="20"/>
  <c r="N17" i="20"/>
  <c r="I10" i="20"/>
  <c r="B14" i="20"/>
  <c r="C7" i="20"/>
  <c r="I11" i="20"/>
  <c r="I12" i="20"/>
  <c r="P17" i="20"/>
  <c r="P29" i="20" s="1"/>
  <c r="B16" i="20"/>
  <c r="C5" i="20"/>
  <c r="B15" i="20"/>
  <c r="E6" i="20"/>
  <c r="G10" i="20"/>
  <c r="E8" i="20"/>
  <c r="G11" i="20"/>
  <c r="G8" i="20"/>
  <c r="E15" i="20"/>
  <c r="C15" i="20"/>
  <c r="J16" i="20"/>
  <c r="L15" i="20"/>
  <c r="L16" i="20"/>
  <c r="G12" i="20"/>
  <c r="E12" i="20"/>
  <c r="L14" i="20"/>
  <c r="B6" i="20"/>
  <c r="B8" i="20"/>
  <c r="D6" i="20"/>
  <c r="D17" i="20" s="1"/>
  <c r="E13" i="19"/>
  <c r="C12" i="19"/>
  <c r="K13" i="19"/>
  <c r="B7" i="19"/>
  <c r="D8" i="19"/>
  <c r="B8" i="19"/>
  <c r="G17" i="19"/>
  <c r="G28" i="19" s="1"/>
  <c r="K12" i="19"/>
  <c r="F7" i="19"/>
  <c r="N15" i="19"/>
  <c r="N17" i="19" s="1"/>
  <c r="N25" i="19" s="1"/>
  <c r="E6" i="19"/>
  <c r="C5" i="19"/>
  <c r="C6" i="19"/>
  <c r="C10" i="19"/>
  <c r="C11" i="19"/>
  <c r="I10" i="19"/>
  <c r="C13" i="19"/>
  <c r="P17" i="19"/>
  <c r="P30" i="19" s="1"/>
  <c r="E12" i="19"/>
  <c r="C7" i="19"/>
  <c r="C8" i="19"/>
  <c r="E10" i="19"/>
  <c r="C9" i="19"/>
  <c r="L14" i="19"/>
  <c r="F14" i="19"/>
  <c r="H14" i="19"/>
  <c r="O17" i="19"/>
  <c r="O33" i="19" s="1"/>
  <c r="B3" i="19"/>
  <c r="L16" i="19"/>
  <c r="L17" i="19" s="1"/>
  <c r="L24" i="19" s="1"/>
  <c r="H15" i="19"/>
  <c r="O16" i="18"/>
  <c r="O17" i="18" s="1"/>
  <c r="D14" i="18"/>
  <c r="K14" i="18"/>
  <c r="B16" i="18"/>
  <c r="D13" i="18"/>
  <c r="G15" i="18"/>
  <c r="K13" i="18"/>
  <c r="D12" i="18"/>
  <c r="G14" i="18"/>
  <c r="L16" i="18"/>
  <c r="B14" i="18"/>
  <c r="N17" i="18"/>
  <c r="N26" i="18" s="1"/>
  <c r="D11" i="18"/>
  <c r="G13" i="18"/>
  <c r="L15" i="18"/>
  <c r="B13" i="18"/>
  <c r="G12" i="18"/>
  <c r="F17" i="18"/>
  <c r="F31" i="18" s="1"/>
  <c r="M16" i="18"/>
  <c r="G8" i="18"/>
  <c r="I17" i="18"/>
  <c r="I22" i="18" s="1"/>
  <c r="G10" i="18"/>
  <c r="H17" i="18"/>
  <c r="H34" i="18" s="1"/>
  <c r="J17" i="18"/>
  <c r="J35" i="18" s="1"/>
  <c r="G11" i="18"/>
  <c r="E17" i="18"/>
  <c r="E29" i="18" s="1"/>
  <c r="C11" i="18"/>
  <c r="B3" i="17" a="1"/>
  <c r="B3" i="17" s="1"/>
  <c r="B3" i="16" a="1"/>
  <c r="D4" i="16" s="1"/>
  <c r="C4" i="14"/>
  <c r="D12" i="15"/>
  <c r="D11" i="15"/>
  <c r="D10" i="15"/>
  <c r="D13" i="15"/>
  <c r="C6" i="15"/>
  <c r="E10" i="15"/>
  <c r="E11" i="15"/>
  <c r="E12" i="15"/>
  <c r="D10" i="14"/>
  <c r="D11" i="14"/>
  <c r="D12" i="14"/>
  <c r="E13" i="14"/>
  <c r="E11" i="14"/>
  <c r="D13" i="14"/>
  <c r="E10" i="14"/>
  <c r="E12" i="14"/>
  <c r="C6" i="14"/>
  <c r="C11" i="14" s="1"/>
  <c r="F25" i="21" l="1"/>
  <c r="F34" i="21"/>
  <c r="F22" i="21"/>
  <c r="F31" i="21"/>
  <c r="F26" i="21"/>
  <c r="F28" i="21"/>
  <c r="F30" i="21"/>
  <c r="F32" i="21"/>
  <c r="F21" i="21"/>
  <c r="F27" i="21"/>
  <c r="F35" i="21"/>
  <c r="F33" i="21"/>
  <c r="F24" i="21"/>
  <c r="F23" i="21"/>
  <c r="F27" i="20"/>
  <c r="F33" i="20"/>
  <c r="O17" i="20"/>
  <c r="O22" i="20" s="1"/>
  <c r="F28" i="20"/>
  <c r="F35" i="20"/>
  <c r="F30" i="20"/>
  <c r="K17" i="19"/>
  <c r="K33" i="19" s="1"/>
  <c r="O25" i="19"/>
  <c r="M17" i="19"/>
  <c r="M33" i="19" s="1"/>
  <c r="B54" i="18" a="1"/>
  <c r="L66" i="18" s="1"/>
  <c r="P17" i="18"/>
  <c r="P21" i="18" s="1"/>
  <c r="N35" i="18"/>
  <c r="H23" i="18"/>
  <c r="P23" i="21"/>
  <c r="P22" i="21"/>
  <c r="P24" i="21"/>
  <c r="P29" i="21"/>
  <c r="O22" i="21"/>
  <c r="N31" i="21"/>
  <c r="M22" i="21"/>
  <c r="N34" i="21"/>
  <c r="M24" i="21"/>
  <c r="N29" i="21"/>
  <c r="N27" i="21"/>
  <c r="M33" i="21"/>
  <c r="M26" i="21"/>
  <c r="M35" i="21"/>
  <c r="K28" i="21"/>
  <c r="K35" i="21"/>
  <c r="K32" i="21"/>
  <c r="K24" i="21"/>
  <c r="K21" i="21"/>
  <c r="K31" i="21"/>
  <c r="P21" i="20"/>
  <c r="M32" i="20"/>
  <c r="M21" i="20"/>
  <c r="M31" i="20"/>
  <c r="K27" i="20"/>
  <c r="K33" i="20"/>
  <c r="K21" i="20"/>
  <c r="K24" i="20"/>
  <c r="K28" i="20"/>
  <c r="K26" i="20"/>
  <c r="K23" i="20"/>
  <c r="K31" i="20"/>
  <c r="K22" i="20"/>
  <c r="K32" i="20"/>
  <c r="K29" i="20"/>
  <c r="M29" i="20"/>
  <c r="M27" i="20"/>
  <c r="M33" i="20"/>
  <c r="K35" i="20"/>
  <c r="K30" i="20"/>
  <c r="K34" i="20"/>
  <c r="F34" i="20"/>
  <c r="M25" i="20"/>
  <c r="M23" i="20"/>
  <c r="M34" i="20"/>
  <c r="M35" i="20"/>
  <c r="M22" i="20"/>
  <c r="M28" i="20"/>
  <c r="M24" i="20"/>
  <c r="M30" i="20"/>
  <c r="F24" i="20"/>
  <c r="F23" i="20"/>
  <c r="F21" i="20"/>
  <c r="F31" i="20"/>
  <c r="F26" i="20"/>
  <c r="F25" i="20"/>
  <c r="F29" i="20"/>
  <c r="F22" i="20"/>
  <c r="O31" i="19"/>
  <c r="J21" i="19"/>
  <c r="J30" i="19"/>
  <c r="J35" i="19"/>
  <c r="J32" i="19"/>
  <c r="J34" i="19"/>
  <c r="J27" i="19"/>
  <c r="J26" i="19"/>
  <c r="J33" i="19"/>
  <c r="J31" i="19"/>
  <c r="J25" i="19"/>
  <c r="J23" i="19"/>
  <c r="J24" i="19"/>
  <c r="J28" i="19"/>
  <c r="J22" i="19"/>
  <c r="P32" i="19"/>
  <c r="G25" i="19"/>
  <c r="O33" i="21"/>
  <c r="O29" i="21"/>
  <c r="B17" i="21"/>
  <c r="J17" i="21"/>
  <c r="O26" i="21"/>
  <c r="E17" i="21"/>
  <c r="E31" i="21" s="1"/>
  <c r="M31" i="21"/>
  <c r="M29" i="21"/>
  <c r="M27" i="21"/>
  <c r="M32" i="21"/>
  <c r="M25" i="21"/>
  <c r="M28" i="21"/>
  <c r="M21" i="21"/>
  <c r="M30" i="21"/>
  <c r="M23" i="21"/>
  <c r="C17" i="21"/>
  <c r="K25" i="21"/>
  <c r="K29" i="21"/>
  <c r="K27" i="21"/>
  <c r="K30" i="21"/>
  <c r="K23" i="21"/>
  <c r="P32" i="21"/>
  <c r="P33" i="21"/>
  <c r="P28" i="21"/>
  <c r="P35" i="21"/>
  <c r="P30" i="21"/>
  <c r="P26" i="21"/>
  <c r="P25" i="21"/>
  <c r="P27" i="21"/>
  <c r="K22" i="21"/>
  <c r="P31" i="21"/>
  <c r="O28" i="21"/>
  <c r="P34" i="21"/>
  <c r="O35" i="21"/>
  <c r="N26" i="21"/>
  <c r="K33" i="21"/>
  <c r="I17" i="21"/>
  <c r="G17" i="21"/>
  <c r="G27" i="21" s="1"/>
  <c r="H17" i="21"/>
  <c r="H33" i="21" s="1"/>
  <c r="O34" i="21"/>
  <c r="O32" i="21"/>
  <c r="O25" i="21"/>
  <c r="O24" i="21"/>
  <c r="O23" i="21"/>
  <c r="D17" i="21"/>
  <c r="O27" i="21"/>
  <c r="L17" i="21"/>
  <c r="L35" i="21" s="1"/>
  <c r="N33" i="21"/>
  <c r="N24" i="21"/>
  <c r="N22" i="21"/>
  <c r="N28" i="21"/>
  <c r="N30" i="21"/>
  <c r="N23" i="21"/>
  <c r="N32" i="21"/>
  <c r="N25" i="21"/>
  <c r="O30" i="21"/>
  <c r="N21" i="21"/>
  <c r="B54" i="21" a="1"/>
  <c r="K34" i="21"/>
  <c r="O31" i="21"/>
  <c r="B54" i="20" a="1"/>
  <c r="J17" i="20"/>
  <c r="P22" i="20"/>
  <c r="P30" i="20"/>
  <c r="P26" i="20"/>
  <c r="P25" i="20"/>
  <c r="P23" i="20"/>
  <c r="P35" i="20"/>
  <c r="P28" i="20"/>
  <c r="P33" i="20"/>
  <c r="P32" i="20"/>
  <c r="D23" i="20"/>
  <c r="D31" i="20"/>
  <c r="D29" i="20"/>
  <c r="D32" i="20"/>
  <c r="D34" i="20"/>
  <c r="P24" i="20"/>
  <c r="N33" i="20"/>
  <c r="N26" i="20"/>
  <c r="N24" i="20"/>
  <c r="N30" i="20"/>
  <c r="N32" i="20"/>
  <c r="N22" i="20"/>
  <c r="N35" i="20"/>
  <c r="N29" i="20"/>
  <c r="N23" i="20"/>
  <c r="N28" i="20"/>
  <c r="N25" i="20"/>
  <c r="E17" i="20"/>
  <c r="D26" i="20"/>
  <c r="D22" i="20"/>
  <c r="D35" i="20"/>
  <c r="P27" i="20"/>
  <c r="D27" i="20"/>
  <c r="D28" i="20"/>
  <c r="P34" i="20"/>
  <c r="D30" i="20"/>
  <c r="D24" i="20"/>
  <c r="N21" i="20"/>
  <c r="N27" i="20"/>
  <c r="P31" i="20"/>
  <c r="H17" i="20"/>
  <c r="H35" i="20" s="1"/>
  <c r="D25" i="20"/>
  <c r="I17" i="20"/>
  <c r="I30" i="20" s="1"/>
  <c r="D21" i="20"/>
  <c r="N31" i="20"/>
  <c r="N34" i="20"/>
  <c r="D33" i="20"/>
  <c r="L17" i="20"/>
  <c r="B17" i="20"/>
  <c r="B33" i="20" s="1"/>
  <c r="G17" i="20"/>
  <c r="G27" i="20" s="1"/>
  <c r="C17" i="20"/>
  <c r="L34" i="19"/>
  <c r="G22" i="19"/>
  <c r="G27" i="19"/>
  <c r="L30" i="19"/>
  <c r="N26" i="19"/>
  <c r="G30" i="19"/>
  <c r="G23" i="19"/>
  <c r="P34" i="19"/>
  <c r="P24" i="19"/>
  <c r="G31" i="19"/>
  <c r="F17" i="19"/>
  <c r="F33" i="19" s="1"/>
  <c r="L23" i="19"/>
  <c r="L25" i="19"/>
  <c r="L27" i="19"/>
  <c r="L31" i="19"/>
  <c r="L29" i="19"/>
  <c r="L21" i="19"/>
  <c r="L28" i="19"/>
  <c r="L22" i="19"/>
  <c r="G26" i="19"/>
  <c r="G33" i="19"/>
  <c r="O24" i="19"/>
  <c r="O34" i="19"/>
  <c r="O32" i="19"/>
  <c r="O30" i="19"/>
  <c r="O23" i="19"/>
  <c r="O35" i="19"/>
  <c r="O22" i="19"/>
  <c r="O21" i="19"/>
  <c r="O29" i="19"/>
  <c r="O28" i="19"/>
  <c r="L26" i="19"/>
  <c r="N27" i="19"/>
  <c r="E17" i="19"/>
  <c r="E31" i="19" s="1"/>
  <c r="G32" i="19"/>
  <c r="C17" i="19"/>
  <c r="C25" i="19" s="1"/>
  <c r="G24" i="19"/>
  <c r="G21" i="19"/>
  <c r="B17" i="19"/>
  <c r="B21" i="19" s="1"/>
  <c r="N33" i="19"/>
  <c r="N32" i="19"/>
  <c r="N24" i="19"/>
  <c r="N22" i="19"/>
  <c r="N30" i="19"/>
  <c r="N23" i="19"/>
  <c r="N21" i="19"/>
  <c r="N29" i="19"/>
  <c r="N28" i="19"/>
  <c r="N35" i="19"/>
  <c r="B54" i="19" a="1"/>
  <c r="D17" i="19"/>
  <c r="D27" i="19" s="1"/>
  <c r="P27" i="19"/>
  <c r="P26" i="19"/>
  <c r="P35" i="19"/>
  <c r="P21" i="19"/>
  <c r="P22" i="19"/>
  <c r="P29" i="19"/>
  <c r="P25" i="19"/>
  <c r="P33" i="19"/>
  <c r="P28" i="19"/>
  <c r="P23" i="19"/>
  <c r="N34" i="19"/>
  <c r="G35" i="19"/>
  <c r="L32" i="19"/>
  <c r="G34" i="19"/>
  <c r="O27" i="19"/>
  <c r="N31" i="19"/>
  <c r="I17" i="19"/>
  <c r="P31" i="19"/>
  <c r="L33" i="19"/>
  <c r="G29" i="19"/>
  <c r="L35" i="19"/>
  <c r="O26" i="19"/>
  <c r="H17" i="19"/>
  <c r="H34" i="19" s="1"/>
  <c r="H28" i="18"/>
  <c r="H33" i="18"/>
  <c r="H35" i="18"/>
  <c r="J23" i="18"/>
  <c r="B17" i="18"/>
  <c r="B29" i="18" s="1"/>
  <c r="J22" i="18"/>
  <c r="N21" i="18"/>
  <c r="H26" i="18"/>
  <c r="H30" i="18"/>
  <c r="J34" i="18"/>
  <c r="N30" i="18"/>
  <c r="H22" i="18"/>
  <c r="I30" i="18"/>
  <c r="I26" i="18"/>
  <c r="I23" i="18"/>
  <c r="O24" i="18"/>
  <c r="O22" i="18"/>
  <c r="O30" i="18"/>
  <c r="O34" i="18"/>
  <c r="O28" i="18"/>
  <c r="O23" i="18"/>
  <c r="O25" i="18"/>
  <c r="O29" i="18"/>
  <c r="O33" i="18"/>
  <c r="O32" i="18"/>
  <c r="O21" i="18"/>
  <c r="O27" i="18"/>
  <c r="O31" i="18"/>
  <c r="O26" i="18"/>
  <c r="F22" i="18"/>
  <c r="P24" i="18"/>
  <c r="P22" i="18"/>
  <c r="P30" i="18"/>
  <c r="P28" i="18"/>
  <c r="P23" i="18"/>
  <c r="P35" i="18"/>
  <c r="P29" i="18"/>
  <c r="D17" i="18"/>
  <c r="D31" i="18" s="1"/>
  <c r="G17" i="18"/>
  <c r="G33" i="18" s="1"/>
  <c r="D33" i="18"/>
  <c r="H31" i="18"/>
  <c r="J32" i="18"/>
  <c r="F27" i="18"/>
  <c r="F32" i="18"/>
  <c r="J28" i="18"/>
  <c r="N22" i="18"/>
  <c r="N24" i="18"/>
  <c r="N28" i="18"/>
  <c r="N32" i="18"/>
  <c r="N25" i="18"/>
  <c r="N29" i="18"/>
  <c r="N33" i="18"/>
  <c r="L17" i="18"/>
  <c r="P34" i="18"/>
  <c r="H24" i="18"/>
  <c r="H25" i="18"/>
  <c r="H21" i="18"/>
  <c r="H27" i="18"/>
  <c r="P32" i="18"/>
  <c r="K17" i="18"/>
  <c r="K32" i="18" s="1"/>
  <c r="J30" i="18"/>
  <c r="F23" i="18"/>
  <c r="P27" i="18"/>
  <c r="F34" i="18"/>
  <c r="F29" i="18"/>
  <c r="F30" i="18"/>
  <c r="N23" i="18"/>
  <c r="F26" i="18"/>
  <c r="N31" i="18"/>
  <c r="F33" i="18"/>
  <c r="F24" i="18"/>
  <c r="F25" i="18"/>
  <c r="F28" i="18"/>
  <c r="F21" i="18"/>
  <c r="E26" i="18"/>
  <c r="E30" i="18"/>
  <c r="E31" i="18"/>
  <c r="E25" i="18"/>
  <c r="E24" i="18"/>
  <c r="E22" i="18"/>
  <c r="E28" i="18"/>
  <c r="E23" i="18"/>
  <c r="E34" i="18"/>
  <c r="E21" i="18"/>
  <c r="E35" i="18"/>
  <c r="E32" i="18"/>
  <c r="E33" i="18"/>
  <c r="N27" i="18"/>
  <c r="I24" i="18"/>
  <c r="I28" i="18"/>
  <c r="I29" i="18"/>
  <c r="I27" i="18"/>
  <c r="I21" i="18"/>
  <c r="I25" i="18"/>
  <c r="I32" i="18"/>
  <c r="I33" i="18"/>
  <c r="I35" i="18"/>
  <c r="H29" i="18"/>
  <c r="N34" i="18"/>
  <c r="I34" i="18"/>
  <c r="M17" i="18"/>
  <c r="M35" i="18" s="1"/>
  <c r="F35" i="18"/>
  <c r="J25" i="18"/>
  <c r="J29" i="18"/>
  <c r="J33" i="18"/>
  <c r="J27" i="18"/>
  <c r="J31" i="18"/>
  <c r="J21" i="18"/>
  <c r="J24" i="18"/>
  <c r="J26" i="18"/>
  <c r="O35" i="18"/>
  <c r="C17" i="18"/>
  <c r="C30" i="18" s="1"/>
  <c r="H32" i="18"/>
  <c r="E27" i="18"/>
  <c r="I31" i="18"/>
  <c r="E4" i="17"/>
  <c r="B5" i="17"/>
  <c r="C5" i="17"/>
  <c r="D5" i="17"/>
  <c r="B6" i="17"/>
  <c r="C6" i="17"/>
  <c r="E6" i="17"/>
  <c r="E5" i="17"/>
  <c r="E3" i="17"/>
  <c r="B4" i="17"/>
  <c r="C4" i="17"/>
  <c r="D4" i="17"/>
  <c r="D6" i="17"/>
  <c r="F6" i="17" s="1"/>
  <c r="C3" i="17"/>
  <c r="D3" i="17"/>
  <c r="D3" i="16"/>
  <c r="E4" i="16"/>
  <c r="B5" i="16"/>
  <c r="C5" i="16"/>
  <c r="D5" i="16"/>
  <c r="E5" i="16"/>
  <c r="B6" i="16"/>
  <c r="C6" i="16"/>
  <c r="E6" i="16"/>
  <c r="B3" i="16"/>
  <c r="C3" i="16"/>
  <c r="D6" i="16"/>
  <c r="E3" i="16"/>
  <c r="B4" i="16"/>
  <c r="C4" i="16"/>
  <c r="B6" i="15"/>
  <c r="B12" i="15" s="1"/>
  <c r="B11" i="15"/>
  <c r="E14" i="15"/>
  <c r="C11" i="15"/>
  <c r="C10" i="15"/>
  <c r="C13" i="15"/>
  <c r="C12" i="15"/>
  <c r="D14" i="15"/>
  <c r="B6" i="14"/>
  <c r="E14" i="14"/>
  <c r="C12" i="14"/>
  <c r="D14" i="14"/>
  <c r="C10" i="14"/>
  <c r="C13" i="14"/>
  <c r="C6" i="12"/>
  <c r="C11" i="12" s="1"/>
  <c r="D6" i="12"/>
  <c r="D12" i="12" s="1"/>
  <c r="E6" i="12"/>
  <c r="E12" i="12" s="1"/>
  <c r="B3" i="13" a="1"/>
  <c r="F36" i="21" l="1"/>
  <c r="I31" i="20"/>
  <c r="O26" i="20"/>
  <c r="O28" i="20"/>
  <c r="O32" i="20"/>
  <c r="O27" i="20"/>
  <c r="O33" i="20"/>
  <c r="O29" i="20"/>
  <c r="O24" i="20"/>
  <c r="O30" i="20"/>
  <c r="O34" i="20"/>
  <c r="O23" i="20"/>
  <c r="O21" i="20"/>
  <c r="O35" i="20"/>
  <c r="O25" i="20"/>
  <c r="O31" i="20"/>
  <c r="K29" i="19"/>
  <c r="K22" i="19"/>
  <c r="K31" i="19"/>
  <c r="K34" i="19"/>
  <c r="K25" i="19"/>
  <c r="K30" i="19"/>
  <c r="K26" i="19"/>
  <c r="K24" i="19"/>
  <c r="K27" i="19"/>
  <c r="K23" i="19"/>
  <c r="K32" i="19"/>
  <c r="K21" i="19"/>
  <c r="K28" i="19"/>
  <c r="K35" i="19"/>
  <c r="M35" i="19"/>
  <c r="M24" i="19"/>
  <c r="M28" i="19"/>
  <c r="M26" i="19"/>
  <c r="M22" i="19"/>
  <c r="M23" i="19"/>
  <c r="M31" i="19"/>
  <c r="M25" i="19"/>
  <c r="M27" i="19"/>
  <c r="M32" i="19"/>
  <c r="M34" i="19"/>
  <c r="M21" i="19"/>
  <c r="M29" i="19"/>
  <c r="M30" i="19"/>
  <c r="E29" i="19"/>
  <c r="C32" i="19"/>
  <c r="B26" i="19"/>
  <c r="B22" i="19"/>
  <c r="P26" i="18"/>
  <c r="P31" i="18"/>
  <c r="P33" i="18"/>
  <c r="P25" i="18"/>
  <c r="L56" i="18"/>
  <c r="G62" i="18"/>
  <c r="B54" i="18"/>
  <c r="O68" i="18"/>
  <c r="B67" i="18"/>
  <c r="D65" i="18"/>
  <c r="K56" i="18"/>
  <c r="F63" i="18"/>
  <c r="K55" i="18"/>
  <c r="J56" i="18"/>
  <c r="K68" i="18"/>
  <c r="E59" i="18"/>
  <c r="I56" i="18"/>
  <c r="M64" i="18"/>
  <c r="K62" i="18"/>
  <c r="E62" i="18"/>
  <c r="M60" i="18"/>
  <c r="D62" i="18"/>
  <c r="O54" i="18"/>
  <c r="B57" i="18"/>
  <c r="D60" i="18"/>
  <c r="J54" i="18"/>
  <c r="O66" i="18"/>
  <c r="H54" i="18"/>
  <c r="P62" i="18"/>
  <c r="H65" i="18"/>
  <c r="I68" i="18"/>
  <c r="F57" i="18"/>
  <c r="F65" i="18"/>
  <c r="H68" i="18"/>
  <c r="L64" i="18"/>
  <c r="P68" i="18"/>
  <c r="P60" i="18"/>
  <c r="E57" i="18"/>
  <c r="E65" i="18"/>
  <c r="O62" i="18"/>
  <c r="L54" i="18"/>
  <c r="B61" i="18"/>
  <c r="C62" i="18"/>
  <c r="B62" i="18"/>
  <c r="M57" i="18"/>
  <c r="E64" i="18"/>
  <c r="D64" i="18"/>
  <c r="C64" i="18"/>
  <c r="B64" i="18"/>
  <c r="F62" i="18"/>
  <c r="O58" i="18"/>
  <c r="D55" i="18"/>
  <c r="H59" i="18"/>
  <c r="H67" i="18"/>
  <c r="J63" i="18"/>
  <c r="C54" i="18"/>
  <c r="C67" i="18"/>
  <c r="I61" i="18"/>
  <c r="K59" i="18"/>
  <c r="L58" i="18"/>
  <c r="O55" i="18"/>
  <c r="M66" i="18"/>
  <c r="P67" i="18"/>
  <c r="J65" i="18"/>
  <c r="D59" i="18"/>
  <c r="I60" i="18"/>
  <c r="L63" i="18"/>
  <c r="O64" i="18"/>
  <c r="H55" i="18"/>
  <c r="H60" i="18"/>
  <c r="N61" i="18"/>
  <c r="B63" i="18"/>
  <c r="C68" i="18"/>
  <c r="N67" i="18"/>
  <c r="P59" i="18"/>
  <c r="D61" i="18"/>
  <c r="E66" i="18"/>
  <c r="G60" i="18"/>
  <c r="K63" i="18"/>
  <c r="F59" i="18"/>
  <c r="G64" i="18"/>
  <c r="M67" i="18"/>
  <c r="M61" i="18"/>
  <c r="H57" i="18"/>
  <c r="I62" i="18"/>
  <c r="F60" i="18"/>
  <c r="O59" i="18"/>
  <c r="J55" i="18"/>
  <c r="K60" i="18"/>
  <c r="L67" i="18"/>
  <c r="B58" i="18"/>
  <c r="I55" i="18"/>
  <c r="E60" i="18"/>
  <c r="D56" i="18"/>
  <c r="F61" i="18"/>
  <c r="K67" i="18"/>
  <c r="F67" i="18"/>
  <c r="J62" i="18"/>
  <c r="K66" i="18"/>
  <c r="I64" i="18"/>
  <c r="I57" i="18"/>
  <c r="D67" i="18"/>
  <c r="F56" i="18"/>
  <c r="M56" i="18"/>
  <c r="M54" i="18"/>
  <c r="G57" i="18"/>
  <c r="G66" i="18"/>
  <c r="E61" i="18"/>
  <c r="D54" i="18"/>
  <c r="D58" i="18"/>
  <c r="F64" i="18"/>
  <c r="N54" i="18"/>
  <c r="C61" i="18"/>
  <c r="E68" i="18"/>
  <c r="C63" i="18"/>
  <c r="B56" i="18"/>
  <c r="B60" i="18"/>
  <c r="N56" i="18"/>
  <c r="N64" i="18"/>
  <c r="E55" i="18"/>
  <c r="P64" i="18"/>
  <c r="O57" i="18"/>
  <c r="O61" i="18"/>
  <c r="M65" i="18"/>
  <c r="J68" i="18"/>
  <c r="C57" i="18"/>
  <c r="I59" i="18"/>
  <c r="M59" i="18"/>
  <c r="M63" i="18"/>
  <c r="F58" i="18"/>
  <c r="J57" i="18"/>
  <c r="P58" i="18"/>
  <c r="G61" i="18"/>
  <c r="K61" i="18"/>
  <c r="K65" i="18"/>
  <c r="G58" i="18"/>
  <c r="D63" i="18"/>
  <c r="N60" i="18"/>
  <c r="E63" i="18"/>
  <c r="I63" i="18"/>
  <c r="I67" i="18"/>
  <c r="O65" i="18"/>
  <c r="B65" i="18"/>
  <c r="J64" i="18"/>
  <c r="C65" i="18"/>
  <c r="G65" i="18"/>
  <c r="I54" i="18"/>
  <c r="H58" i="18"/>
  <c r="M68" i="18"/>
  <c r="H66" i="18"/>
  <c r="P66" i="18"/>
  <c r="E67" i="18"/>
  <c r="G56" i="18"/>
  <c r="P65" i="18"/>
  <c r="C55" i="18"/>
  <c r="K64" i="18"/>
  <c r="N68" i="18"/>
  <c r="E54" i="18"/>
  <c r="E58" i="18"/>
  <c r="I58" i="18"/>
  <c r="P56" i="18"/>
  <c r="I66" i="18"/>
  <c r="N55" i="18"/>
  <c r="C56" i="18"/>
  <c r="C60" i="18"/>
  <c r="B66" i="18"/>
  <c r="N58" i="18"/>
  <c r="C59" i="18"/>
  <c r="L57" i="18"/>
  <c r="P57" i="18"/>
  <c r="N63" i="18"/>
  <c r="J58" i="18"/>
  <c r="L60" i="18"/>
  <c r="N62" i="18"/>
  <c r="J59" i="18"/>
  <c r="N59" i="18"/>
  <c r="L65" i="18"/>
  <c r="B68" i="18"/>
  <c r="H64" i="18"/>
  <c r="J66" i="18"/>
  <c r="H61" i="18"/>
  <c r="L61" i="18"/>
  <c r="J67" i="18"/>
  <c r="J60" i="18"/>
  <c r="P63" i="18"/>
  <c r="C58" i="18"/>
  <c r="H63" i="18"/>
  <c r="K57" i="18"/>
  <c r="M62" i="18"/>
  <c r="G55" i="18"/>
  <c r="M58" i="18"/>
  <c r="O67" i="18"/>
  <c r="H56" i="18"/>
  <c r="E56" i="18"/>
  <c r="J61" i="18"/>
  <c r="M55" i="18"/>
  <c r="B59" i="18"/>
  <c r="G68" i="18"/>
  <c r="O56" i="18"/>
  <c r="D66" i="18"/>
  <c r="O63" i="18"/>
  <c r="G54" i="18"/>
  <c r="L59" i="18"/>
  <c r="L55" i="18"/>
  <c r="D57" i="18"/>
  <c r="O60" i="18"/>
  <c r="B55" i="18"/>
  <c r="K58" i="18"/>
  <c r="P54" i="18"/>
  <c r="G67" i="18"/>
  <c r="N57" i="18"/>
  <c r="L68" i="18"/>
  <c r="F55" i="18"/>
  <c r="D68" i="18"/>
  <c r="C66" i="18"/>
  <c r="H62" i="18"/>
  <c r="I65" i="18"/>
  <c r="P55" i="18"/>
  <c r="N66" i="18"/>
  <c r="F68" i="18"/>
  <c r="F66" i="18"/>
  <c r="K54" i="18"/>
  <c r="N65" i="18"/>
  <c r="P61" i="18"/>
  <c r="F54" i="18"/>
  <c r="G63" i="18"/>
  <c r="G59" i="18"/>
  <c r="L62" i="18"/>
  <c r="B26" i="18"/>
  <c r="B24" i="18"/>
  <c r="B34" i="18"/>
  <c r="B30" i="18"/>
  <c r="B25" i="18"/>
  <c r="B33" i="18"/>
  <c r="B27" i="18"/>
  <c r="B28" i="18"/>
  <c r="B35" i="18"/>
  <c r="B32" i="18"/>
  <c r="B22" i="18"/>
  <c r="B23" i="18"/>
  <c r="B21" i="18"/>
  <c r="B31" i="18"/>
  <c r="G29" i="21"/>
  <c r="G31" i="21"/>
  <c r="P36" i="21"/>
  <c r="O36" i="21"/>
  <c r="K36" i="21"/>
  <c r="H35" i="21"/>
  <c r="K36" i="20"/>
  <c r="F36" i="20"/>
  <c r="P36" i="20"/>
  <c r="M36" i="20"/>
  <c r="H33" i="20"/>
  <c r="H34" i="20"/>
  <c r="J36" i="19"/>
  <c r="O36" i="19"/>
  <c r="F26" i="19"/>
  <c r="C29" i="19"/>
  <c r="C28" i="19"/>
  <c r="C24" i="19"/>
  <c r="C26" i="19"/>
  <c r="C30" i="19"/>
  <c r="C22" i="21"/>
  <c r="C26" i="21"/>
  <c r="C27" i="21"/>
  <c r="C33" i="21"/>
  <c r="C24" i="21"/>
  <c r="C28" i="21"/>
  <c r="C25" i="21"/>
  <c r="C32" i="21"/>
  <c r="C23" i="21"/>
  <c r="C21" i="21"/>
  <c r="I28" i="21"/>
  <c r="I33" i="21"/>
  <c r="I25" i="21"/>
  <c r="I27" i="21"/>
  <c r="I23" i="21"/>
  <c r="I30" i="21"/>
  <c r="I31" i="21"/>
  <c r="I21" i="21"/>
  <c r="I24" i="21"/>
  <c r="I26" i="21"/>
  <c r="I22" i="21"/>
  <c r="I34" i="21"/>
  <c r="I35" i="21"/>
  <c r="I32" i="21"/>
  <c r="C29" i="21"/>
  <c r="C34" i="21"/>
  <c r="M36" i="21"/>
  <c r="C35" i="21"/>
  <c r="E24" i="21"/>
  <c r="E33" i="21"/>
  <c r="E22" i="21"/>
  <c r="E23" i="21"/>
  <c r="E30" i="21"/>
  <c r="E21" i="21"/>
  <c r="E32" i="21"/>
  <c r="E26" i="21"/>
  <c r="E28" i="21"/>
  <c r="L31" i="21"/>
  <c r="L29" i="21"/>
  <c r="L32" i="21"/>
  <c r="L25" i="21"/>
  <c r="L30" i="21"/>
  <c r="L23" i="21"/>
  <c r="L21" i="21"/>
  <c r="L27" i="21"/>
  <c r="L22" i="21"/>
  <c r="L26" i="21"/>
  <c r="L24" i="21"/>
  <c r="L28" i="21"/>
  <c r="E25" i="21"/>
  <c r="D23" i="21"/>
  <c r="D29" i="21"/>
  <c r="D31" i="21"/>
  <c r="D24" i="21"/>
  <c r="D27" i="21"/>
  <c r="D30" i="21"/>
  <c r="D28" i="21"/>
  <c r="D21" i="21"/>
  <c r="D34" i="21"/>
  <c r="D32" i="21"/>
  <c r="D33" i="21"/>
  <c r="D22" i="21"/>
  <c r="D26" i="21"/>
  <c r="D35" i="21"/>
  <c r="J31" i="21"/>
  <c r="J29" i="21"/>
  <c r="J25" i="21"/>
  <c r="J30" i="21"/>
  <c r="J23" i="21"/>
  <c r="J27" i="21"/>
  <c r="J24" i="21"/>
  <c r="J28" i="21"/>
  <c r="J22" i="21"/>
  <c r="J34" i="21"/>
  <c r="J26" i="21"/>
  <c r="J32" i="21"/>
  <c r="J21" i="21"/>
  <c r="D25" i="21"/>
  <c r="B21" i="21"/>
  <c r="B29" i="21"/>
  <c r="B31" i="21"/>
  <c r="B30" i="21"/>
  <c r="B26" i="21"/>
  <c r="B24" i="21"/>
  <c r="B22" i="21"/>
  <c r="B28" i="21"/>
  <c r="B32" i="21"/>
  <c r="B33" i="21"/>
  <c r="E35" i="21"/>
  <c r="B23" i="21"/>
  <c r="E27" i="21"/>
  <c r="B25" i="21"/>
  <c r="C31" i="21"/>
  <c r="J35" i="21"/>
  <c r="B27" i="21"/>
  <c r="L34" i="21"/>
  <c r="J33" i="21"/>
  <c r="O68" i="21"/>
  <c r="B67" i="21"/>
  <c r="D65" i="21"/>
  <c r="F63" i="21"/>
  <c r="H61" i="21"/>
  <c r="J59" i="21"/>
  <c r="L57" i="21"/>
  <c r="N55" i="21"/>
  <c r="M68" i="21"/>
  <c r="B65" i="21"/>
  <c r="D63" i="21"/>
  <c r="H59" i="21"/>
  <c r="J57" i="21"/>
  <c r="L55" i="21"/>
  <c r="C68" i="21"/>
  <c r="E66" i="21"/>
  <c r="G64" i="21"/>
  <c r="I62" i="21"/>
  <c r="K60" i="21"/>
  <c r="M58" i="21"/>
  <c r="O56" i="21"/>
  <c r="B55" i="21"/>
  <c r="N68" i="21"/>
  <c r="P66" i="21"/>
  <c r="C65" i="21"/>
  <c r="E63" i="21"/>
  <c r="G61" i="21"/>
  <c r="I59" i="21"/>
  <c r="K57" i="21"/>
  <c r="M55" i="21"/>
  <c r="O66" i="21"/>
  <c r="F61" i="21"/>
  <c r="L68" i="21"/>
  <c r="N66" i="21"/>
  <c r="P64" i="21"/>
  <c r="C63" i="21"/>
  <c r="E61" i="21"/>
  <c r="G59" i="21"/>
  <c r="I57" i="21"/>
  <c r="K55" i="21"/>
  <c r="K68" i="21"/>
  <c r="M66" i="21"/>
  <c r="O64" i="21"/>
  <c r="B63" i="21"/>
  <c r="D61" i="21"/>
  <c r="F59" i="21"/>
  <c r="H57" i="21"/>
  <c r="J55" i="21"/>
  <c r="J68" i="21"/>
  <c r="L66" i="21"/>
  <c r="N64" i="21"/>
  <c r="P62" i="21"/>
  <c r="C61" i="21"/>
  <c r="E59" i="21"/>
  <c r="G57" i="21"/>
  <c r="I55" i="21"/>
  <c r="I68" i="21"/>
  <c r="K66" i="21"/>
  <c r="M64" i="21"/>
  <c r="O62" i="21"/>
  <c r="B61" i="21"/>
  <c r="D59" i="21"/>
  <c r="F57" i="21"/>
  <c r="H55" i="21"/>
  <c r="H68" i="21"/>
  <c r="J66" i="21"/>
  <c r="L64" i="21"/>
  <c r="N62" i="21"/>
  <c r="P60" i="21"/>
  <c r="C59" i="21"/>
  <c r="E57" i="21"/>
  <c r="G55" i="21"/>
  <c r="G68" i="21"/>
  <c r="I66" i="21"/>
  <c r="K64" i="21"/>
  <c r="M62" i="21"/>
  <c r="O60" i="21"/>
  <c r="B59" i="21"/>
  <c r="D57" i="21"/>
  <c r="F55" i="21"/>
  <c r="F68" i="21"/>
  <c r="H66" i="21"/>
  <c r="J64" i="21"/>
  <c r="L62" i="21"/>
  <c r="N60" i="21"/>
  <c r="P58" i="21"/>
  <c r="C57" i="21"/>
  <c r="E55" i="21"/>
  <c r="E68" i="21"/>
  <c r="G66" i="21"/>
  <c r="I64" i="21"/>
  <c r="K62" i="21"/>
  <c r="M60" i="21"/>
  <c r="O58" i="21"/>
  <c r="B57" i="21"/>
  <c r="D55" i="21"/>
  <c r="D68" i="21"/>
  <c r="F66" i="21"/>
  <c r="H64" i="21"/>
  <c r="J62" i="21"/>
  <c r="L60" i="21"/>
  <c r="N58" i="21"/>
  <c r="P56" i="21"/>
  <c r="C55" i="21"/>
  <c r="B68" i="21"/>
  <c r="D66" i="21"/>
  <c r="F64" i="21"/>
  <c r="H62" i="21"/>
  <c r="J60" i="21"/>
  <c r="L58" i="21"/>
  <c r="N56" i="21"/>
  <c r="P54" i="21"/>
  <c r="P67" i="21"/>
  <c r="C66" i="21"/>
  <c r="E64" i="21"/>
  <c r="G62" i="21"/>
  <c r="I60" i="21"/>
  <c r="K58" i="21"/>
  <c r="M56" i="21"/>
  <c r="O54" i="21"/>
  <c r="O67" i="21"/>
  <c r="B66" i="21"/>
  <c r="D64" i="21"/>
  <c r="F62" i="21"/>
  <c r="H60" i="21"/>
  <c r="J58" i="21"/>
  <c r="L56" i="21"/>
  <c r="N54" i="21"/>
  <c r="O65" i="21"/>
  <c r="O61" i="21"/>
  <c r="O57" i="21"/>
  <c r="N65" i="21"/>
  <c r="N61" i="21"/>
  <c r="N57" i="21"/>
  <c r="E62" i="21"/>
  <c r="D58" i="21"/>
  <c r="C62" i="21"/>
  <c r="H63" i="21"/>
  <c r="M65" i="21"/>
  <c r="M61" i="21"/>
  <c r="M57" i="21"/>
  <c r="I58" i="21"/>
  <c r="E67" i="21"/>
  <c r="L65" i="21"/>
  <c r="L61" i="21"/>
  <c r="K56" i="21"/>
  <c r="G58" i="21"/>
  <c r="E54" i="21"/>
  <c r="C58" i="21"/>
  <c r="K65" i="21"/>
  <c r="K61" i="21"/>
  <c r="J56" i="21"/>
  <c r="J67" i="21"/>
  <c r="J65" i="21"/>
  <c r="J61" i="21"/>
  <c r="I56" i="21"/>
  <c r="F67" i="21"/>
  <c r="D54" i="21"/>
  <c r="I65" i="21"/>
  <c r="I61" i="21"/>
  <c r="H56" i="21"/>
  <c r="H67" i="21"/>
  <c r="E58" i="21"/>
  <c r="D62" i="21"/>
  <c r="C54" i="21"/>
  <c r="H65" i="21"/>
  <c r="G60" i="21"/>
  <c r="G56" i="21"/>
  <c r="G65" i="21"/>
  <c r="F60" i="21"/>
  <c r="F56" i="21"/>
  <c r="F65" i="21"/>
  <c r="E60" i="21"/>
  <c r="E56" i="21"/>
  <c r="E65" i="21"/>
  <c r="D60" i="21"/>
  <c r="D56" i="21"/>
  <c r="C64" i="21"/>
  <c r="C60" i="21"/>
  <c r="C56" i="21"/>
  <c r="G54" i="21"/>
  <c r="B64" i="21"/>
  <c r="B60" i="21"/>
  <c r="B56" i="21"/>
  <c r="P63" i="21"/>
  <c r="P59" i="21"/>
  <c r="P55" i="21"/>
  <c r="P68" i="21"/>
  <c r="O63" i="21"/>
  <c r="O59" i="21"/>
  <c r="O55" i="21"/>
  <c r="N67" i="21"/>
  <c r="N63" i="21"/>
  <c r="N59" i="21"/>
  <c r="M54" i="21"/>
  <c r="M67" i="21"/>
  <c r="M63" i="21"/>
  <c r="M59" i="21"/>
  <c r="L54" i="21"/>
  <c r="L67" i="21"/>
  <c r="L63" i="21"/>
  <c r="L59" i="21"/>
  <c r="K54" i="21"/>
  <c r="K67" i="21"/>
  <c r="K63" i="21"/>
  <c r="K59" i="21"/>
  <c r="J54" i="21"/>
  <c r="J63" i="21"/>
  <c r="I54" i="21"/>
  <c r="I67" i="21"/>
  <c r="I63" i="21"/>
  <c r="H58" i="21"/>
  <c r="H54" i="21"/>
  <c r="G67" i="21"/>
  <c r="G63" i="21"/>
  <c r="F58" i="21"/>
  <c r="F54" i="21"/>
  <c r="D67" i="21"/>
  <c r="C67" i="21"/>
  <c r="B62" i="21"/>
  <c r="B58" i="21"/>
  <c r="B54" i="21"/>
  <c r="P65" i="21"/>
  <c r="P61" i="21"/>
  <c r="P57" i="21"/>
  <c r="E34" i="21"/>
  <c r="B34" i="21"/>
  <c r="H31" i="21"/>
  <c r="H30" i="21"/>
  <c r="H25" i="21"/>
  <c r="H27" i="21"/>
  <c r="H23" i="21"/>
  <c r="H22" i="21"/>
  <c r="H26" i="21"/>
  <c r="H34" i="21"/>
  <c r="H21" i="21"/>
  <c r="H28" i="21"/>
  <c r="H24" i="21"/>
  <c r="H29" i="21"/>
  <c r="H32" i="21"/>
  <c r="B35" i="21"/>
  <c r="N36" i="21"/>
  <c r="C30" i="21"/>
  <c r="L33" i="21"/>
  <c r="E29" i="21"/>
  <c r="G26" i="21"/>
  <c r="G25" i="21"/>
  <c r="G24" i="21"/>
  <c r="G34" i="21"/>
  <c r="G22" i="21"/>
  <c r="G33" i="21"/>
  <c r="G28" i="21"/>
  <c r="G23" i="21"/>
  <c r="G30" i="21"/>
  <c r="G21" i="21"/>
  <c r="G35" i="21"/>
  <c r="G32" i="21"/>
  <c r="I29" i="21"/>
  <c r="C21" i="20"/>
  <c r="C29" i="20"/>
  <c r="C22" i="20"/>
  <c r="C27" i="20"/>
  <c r="C30" i="20"/>
  <c r="C35" i="20"/>
  <c r="C32" i="20"/>
  <c r="C28" i="20"/>
  <c r="C33" i="20"/>
  <c r="C31" i="20"/>
  <c r="C25" i="20"/>
  <c r="C23" i="20"/>
  <c r="E24" i="20"/>
  <c r="E29" i="20"/>
  <c r="E32" i="20"/>
  <c r="E28" i="20"/>
  <c r="E23" i="20"/>
  <c r="E30" i="20"/>
  <c r="E21" i="20"/>
  <c r="E35" i="20"/>
  <c r="E22" i="20"/>
  <c r="E26" i="20"/>
  <c r="E33" i="20"/>
  <c r="G26" i="20"/>
  <c r="G25" i="20"/>
  <c r="G32" i="20"/>
  <c r="G34" i="20"/>
  <c r="G35" i="20"/>
  <c r="G23" i="20"/>
  <c r="G21" i="20"/>
  <c r="G24" i="20"/>
  <c r="G28" i="20"/>
  <c r="G22" i="20"/>
  <c r="G33" i="20"/>
  <c r="N36" i="20"/>
  <c r="G29" i="20"/>
  <c r="E31" i="20"/>
  <c r="E25" i="20"/>
  <c r="C34" i="20"/>
  <c r="C26" i="20"/>
  <c r="G31" i="20"/>
  <c r="J21" i="20"/>
  <c r="J29" i="20"/>
  <c r="J27" i="20"/>
  <c r="J23" i="20"/>
  <c r="J25" i="20"/>
  <c r="J31" i="20"/>
  <c r="J32" i="20"/>
  <c r="J28" i="20"/>
  <c r="J30" i="20"/>
  <c r="J33" i="20"/>
  <c r="J26" i="20"/>
  <c r="J34" i="20"/>
  <c r="J22" i="20"/>
  <c r="J24" i="20"/>
  <c r="B21" i="20"/>
  <c r="B24" i="20"/>
  <c r="B29" i="20"/>
  <c r="B22" i="20"/>
  <c r="B30" i="20"/>
  <c r="B26" i="20"/>
  <c r="B32" i="20"/>
  <c r="B28" i="20"/>
  <c r="B31" i="20"/>
  <c r="J35" i="20"/>
  <c r="L31" i="20"/>
  <c r="L29" i="20"/>
  <c r="L27" i="20"/>
  <c r="L21" i="20"/>
  <c r="L32" i="20"/>
  <c r="L25" i="20"/>
  <c r="L23" i="20"/>
  <c r="L22" i="20"/>
  <c r="L26" i="20"/>
  <c r="L28" i="20"/>
  <c r="L30" i="20"/>
  <c r="L24" i="20"/>
  <c r="O68" i="20"/>
  <c r="B67" i="20"/>
  <c r="D65" i="20"/>
  <c r="F63" i="20"/>
  <c r="H61" i="20"/>
  <c r="J59" i="20"/>
  <c r="L57" i="20"/>
  <c r="N55" i="20"/>
  <c r="N68" i="20"/>
  <c r="P66" i="20"/>
  <c r="C65" i="20"/>
  <c r="E63" i="20"/>
  <c r="G61" i="20"/>
  <c r="I59" i="20"/>
  <c r="K57" i="20"/>
  <c r="M55" i="20"/>
  <c r="I55" i="20"/>
  <c r="M68" i="20"/>
  <c r="O66" i="20"/>
  <c r="B65" i="20"/>
  <c r="D63" i="20"/>
  <c r="F61" i="20"/>
  <c r="H59" i="20"/>
  <c r="J57" i="20"/>
  <c r="L55" i="20"/>
  <c r="G57" i="20"/>
  <c r="L68" i="20"/>
  <c r="N66" i="20"/>
  <c r="P64" i="20"/>
  <c r="C63" i="20"/>
  <c r="E61" i="20"/>
  <c r="G59" i="20"/>
  <c r="I57" i="20"/>
  <c r="K55" i="20"/>
  <c r="K68" i="20"/>
  <c r="M66" i="20"/>
  <c r="O64" i="20"/>
  <c r="B63" i="20"/>
  <c r="D61" i="20"/>
  <c r="F59" i="20"/>
  <c r="H57" i="20"/>
  <c r="J55" i="20"/>
  <c r="C61" i="20"/>
  <c r="J68" i="20"/>
  <c r="L66" i="20"/>
  <c r="N64" i="20"/>
  <c r="P62" i="20"/>
  <c r="E59" i="20"/>
  <c r="I68" i="20"/>
  <c r="K66" i="20"/>
  <c r="M64" i="20"/>
  <c r="O62" i="20"/>
  <c r="B61" i="20"/>
  <c r="D59" i="20"/>
  <c r="F57" i="20"/>
  <c r="H55" i="20"/>
  <c r="H68" i="20"/>
  <c r="J66" i="20"/>
  <c r="L64" i="20"/>
  <c r="N62" i="20"/>
  <c r="P60" i="20"/>
  <c r="C59" i="20"/>
  <c r="E57" i="20"/>
  <c r="G55" i="20"/>
  <c r="G68" i="20"/>
  <c r="I66" i="20"/>
  <c r="K64" i="20"/>
  <c r="M62" i="20"/>
  <c r="O60" i="20"/>
  <c r="B59" i="20"/>
  <c r="D57" i="20"/>
  <c r="F55" i="20"/>
  <c r="E68" i="20"/>
  <c r="G66" i="20"/>
  <c r="I64" i="20"/>
  <c r="K62" i="20"/>
  <c r="M60" i="20"/>
  <c r="O58" i="20"/>
  <c r="B57" i="20"/>
  <c r="D55" i="20"/>
  <c r="D68" i="20"/>
  <c r="F66" i="20"/>
  <c r="H64" i="20"/>
  <c r="J62" i="20"/>
  <c r="L60" i="20"/>
  <c r="N58" i="20"/>
  <c r="P56" i="20"/>
  <c r="C55" i="20"/>
  <c r="C68" i="20"/>
  <c r="E66" i="20"/>
  <c r="G64" i="20"/>
  <c r="I62" i="20"/>
  <c r="K60" i="20"/>
  <c r="M58" i="20"/>
  <c r="O56" i="20"/>
  <c r="B68" i="20"/>
  <c r="D66" i="20"/>
  <c r="F64" i="20"/>
  <c r="H62" i="20"/>
  <c r="J60" i="20"/>
  <c r="L58" i="20"/>
  <c r="N56" i="20"/>
  <c r="P54" i="20"/>
  <c r="P67" i="20"/>
  <c r="C66" i="20"/>
  <c r="E64" i="20"/>
  <c r="G62" i="20"/>
  <c r="I60" i="20"/>
  <c r="K58" i="20"/>
  <c r="M56" i="20"/>
  <c r="O54" i="20"/>
  <c r="D67" i="20"/>
  <c r="F65" i="20"/>
  <c r="H63" i="20"/>
  <c r="J61" i="20"/>
  <c r="L59" i="20"/>
  <c r="N57" i="20"/>
  <c r="P55" i="20"/>
  <c r="C54" i="20"/>
  <c r="C67" i="20"/>
  <c r="F62" i="20"/>
  <c r="H58" i="20"/>
  <c r="K54" i="20"/>
  <c r="H66" i="20"/>
  <c r="E62" i="20"/>
  <c r="G58" i="20"/>
  <c r="J54" i="20"/>
  <c r="B66" i="20"/>
  <c r="D62" i="20"/>
  <c r="F58" i="20"/>
  <c r="I54" i="20"/>
  <c r="P65" i="20"/>
  <c r="C62" i="20"/>
  <c r="E58" i="20"/>
  <c r="H54" i="20"/>
  <c r="O65" i="20"/>
  <c r="B62" i="20"/>
  <c r="D58" i="20"/>
  <c r="G54" i="20"/>
  <c r="N65" i="20"/>
  <c r="P61" i="20"/>
  <c r="C58" i="20"/>
  <c r="F54" i="20"/>
  <c r="E65" i="20"/>
  <c r="H60" i="20"/>
  <c r="J56" i="20"/>
  <c r="J64" i="20"/>
  <c r="G60" i="20"/>
  <c r="I56" i="20"/>
  <c r="P68" i="20"/>
  <c r="D64" i="20"/>
  <c r="F60" i="20"/>
  <c r="H56" i="20"/>
  <c r="F68" i="20"/>
  <c r="C64" i="20"/>
  <c r="E60" i="20"/>
  <c r="G56" i="20"/>
  <c r="O67" i="20"/>
  <c r="B64" i="20"/>
  <c r="D60" i="20"/>
  <c r="F56" i="20"/>
  <c r="F67" i="20"/>
  <c r="G63" i="20"/>
  <c r="J58" i="20"/>
  <c r="M54" i="20"/>
  <c r="E67" i="20"/>
  <c r="L62" i="20"/>
  <c r="I58" i="20"/>
  <c r="L54" i="20"/>
  <c r="M67" i="20"/>
  <c r="N60" i="20"/>
  <c r="L67" i="20"/>
  <c r="C60" i="20"/>
  <c r="K67" i="20"/>
  <c r="B60" i="20"/>
  <c r="B55" i="20"/>
  <c r="L61" i="20"/>
  <c r="K59" i="20"/>
  <c r="J67" i="20"/>
  <c r="P59" i="20"/>
  <c r="G67" i="20"/>
  <c r="H65" i="20"/>
  <c r="O61" i="20"/>
  <c r="I67" i="20"/>
  <c r="O59" i="20"/>
  <c r="M59" i="20"/>
  <c r="M57" i="20"/>
  <c r="N54" i="20"/>
  <c r="H67" i="20"/>
  <c r="N59" i="20"/>
  <c r="M65" i="20"/>
  <c r="N61" i="20"/>
  <c r="D54" i="20"/>
  <c r="L65" i="20"/>
  <c r="P58" i="20"/>
  <c r="K65" i="20"/>
  <c r="B58" i="20"/>
  <c r="J65" i="20"/>
  <c r="P57" i="20"/>
  <c r="B54" i="20"/>
  <c r="I65" i="20"/>
  <c r="O57" i="20"/>
  <c r="K61" i="20"/>
  <c r="G65" i="20"/>
  <c r="C57" i="20"/>
  <c r="P63" i="20"/>
  <c r="L56" i="20"/>
  <c r="O63" i="20"/>
  <c r="K56" i="20"/>
  <c r="N63" i="20"/>
  <c r="E56" i="20"/>
  <c r="M63" i="20"/>
  <c r="D56" i="20"/>
  <c r="L63" i="20"/>
  <c r="C56" i="20"/>
  <c r="K63" i="20"/>
  <c r="B56" i="20"/>
  <c r="J63" i="20"/>
  <c r="O55" i="20"/>
  <c r="I63" i="20"/>
  <c r="E55" i="20"/>
  <c r="M61" i="20"/>
  <c r="E54" i="20"/>
  <c r="N67" i="20"/>
  <c r="I61" i="20"/>
  <c r="B35" i="20"/>
  <c r="C24" i="20"/>
  <c r="G30" i="20"/>
  <c r="L33" i="20"/>
  <c r="D36" i="20"/>
  <c r="L34" i="20"/>
  <c r="B25" i="20"/>
  <c r="B23" i="20"/>
  <c r="E27" i="20"/>
  <c r="B27" i="20"/>
  <c r="I28" i="20"/>
  <c r="I23" i="20"/>
  <c r="I25" i="20"/>
  <c r="I27" i="20"/>
  <c r="I33" i="20"/>
  <c r="I26" i="20"/>
  <c r="I21" i="20"/>
  <c r="I35" i="20"/>
  <c r="I34" i="20"/>
  <c r="I24" i="20"/>
  <c r="I22" i="20"/>
  <c r="I32" i="20"/>
  <c r="I29" i="20"/>
  <c r="B34" i="20"/>
  <c r="E34" i="20"/>
  <c r="L35" i="20"/>
  <c r="H29" i="20"/>
  <c r="H23" i="20"/>
  <c r="H25" i="20"/>
  <c r="H30" i="20"/>
  <c r="H22" i="20"/>
  <c r="H27" i="20"/>
  <c r="H32" i="20"/>
  <c r="H26" i="20"/>
  <c r="H21" i="20"/>
  <c r="H31" i="20"/>
  <c r="H24" i="20"/>
  <c r="H28" i="20"/>
  <c r="I28" i="19"/>
  <c r="I23" i="19"/>
  <c r="I25" i="19"/>
  <c r="I31" i="19"/>
  <c r="I26" i="19"/>
  <c r="I24" i="19"/>
  <c r="I33" i="19"/>
  <c r="I27" i="19"/>
  <c r="I34" i="19"/>
  <c r="I30" i="19"/>
  <c r="I35" i="19"/>
  <c r="I32" i="19"/>
  <c r="I22" i="19"/>
  <c r="I21" i="19"/>
  <c r="I29" i="19"/>
  <c r="N36" i="19"/>
  <c r="E32" i="19"/>
  <c r="B30" i="19"/>
  <c r="B23" i="19"/>
  <c r="B28" i="19"/>
  <c r="B29" i="19"/>
  <c r="B31" i="19"/>
  <c r="B34" i="19"/>
  <c r="B24" i="19"/>
  <c r="B25" i="19"/>
  <c r="B35" i="19"/>
  <c r="B33" i="19"/>
  <c r="B32" i="19"/>
  <c r="E25" i="19"/>
  <c r="L36" i="19"/>
  <c r="B27" i="19"/>
  <c r="G36" i="19"/>
  <c r="C22" i="19"/>
  <c r="C33" i="19"/>
  <c r="C21" i="19"/>
  <c r="C35" i="19"/>
  <c r="C23" i="19"/>
  <c r="C34" i="19"/>
  <c r="C31" i="19"/>
  <c r="P36" i="19"/>
  <c r="F25" i="19"/>
  <c r="F21" i="19"/>
  <c r="F32" i="19"/>
  <c r="F28" i="19"/>
  <c r="F35" i="19"/>
  <c r="F24" i="19"/>
  <c r="F27" i="19"/>
  <c r="F22" i="19"/>
  <c r="F29" i="19"/>
  <c r="F30" i="19"/>
  <c r="F23" i="19"/>
  <c r="F34" i="19"/>
  <c r="F31" i="19"/>
  <c r="H29" i="19"/>
  <c r="H31" i="19"/>
  <c r="H27" i="19"/>
  <c r="H26" i="19"/>
  <c r="H28" i="19"/>
  <c r="H24" i="19"/>
  <c r="H32" i="19"/>
  <c r="H21" i="19"/>
  <c r="H22" i="19"/>
  <c r="H35" i="19"/>
  <c r="H23" i="19"/>
  <c r="H30" i="19"/>
  <c r="H25" i="19"/>
  <c r="E21" i="19"/>
  <c r="E24" i="19"/>
  <c r="E33" i="19"/>
  <c r="E28" i="19"/>
  <c r="E35" i="19"/>
  <c r="E26" i="19"/>
  <c r="E30" i="19"/>
  <c r="E27" i="19"/>
  <c r="E34" i="19"/>
  <c r="E23" i="19"/>
  <c r="E22" i="19"/>
  <c r="H33" i="19"/>
  <c r="D23" i="19"/>
  <c r="D32" i="19"/>
  <c r="D29" i="19"/>
  <c r="D22" i="19"/>
  <c r="D25" i="19"/>
  <c r="D31" i="19"/>
  <c r="D24" i="19"/>
  <c r="D33" i="19"/>
  <c r="D21" i="19"/>
  <c r="D26" i="19"/>
  <c r="D34" i="19"/>
  <c r="D30" i="19"/>
  <c r="D28" i="19"/>
  <c r="D35" i="19"/>
  <c r="O68" i="19"/>
  <c r="B67" i="19"/>
  <c r="D65" i="19"/>
  <c r="F63" i="19"/>
  <c r="H61" i="19"/>
  <c r="J59" i="19"/>
  <c r="L57" i="19"/>
  <c r="N55" i="19"/>
  <c r="N66" i="19"/>
  <c r="E61" i="19"/>
  <c r="I57" i="19"/>
  <c r="H57" i="19"/>
  <c r="N68" i="19"/>
  <c r="P66" i="19"/>
  <c r="C65" i="19"/>
  <c r="E63" i="19"/>
  <c r="G61" i="19"/>
  <c r="I59" i="19"/>
  <c r="K57" i="19"/>
  <c r="M55" i="19"/>
  <c r="P64" i="19"/>
  <c r="G59" i="19"/>
  <c r="K68" i="19"/>
  <c r="M66" i="19"/>
  <c r="O64" i="19"/>
  <c r="B63" i="19"/>
  <c r="D61" i="19"/>
  <c r="F59" i="19"/>
  <c r="J55" i="19"/>
  <c r="M68" i="19"/>
  <c r="O66" i="19"/>
  <c r="B65" i="19"/>
  <c r="D63" i="19"/>
  <c r="F61" i="19"/>
  <c r="H59" i="19"/>
  <c r="J57" i="19"/>
  <c r="L55" i="19"/>
  <c r="L68" i="19"/>
  <c r="C63" i="19"/>
  <c r="K55" i="19"/>
  <c r="C68" i="19"/>
  <c r="E66" i="19"/>
  <c r="G64" i="19"/>
  <c r="I62" i="19"/>
  <c r="K60" i="19"/>
  <c r="M58" i="19"/>
  <c r="O56" i="19"/>
  <c r="B55" i="19"/>
  <c r="B68" i="19"/>
  <c r="D66" i="19"/>
  <c r="F64" i="19"/>
  <c r="H62" i="19"/>
  <c r="J60" i="19"/>
  <c r="L58" i="19"/>
  <c r="N56" i="19"/>
  <c r="P54" i="19"/>
  <c r="P67" i="19"/>
  <c r="C66" i="19"/>
  <c r="E64" i="19"/>
  <c r="G62" i="19"/>
  <c r="I60" i="19"/>
  <c r="K58" i="19"/>
  <c r="M56" i="19"/>
  <c r="O54" i="19"/>
  <c r="J67" i="19"/>
  <c r="N64" i="19"/>
  <c r="E62" i="19"/>
  <c r="N59" i="19"/>
  <c r="C57" i="19"/>
  <c r="I54" i="19"/>
  <c r="G67" i="19"/>
  <c r="L56" i="19"/>
  <c r="H64" i="19"/>
  <c r="I67" i="19"/>
  <c r="M64" i="19"/>
  <c r="D62" i="19"/>
  <c r="M59" i="19"/>
  <c r="B57" i="19"/>
  <c r="H54" i="19"/>
  <c r="B62" i="19"/>
  <c r="F54" i="19"/>
  <c r="F67" i="19"/>
  <c r="J64" i="19"/>
  <c r="P61" i="19"/>
  <c r="E59" i="19"/>
  <c r="K56" i="19"/>
  <c r="O61" i="19"/>
  <c r="J56" i="19"/>
  <c r="N61" i="19"/>
  <c r="I56" i="19"/>
  <c r="C54" i="19"/>
  <c r="H67" i="19"/>
  <c r="L64" i="19"/>
  <c r="C62" i="19"/>
  <c r="L59" i="19"/>
  <c r="P56" i="19"/>
  <c r="G54" i="19"/>
  <c r="K64" i="19"/>
  <c r="K59" i="19"/>
  <c r="E54" i="19"/>
  <c r="E67" i="19"/>
  <c r="I64" i="19"/>
  <c r="D59" i="19"/>
  <c r="D54" i="19"/>
  <c r="D67" i="19"/>
  <c r="C59" i="19"/>
  <c r="H66" i="19"/>
  <c r="N63" i="19"/>
  <c r="C61" i="19"/>
  <c r="I58" i="19"/>
  <c r="C56" i="19"/>
  <c r="F66" i="19"/>
  <c r="L63" i="19"/>
  <c r="P60" i="19"/>
  <c r="G58" i="19"/>
  <c r="P55" i="19"/>
  <c r="P68" i="19"/>
  <c r="K63" i="19"/>
  <c r="O60" i="19"/>
  <c r="O55" i="19"/>
  <c r="G66" i="19"/>
  <c r="M63" i="19"/>
  <c r="B61" i="19"/>
  <c r="H58" i="19"/>
  <c r="B56" i="19"/>
  <c r="B66" i="19"/>
  <c r="F58" i="19"/>
  <c r="J68" i="19"/>
  <c r="P65" i="19"/>
  <c r="J63" i="19"/>
  <c r="N60" i="19"/>
  <c r="E58" i="19"/>
  <c r="I55" i="19"/>
  <c r="I68" i="19"/>
  <c r="O65" i="19"/>
  <c r="I63" i="19"/>
  <c r="M60" i="19"/>
  <c r="D58" i="19"/>
  <c r="H55" i="19"/>
  <c r="I66" i="19"/>
  <c r="K61" i="19"/>
  <c r="H56" i="19"/>
  <c r="N65" i="19"/>
  <c r="J61" i="19"/>
  <c r="G56" i="19"/>
  <c r="F65" i="19"/>
  <c r="C55" i="19"/>
  <c r="B60" i="19"/>
  <c r="B58" i="19"/>
  <c r="E57" i="19"/>
  <c r="L61" i="19"/>
  <c r="D57" i="19"/>
  <c r="M62" i="19"/>
  <c r="O57" i="19"/>
  <c r="K62" i="19"/>
  <c r="G57" i="19"/>
  <c r="L66" i="19"/>
  <c r="K66" i="19"/>
  <c r="M65" i="19"/>
  <c r="I61" i="19"/>
  <c r="F56" i="19"/>
  <c r="D60" i="19"/>
  <c r="D64" i="19"/>
  <c r="P59" i="19"/>
  <c r="M54" i="19"/>
  <c r="L62" i="19"/>
  <c r="K67" i="19"/>
  <c r="M57" i="19"/>
  <c r="J62" i="19"/>
  <c r="F62" i="19"/>
  <c r="J66" i="19"/>
  <c r="L65" i="19"/>
  <c r="L60" i="19"/>
  <c r="E56" i="19"/>
  <c r="H65" i="19"/>
  <c r="E60" i="19"/>
  <c r="E55" i="19"/>
  <c r="D55" i="19"/>
  <c r="E65" i="19"/>
  <c r="N54" i="19"/>
  <c r="O62" i="19"/>
  <c r="N67" i="19"/>
  <c r="N62" i="19"/>
  <c r="P57" i="19"/>
  <c r="N57" i="19"/>
  <c r="F57" i="19"/>
  <c r="M61" i="19"/>
  <c r="K65" i="19"/>
  <c r="H60" i="19"/>
  <c r="D56" i="19"/>
  <c r="J65" i="19"/>
  <c r="G60" i="19"/>
  <c r="G55" i="19"/>
  <c r="I65" i="19"/>
  <c r="F60" i="19"/>
  <c r="F55" i="19"/>
  <c r="G65" i="19"/>
  <c r="C60" i="19"/>
  <c r="O67" i="19"/>
  <c r="C64" i="19"/>
  <c r="O59" i="19"/>
  <c r="L54" i="19"/>
  <c r="B64" i="19"/>
  <c r="B59" i="19"/>
  <c r="K54" i="19"/>
  <c r="H68" i="19"/>
  <c r="P63" i="19"/>
  <c r="P58" i="19"/>
  <c r="J54" i="19"/>
  <c r="G68" i="19"/>
  <c r="O63" i="19"/>
  <c r="O58" i="19"/>
  <c r="B54" i="19"/>
  <c r="F68" i="19"/>
  <c r="H63" i="19"/>
  <c r="N58" i="19"/>
  <c r="E68" i="19"/>
  <c r="G63" i="19"/>
  <c r="J58" i="19"/>
  <c r="D68" i="19"/>
  <c r="P62" i="19"/>
  <c r="C58" i="19"/>
  <c r="M67" i="19"/>
  <c r="L67" i="19"/>
  <c r="C67" i="19"/>
  <c r="C27" i="19"/>
  <c r="G30" i="18"/>
  <c r="G32" i="18"/>
  <c r="G29" i="18"/>
  <c r="H36" i="18"/>
  <c r="G27" i="18"/>
  <c r="D30" i="18"/>
  <c r="G35" i="18"/>
  <c r="K33" i="18"/>
  <c r="D32" i="18"/>
  <c r="G31" i="18"/>
  <c r="L22" i="18"/>
  <c r="L25" i="18"/>
  <c r="L31" i="18"/>
  <c r="L28" i="18"/>
  <c r="L24" i="18"/>
  <c r="L32" i="18"/>
  <c r="L29" i="18"/>
  <c r="L26" i="18"/>
  <c r="L30" i="18"/>
  <c r="L33" i="18"/>
  <c r="L21" i="18"/>
  <c r="L27" i="18"/>
  <c r="L23" i="18"/>
  <c r="F36" i="18"/>
  <c r="N36" i="18"/>
  <c r="I36" i="18"/>
  <c r="C27" i="18"/>
  <c r="C31" i="18"/>
  <c r="C22" i="18"/>
  <c r="C23" i="18"/>
  <c r="C26" i="18"/>
  <c r="C33" i="18"/>
  <c r="C35" i="18"/>
  <c r="C21" i="18"/>
  <c r="C32" i="18"/>
  <c r="C24" i="18"/>
  <c r="C34" i="18"/>
  <c r="C25" i="18"/>
  <c r="C29" i="18"/>
  <c r="C28" i="18"/>
  <c r="L34" i="18"/>
  <c r="E36" i="18"/>
  <c r="J36" i="18"/>
  <c r="K25" i="18"/>
  <c r="K30" i="18"/>
  <c r="K29" i="18"/>
  <c r="K24" i="18"/>
  <c r="K28" i="18"/>
  <c r="K21" i="18"/>
  <c r="K35" i="18"/>
  <c r="K22" i="18"/>
  <c r="K23" i="18"/>
  <c r="K31" i="18"/>
  <c r="K27" i="18"/>
  <c r="K34" i="18"/>
  <c r="K26" i="18"/>
  <c r="L35" i="18"/>
  <c r="M22" i="18"/>
  <c r="M24" i="18"/>
  <c r="M28" i="18"/>
  <c r="M32" i="18"/>
  <c r="M25" i="18"/>
  <c r="M29" i="18"/>
  <c r="M33" i="18"/>
  <c r="M27" i="18"/>
  <c r="M34" i="18"/>
  <c r="M26" i="18"/>
  <c r="M30" i="18"/>
  <c r="M21" i="18"/>
  <c r="M31" i="18"/>
  <c r="M23" i="18"/>
  <c r="G21" i="18"/>
  <c r="G24" i="18"/>
  <c r="G25" i="18"/>
  <c r="G26" i="18"/>
  <c r="G22" i="18"/>
  <c r="G28" i="18"/>
  <c r="G23" i="18"/>
  <c r="D23" i="18"/>
  <c r="D35" i="18"/>
  <c r="D34" i="18"/>
  <c r="D21" i="18"/>
  <c r="D29" i="18"/>
  <c r="D25" i="18"/>
  <c r="D22" i="18"/>
  <c r="D28" i="18"/>
  <c r="D27" i="18"/>
  <c r="D26" i="18"/>
  <c r="D24" i="18"/>
  <c r="O36" i="18"/>
  <c r="G34" i="18"/>
  <c r="F4" i="17"/>
  <c r="F5" i="17"/>
  <c r="B11" i="17" a="1"/>
  <c r="D12" i="17" s="1"/>
  <c r="F3" i="17"/>
  <c r="F12" i="15"/>
  <c r="B11" i="16" a="1"/>
  <c r="C14" i="16" s="1"/>
  <c r="F6" i="16"/>
  <c r="F5" i="16"/>
  <c r="F4" i="16"/>
  <c r="C14" i="14"/>
  <c r="F3" i="16"/>
  <c r="C14" i="15"/>
  <c r="F11" i="15"/>
  <c r="B10" i="15"/>
  <c r="B13" i="15"/>
  <c r="F13" i="15" s="1"/>
  <c r="B10" i="14"/>
  <c r="B12" i="14"/>
  <c r="F12" i="14" s="1"/>
  <c r="B11" i="14"/>
  <c r="F11" i="14" s="1"/>
  <c r="B13" i="14"/>
  <c r="F13" i="14" s="1"/>
  <c r="C13" i="12"/>
  <c r="C10" i="12"/>
  <c r="D13" i="12"/>
  <c r="C12" i="12"/>
  <c r="D10" i="12"/>
  <c r="D11" i="12"/>
  <c r="D14" i="12" s="1"/>
  <c r="E10" i="12"/>
  <c r="E13" i="12"/>
  <c r="E11" i="12"/>
  <c r="D6" i="13"/>
  <c r="C6" i="13"/>
  <c r="B6" i="13"/>
  <c r="E5" i="13"/>
  <c r="D5" i="13"/>
  <c r="C5" i="13"/>
  <c r="B5" i="13"/>
  <c r="E4" i="13"/>
  <c r="D4" i="13"/>
  <c r="C4" i="13"/>
  <c r="B4" i="13"/>
  <c r="E3" i="13"/>
  <c r="D3" i="13"/>
  <c r="C3" i="13"/>
  <c r="B3" i="13"/>
  <c r="E6" i="13"/>
  <c r="B6" i="12"/>
  <c r="Q21" i="21" l="1"/>
  <c r="O36" i="20"/>
  <c r="K36" i="19"/>
  <c r="M36" i="19"/>
  <c r="P36" i="18"/>
  <c r="Q64" i="18"/>
  <c r="Q68" i="18"/>
  <c r="Q66" i="18"/>
  <c r="Q63" i="18"/>
  <c r="Q61" i="18"/>
  <c r="Q56" i="18"/>
  <c r="Q65" i="18"/>
  <c r="Q67" i="18"/>
  <c r="Q58" i="18"/>
  <c r="Q55" i="18"/>
  <c r="Q60" i="18"/>
  <c r="Q57" i="18"/>
  <c r="Q62" i="18"/>
  <c r="Q59" i="18"/>
  <c r="Q54" i="18"/>
  <c r="B74" i="18" a="1"/>
  <c r="B81" i="18" s="1"/>
  <c r="B36" i="18"/>
  <c r="J36" i="21"/>
  <c r="H36" i="21"/>
  <c r="Q31" i="21"/>
  <c r="Q57" i="21"/>
  <c r="Q29" i="21"/>
  <c r="Q66" i="21"/>
  <c r="Q33" i="20"/>
  <c r="Q35" i="20"/>
  <c r="Q26" i="19"/>
  <c r="Q28" i="19"/>
  <c r="Q35" i="19"/>
  <c r="Q25" i="19"/>
  <c r="Q24" i="19"/>
  <c r="Q22" i="19"/>
  <c r="Q66" i="19"/>
  <c r="Q61" i="19"/>
  <c r="Q56" i="19"/>
  <c r="Q64" i="21"/>
  <c r="Q26" i="21"/>
  <c r="Q30" i="21"/>
  <c r="Q61" i="21"/>
  <c r="I36" i="21"/>
  <c r="G36" i="21"/>
  <c r="Q67" i="21"/>
  <c r="Q34" i="21"/>
  <c r="L36" i="21"/>
  <c r="B36" i="21"/>
  <c r="Q25" i="21"/>
  <c r="Q62" i="21"/>
  <c r="C36" i="21"/>
  <c r="Q59" i="21"/>
  <c r="Q55" i="21"/>
  <c r="Q68" i="21"/>
  <c r="Q23" i="21"/>
  <c r="E36" i="21"/>
  <c r="Q33" i="21"/>
  <c r="Q32" i="21"/>
  <c r="Q27" i="21"/>
  <c r="Q58" i="21"/>
  <c r="Q35" i="21"/>
  <c r="Q28" i="21"/>
  <c r="Q54" i="21"/>
  <c r="B74" i="21" a="1"/>
  <c r="Q56" i="21"/>
  <c r="Q63" i="21"/>
  <c r="Q22" i="21"/>
  <c r="D36" i="21"/>
  <c r="Q65" i="21"/>
  <c r="Q60" i="21"/>
  <c r="Q24" i="21"/>
  <c r="Q62" i="20"/>
  <c r="Q61" i="20"/>
  <c r="Q57" i="20"/>
  <c r="Q56" i="20"/>
  <c r="Q65" i="20"/>
  <c r="L36" i="20"/>
  <c r="J36" i="20"/>
  <c r="Q64" i="20"/>
  <c r="Q66" i="20"/>
  <c r="Q59" i="20"/>
  <c r="Q28" i="20"/>
  <c r="Q32" i="20"/>
  <c r="Q68" i="20"/>
  <c r="Q26" i="20"/>
  <c r="E36" i="20"/>
  <c r="Q31" i="20"/>
  <c r="Q27" i="20"/>
  <c r="Q30" i="20"/>
  <c r="Q63" i="20"/>
  <c r="Q22" i="20"/>
  <c r="Q67" i="20"/>
  <c r="Q54" i="20"/>
  <c r="B74" i="20" a="1"/>
  <c r="Q58" i="20"/>
  <c r="Q34" i="20"/>
  <c r="I36" i="20"/>
  <c r="Q23" i="20"/>
  <c r="Q29" i="20"/>
  <c r="H36" i="20"/>
  <c r="Q25" i="20"/>
  <c r="Q55" i="20"/>
  <c r="Q24" i="20"/>
  <c r="G36" i="20"/>
  <c r="Q60" i="20"/>
  <c r="B36" i="20"/>
  <c r="Q21" i="20"/>
  <c r="C36" i="20"/>
  <c r="Q31" i="19"/>
  <c r="Q59" i="19"/>
  <c r="Q60" i="19"/>
  <c r="Q67" i="19"/>
  <c r="E36" i="19"/>
  <c r="I36" i="19"/>
  <c r="Q34" i="19"/>
  <c r="Q29" i="19"/>
  <c r="Q58" i="19"/>
  <c r="Q64" i="19"/>
  <c r="Q23" i="19"/>
  <c r="Q30" i="19"/>
  <c r="Q65" i="19"/>
  <c r="F36" i="19"/>
  <c r="Q63" i="19"/>
  <c r="C36" i="19"/>
  <c r="Q62" i="19"/>
  <c r="H36" i="19"/>
  <c r="D36" i="19"/>
  <c r="Q57" i="19"/>
  <c r="Q68" i="19"/>
  <c r="Q27" i="19"/>
  <c r="Q55" i="19"/>
  <c r="Q32" i="19"/>
  <c r="B36" i="19"/>
  <c r="Q21" i="19"/>
  <c r="Q54" i="19"/>
  <c r="B74" i="19" a="1"/>
  <c r="Q33" i="19"/>
  <c r="Q34" i="18"/>
  <c r="Q21" i="18"/>
  <c r="Q29" i="18"/>
  <c r="Q35" i="18"/>
  <c r="Q31" i="18"/>
  <c r="Q28" i="18"/>
  <c r="Q25" i="18"/>
  <c r="Q24" i="18"/>
  <c r="Q32" i="18"/>
  <c r="Q33" i="18"/>
  <c r="Q22" i="18"/>
  <c r="Q27" i="18"/>
  <c r="Q30" i="18"/>
  <c r="Q26" i="18"/>
  <c r="Q23" i="18"/>
  <c r="C36" i="18"/>
  <c r="D36" i="18"/>
  <c r="L36" i="18"/>
  <c r="K36" i="18"/>
  <c r="G36" i="18"/>
  <c r="M36" i="18"/>
  <c r="F7" i="17"/>
  <c r="G5" i="17" s="1"/>
  <c r="D13" i="17"/>
  <c r="E13" i="17"/>
  <c r="D14" i="17"/>
  <c r="E12" i="17"/>
  <c r="C13" i="17"/>
  <c r="C14" i="17"/>
  <c r="B11" i="17"/>
  <c r="C11" i="17"/>
  <c r="B14" i="17"/>
  <c r="B13" i="17"/>
  <c r="E14" i="17"/>
  <c r="D11" i="17"/>
  <c r="E11" i="17"/>
  <c r="B12" i="17"/>
  <c r="C12" i="17"/>
  <c r="D14" i="16"/>
  <c r="E14" i="16"/>
  <c r="B11" i="16"/>
  <c r="C11" i="16"/>
  <c r="D11" i="16"/>
  <c r="E11" i="16"/>
  <c r="C12" i="16"/>
  <c r="D12" i="16"/>
  <c r="E12" i="16"/>
  <c r="B13" i="16"/>
  <c r="C13" i="16"/>
  <c r="B12" i="16"/>
  <c r="D13" i="16"/>
  <c r="E13" i="16"/>
  <c r="B14" i="16"/>
  <c r="F14" i="16" s="1"/>
  <c r="F7" i="16"/>
  <c r="G5" i="16" s="1"/>
  <c r="F11" i="16"/>
  <c r="B14" i="15"/>
  <c r="F10" i="15"/>
  <c r="B14" i="14"/>
  <c r="F10" i="14"/>
  <c r="C14" i="12"/>
  <c r="E14" i="12"/>
  <c r="F3" i="13"/>
  <c r="F4" i="13"/>
  <c r="F6" i="13"/>
  <c r="F5" i="13"/>
  <c r="B11" i="13" a="1"/>
  <c r="B14" i="13" s="1"/>
  <c r="B12" i="12"/>
  <c r="F12" i="12" s="1"/>
  <c r="B13" i="12"/>
  <c r="F13" i="12" s="1"/>
  <c r="B10" i="12"/>
  <c r="B11" i="12"/>
  <c r="F11" i="12" s="1"/>
  <c r="B40" i="20" l="1"/>
  <c r="B40" i="19"/>
  <c r="B42" i="19" s="1"/>
  <c r="B44" i="19" s="1"/>
  <c r="C40" i="19" s="1"/>
  <c r="G86" i="18"/>
  <c r="F86" i="18"/>
  <c r="E86" i="18"/>
  <c r="G76" i="18"/>
  <c r="L83" i="18"/>
  <c r="E78" i="18"/>
  <c r="F83" i="18"/>
  <c r="E87" i="18"/>
  <c r="E83" i="18"/>
  <c r="C80" i="18"/>
  <c r="D83" i="18"/>
  <c r="P87" i="18"/>
  <c r="C83" i="18"/>
  <c r="L79" i="18"/>
  <c r="B77" i="18"/>
  <c r="H80" i="18"/>
  <c r="P82" i="18"/>
  <c r="J81" i="18"/>
  <c r="G74" i="18"/>
  <c r="F76" i="18"/>
  <c r="F88" i="18"/>
  <c r="B86" i="18"/>
  <c r="C85" i="18"/>
  <c r="D87" i="18"/>
  <c r="J82" i="18"/>
  <c r="H74" i="18"/>
  <c r="G79" i="18"/>
  <c r="H83" i="18"/>
  <c r="N76" i="18"/>
  <c r="O75" i="18"/>
  <c r="E88" i="18"/>
  <c r="F87" i="18"/>
  <c r="B85" i="18"/>
  <c r="H76" i="18"/>
  <c r="C82" i="18"/>
  <c r="D80" i="18"/>
  <c r="J84" i="18"/>
  <c r="G83" i="18"/>
  <c r="K75" i="18"/>
  <c r="F74" i="18"/>
  <c r="M78" i="18"/>
  <c r="B82" i="18"/>
  <c r="H84" i="18"/>
  <c r="C87" i="18"/>
  <c r="L78" i="18"/>
  <c r="B78" i="18"/>
  <c r="O86" i="18"/>
  <c r="C75" i="18"/>
  <c r="G78" i="18"/>
  <c r="O88" i="18"/>
  <c r="F75" i="18"/>
  <c r="M88" i="18"/>
  <c r="B79" i="18"/>
  <c r="Q69" i="18"/>
  <c r="R61" i="18" s="1"/>
  <c r="R62" i="18"/>
  <c r="I82" i="18"/>
  <c r="L75" i="18"/>
  <c r="O81" i="18"/>
  <c r="M85" i="18"/>
  <c r="B83" i="18"/>
  <c r="F79" i="18"/>
  <c r="G81" i="18"/>
  <c r="B76" i="18"/>
  <c r="P88" i="18"/>
  <c r="F80" i="18"/>
  <c r="K76" i="18"/>
  <c r="I84" i="18"/>
  <c r="O77" i="18"/>
  <c r="O79" i="18"/>
  <c r="E77" i="18"/>
  <c r="D88" i="18"/>
  <c r="P86" i="18"/>
  <c r="N79" i="18"/>
  <c r="K87" i="18"/>
  <c r="K88" i="18"/>
  <c r="P84" i="18"/>
  <c r="E81" i="18"/>
  <c r="J87" i="18"/>
  <c r="P75" i="18"/>
  <c r="P85" i="18"/>
  <c r="H82" i="18"/>
  <c r="I75" i="18"/>
  <c r="L76" i="18"/>
  <c r="F85" i="18"/>
  <c r="O82" i="18"/>
  <c r="E79" i="18"/>
  <c r="H75" i="18"/>
  <c r="G87" i="18"/>
  <c r="O87" i="18"/>
  <c r="E80" i="18"/>
  <c r="J76" i="18"/>
  <c r="L86" i="18"/>
  <c r="D84" i="18"/>
  <c r="M76" i="18"/>
  <c r="D77" i="18"/>
  <c r="L84" i="18"/>
  <c r="B84" i="18"/>
  <c r="D78" i="18"/>
  <c r="M79" i="18"/>
  <c r="J88" i="18"/>
  <c r="N81" i="18"/>
  <c r="P80" i="18"/>
  <c r="D74" i="18"/>
  <c r="J74" i="18"/>
  <c r="O85" i="18"/>
  <c r="P78" i="18"/>
  <c r="C78" i="18"/>
  <c r="K78" i="18"/>
  <c r="J83" i="18"/>
  <c r="N82" i="18"/>
  <c r="M75" i="18"/>
  <c r="E75" i="18"/>
  <c r="I80" i="18"/>
  <c r="L74" i="18"/>
  <c r="P79" i="18"/>
  <c r="N75" i="18"/>
  <c r="M84" i="18"/>
  <c r="L81" i="18"/>
  <c r="I86" i="18"/>
  <c r="C77" i="18"/>
  <c r="L87" i="18"/>
  <c r="H87" i="18"/>
  <c r="J78" i="18"/>
  <c r="K79" i="18"/>
  <c r="K74" i="18"/>
  <c r="I88" i="18"/>
  <c r="K84" i="18"/>
  <c r="B80" i="18"/>
  <c r="H85" i="18"/>
  <c r="H86" i="18"/>
  <c r="N85" i="18"/>
  <c r="H81" i="18"/>
  <c r="O74" i="18"/>
  <c r="F78" i="18"/>
  <c r="K77" i="18"/>
  <c r="M82" i="18"/>
  <c r="O78" i="18"/>
  <c r="K81" i="18"/>
  <c r="K83" i="18"/>
  <c r="F77" i="18"/>
  <c r="J79" i="18"/>
  <c r="N87" i="18"/>
  <c r="H88" i="18"/>
  <c r="C88" i="18"/>
  <c r="G84" i="18"/>
  <c r="N78" i="18"/>
  <c r="G82" i="18"/>
  <c r="E85" i="18"/>
  <c r="I81" i="18"/>
  <c r="N80" i="18"/>
  <c r="J85" i="18"/>
  <c r="O84" i="18"/>
  <c r="D81" i="18"/>
  <c r="B87" i="18"/>
  <c r="E84" i="18"/>
  <c r="D76" i="18"/>
  <c r="C74" i="18"/>
  <c r="M80" i="18"/>
  <c r="L82" i="18"/>
  <c r="E82" i="18"/>
  <c r="I78" i="18"/>
  <c r="F81" i="18"/>
  <c r="G85" i="18"/>
  <c r="O83" i="18"/>
  <c r="M81" i="18"/>
  <c r="L80" i="18"/>
  <c r="I79" i="18"/>
  <c r="D79" i="18"/>
  <c r="N86" i="18"/>
  <c r="J75" i="18"/>
  <c r="C86" i="18"/>
  <c r="F82" i="18"/>
  <c r="N74" i="18"/>
  <c r="H77" i="18"/>
  <c r="P76" i="18"/>
  <c r="I76" i="18"/>
  <c r="F84" i="18"/>
  <c r="K86" i="18"/>
  <c r="E74" i="18"/>
  <c r="M83" i="18"/>
  <c r="G77" i="18"/>
  <c r="K80" i="18"/>
  <c r="G88" i="18"/>
  <c r="B88" i="18"/>
  <c r="C81" i="18"/>
  <c r="P83" i="18"/>
  <c r="P81" i="18"/>
  <c r="K85" i="18"/>
  <c r="B75" i="18"/>
  <c r="J77" i="18"/>
  <c r="D85" i="18"/>
  <c r="N84" i="18"/>
  <c r="H78" i="18"/>
  <c r="O80" i="18"/>
  <c r="C76" i="18"/>
  <c r="I87" i="18"/>
  <c r="N88" i="18"/>
  <c r="I77" i="18"/>
  <c r="K82" i="18"/>
  <c r="D82" i="18"/>
  <c r="G75" i="18"/>
  <c r="L77" i="18"/>
  <c r="N83" i="18"/>
  <c r="I74" i="18"/>
  <c r="P74" i="18"/>
  <c r="J80" i="18"/>
  <c r="H79" i="18"/>
  <c r="C79" i="18"/>
  <c r="M86" i="18"/>
  <c r="D75" i="18"/>
  <c r="N77" i="18"/>
  <c r="P77" i="18"/>
  <c r="I83" i="18"/>
  <c r="M74" i="18"/>
  <c r="G80" i="18"/>
  <c r="O76" i="18"/>
  <c r="E76" i="18"/>
  <c r="C84" i="18"/>
  <c r="B74" i="18"/>
  <c r="I85" i="18"/>
  <c r="L85" i="18"/>
  <c r="M77" i="18"/>
  <c r="J86" i="18"/>
  <c r="D86" i="18"/>
  <c r="L88" i="18"/>
  <c r="M87" i="18"/>
  <c r="Q36" i="18"/>
  <c r="I88" i="21"/>
  <c r="K86" i="21"/>
  <c r="M84" i="21"/>
  <c r="O82" i="21"/>
  <c r="B81" i="21"/>
  <c r="D79" i="21"/>
  <c r="F77" i="21"/>
  <c r="H75" i="21"/>
  <c r="H88" i="21"/>
  <c r="J86" i="21"/>
  <c r="L84" i="21"/>
  <c r="N82" i="21"/>
  <c r="P80" i="21"/>
  <c r="C79" i="21"/>
  <c r="E77" i="21"/>
  <c r="G75" i="21"/>
  <c r="G88" i="21"/>
  <c r="I86" i="21"/>
  <c r="K84" i="21"/>
  <c r="M82" i="21"/>
  <c r="O80" i="21"/>
  <c r="B79" i="21"/>
  <c r="D77" i="21"/>
  <c r="F75" i="21"/>
  <c r="F88" i="21"/>
  <c r="H86" i="21"/>
  <c r="J84" i="21"/>
  <c r="L82" i="21"/>
  <c r="N80" i="21"/>
  <c r="P78" i="21"/>
  <c r="C77" i="21"/>
  <c r="E75" i="21"/>
  <c r="E88" i="21"/>
  <c r="G86" i="21"/>
  <c r="I84" i="21"/>
  <c r="K82" i="21"/>
  <c r="M80" i="21"/>
  <c r="O78" i="21"/>
  <c r="B77" i="21"/>
  <c r="D75" i="21"/>
  <c r="D88" i="21"/>
  <c r="F86" i="21"/>
  <c r="H84" i="21"/>
  <c r="J82" i="21"/>
  <c r="L80" i="21"/>
  <c r="N78" i="21"/>
  <c r="P76" i="21"/>
  <c r="C75" i="21"/>
  <c r="C88" i="21"/>
  <c r="E86" i="21"/>
  <c r="G84" i="21"/>
  <c r="I82" i="21"/>
  <c r="K80" i="21"/>
  <c r="M78" i="21"/>
  <c r="O76" i="21"/>
  <c r="B75" i="21"/>
  <c r="B88" i="21"/>
  <c r="D86" i="21"/>
  <c r="F84" i="21"/>
  <c r="H82" i="21"/>
  <c r="J80" i="21"/>
  <c r="L78" i="21"/>
  <c r="N76" i="21"/>
  <c r="P74" i="21"/>
  <c r="P87" i="21"/>
  <c r="C86" i="21"/>
  <c r="E84" i="21"/>
  <c r="G82" i="21"/>
  <c r="I80" i="21"/>
  <c r="K78" i="21"/>
  <c r="M76" i="21"/>
  <c r="O74" i="21"/>
  <c r="O87" i="21"/>
  <c r="B86" i="21"/>
  <c r="D84" i="21"/>
  <c r="F82" i="21"/>
  <c r="H80" i="21"/>
  <c r="J78" i="21"/>
  <c r="L76" i="21"/>
  <c r="N74" i="21"/>
  <c r="N87" i="21"/>
  <c r="P85" i="21"/>
  <c r="C84" i="21"/>
  <c r="E82" i="21"/>
  <c r="G80" i="21"/>
  <c r="I78" i="21"/>
  <c r="K76" i="21"/>
  <c r="M74" i="21"/>
  <c r="M87" i="21"/>
  <c r="O85" i="21"/>
  <c r="B84" i="21"/>
  <c r="D82" i="21"/>
  <c r="F80" i="21"/>
  <c r="H78" i="21"/>
  <c r="J76" i="21"/>
  <c r="L74" i="21"/>
  <c r="K87" i="21"/>
  <c r="M85" i="21"/>
  <c r="O83" i="21"/>
  <c r="B82" i="21"/>
  <c r="D80" i="21"/>
  <c r="F78" i="21"/>
  <c r="H76" i="21"/>
  <c r="J74" i="21"/>
  <c r="J87" i="21"/>
  <c r="L85" i="21"/>
  <c r="N83" i="21"/>
  <c r="P81" i="21"/>
  <c r="C80" i="21"/>
  <c r="E78" i="21"/>
  <c r="G76" i="21"/>
  <c r="I74" i="21"/>
  <c r="I87" i="21"/>
  <c r="K85" i="21"/>
  <c r="M83" i="21"/>
  <c r="O81" i="21"/>
  <c r="B80" i="21"/>
  <c r="D78" i="21"/>
  <c r="F76" i="21"/>
  <c r="H74" i="21"/>
  <c r="F85" i="21"/>
  <c r="H81" i="21"/>
  <c r="J77" i="21"/>
  <c r="E85" i="21"/>
  <c r="G81" i="21"/>
  <c r="I77" i="21"/>
  <c r="G78" i="21"/>
  <c r="D74" i="21"/>
  <c r="D85" i="21"/>
  <c r="F81" i="21"/>
  <c r="H77" i="21"/>
  <c r="C82" i="21"/>
  <c r="B74" i="21"/>
  <c r="M77" i="21"/>
  <c r="P88" i="21"/>
  <c r="C85" i="21"/>
  <c r="E81" i="21"/>
  <c r="G77" i="21"/>
  <c r="O88" i="21"/>
  <c r="B85" i="21"/>
  <c r="D81" i="21"/>
  <c r="I76" i="21"/>
  <c r="N88" i="21"/>
  <c r="P84" i="21"/>
  <c r="C81" i="21"/>
  <c r="E76" i="21"/>
  <c r="B78" i="21"/>
  <c r="M88" i="21"/>
  <c r="O84" i="21"/>
  <c r="E80" i="21"/>
  <c r="D76" i="21"/>
  <c r="L88" i="21"/>
  <c r="N84" i="21"/>
  <c r="P79" i="21"/>
  <c r="C76" i="21"/>
  <c r="K88" i="21"/>
  <c r="P83" i="21"/>
  <c r="O79" i="21"/>
  <c r="B76" i="21"/>
  <c r="O86" i="21"/>
  <c r="L86" i="21"/>
  <c r="L81" i="21"/>
  <c r="K81" i="21"/>
  <c r="J88" i="21"/>
  <c r="L83" i="21"/>
  <c r="N79" i="21"/>
  <c r="P75" i="21"/>
  <c r="B83" i="21"/>
  <c r="J85" i="21"/>
  <c r="I85" i="21"/>
  <c r="L87" i="21"/>
  <c r="K83" i="21"/>
  <c r="M79" i="21"/>
  <c r="O75" i="21"/>
  <c r="C78" i="21"/>
  <c r="M81" i="21"/>
  <c r="H87" i="21"/>
  <c r="J83" i="21"/>
  <c r="L79" i="21"/>
  <c r="N75" i="21"/>
  <c r="P82" i="21"/>
  <c r="N85" i="21"/>
  <c r="G87" i="21"/>
  <c r="I83" i="21"/>
  <c r="K79" i="21"/>
  <c r="M75" i="21"/>
  <c r="N86" i="21"/>
  <c r="M86" i="21"/>
  <c r="O77" i="21"/>
  <c r="F87" i="21"/>
  <c r="H83" i="21"/>
  <c r="J79" i="21"/>
  <c r="L75" i="21"/>
  <c r="E87" i="21"/>
  <c r="G83" i="21"/>
  <c r="I79" i="21"/>
  <c r="K75" i="21"/>
  <c r="D87" i="21"/>
  <c r="F83" i="21"/>
  <c r="H79" i="21"/>
  <c r="J75" i="21"/>
  <c r="C87" i="21"/>
  <c r="E83" i="21"/>
  <c r="G79" i="21"/>
  <c r="I75" i="21"/>
  <c r="B87" i="21"/>
  <c r="D83" i="21"/>
  <c r="F79" i="21"/>
  <c r="K74" i="21"/>
  <c r="P86" i="21"/>
  <c r="C83" i="21"/>
  <c r="E79" i="21"/>
  <c r="G74" i="21"/>
  <c r="F74" i="21"/>
  <c r="E74" i="21"/>
  <c r="N81" i="21"/>
  <c r="P77" i="21"/>
  <c r="C74" i="21"/>
  <c r="N77" i="21"/>
  <c r="J81" i="21"/>
  <c r="H85" i="21"/>
  <c r="G85" i="21"/>
  <c r="I81" i="21"/>
  <c r="L77" i="21"/>
  <c r="K77" i="21"/>
  <c r="Q69" i="21"/>
  <c r="R54" i="21" s="1"/>
  <c r="Q36" i="21"/>
  <c r="B40" i="21"/>
  <c r="B42" i="21" s="1"/>
  <c r="B44" i="21" s="1"/>
  <c r="C40" i="21" s="1"/>
  <c r="Q69" i="20"/>
  <c r="R58" i="20" s="1"/>
  <c r="I88" i="20"/>
  <c r="K86" i="20"/>
  <c r="M84" i="20"/>
  <c r="O82" i="20"/>
  <c r="B81" i="20"/>
  <c r="D79" i="20"/>
  <c r="F77" i="20"/>
  <c r="H75" i="20"/>
  <c r="H88" i="20"/>
  <c r="J86" i="20"/>
  <c r="L84" i="20"/>
  <c r="N82" i="20"/>
  <c r="P80" i="20"/>
  <c r="C79" i="20"/>
  <c r="E77" i="20"/>
  <c r="G75" i="20"/>
  <c r="G88" i="20"/>
  <c r="I86" i="20"/>
  <c r="K84" i="20"/>
  <c r="M82" i="20"/>
  <c r="O80" i="20"/>
  <c r="B79" i="20"/>
  <c r="D77" i="20"/>
  <c r="F75" i="20"/>
  <c r="F88" i="20"/>
  <c r="H86" i="20"/>
  <c r="J84" i="20"/>
  <c r="L82" i="20"/>
  <c r="N80" i="20"/>
  <c r="P78" i="20"/>
  <c r="C77" i="20"/>
  <c r="E75" i="20"/>
  <c r="E88" i="20"/>
  <c r="G86" i="20"/>
  <c r="I84" i="20"/>
  <c r="K82" i="20"/>
  <c r="M80" i="20"/>
  <c r="O78" i="20"/>
  <c r="B77" i="20"/>
  <c r="D75" i="20"/>
  <c r="D88" i="20"/>
  <c r="F86" i="20"/>
  <c r="H84" i="20"/>
  <c r="J82" i="20"/>
  <c r="L80" i="20"/>
  <c r="N78" i="20"/>
  <c r="P76" i="20"/>
  <c r="C75" i="20"/>
  <c r="C88" i="20"/>
  <c r="E86" i="20"/>
  <c r="G84" i="20"/>
  <c r="I82" i="20"/>
  <c r="K80" i="20"/>
  <c r="M78" i="20"/>
  <c r="O76" i="20"/>
  <c r="B75" i="20"/>
  <c r="B88" i="20"/>
  <c r="D86" i="20"/>
  <c r="F84" i="20"/>
  <c r="H82" i="20"/>
  <c r="J80" i="20"/>
  <c r="L78" i="20"/>
  <c r="N76" i="20"/>
  <c r="P74" i="20"/>
  <c r="P87" i="20"/>
  <c r="C86" i="20"/>
  <c r="E84" i="20"/>
  <c r="G82" i="20"/>
  <c r="I80" i="20"/>
  <c r="K78" i="20"/>
  <c r="M76" i="20"/>
  <c r="O74" i="20"/>
  <c r="N87" i="20"/>
  <c r="P85" i="20"/>
  <c r="C84" i="20"/>
  <c r="E82" i="20"/>
  <c r="G80" i="20"/>
  <c r="I78" i="20"/>
  <c r="K76" i="20"/>
  <c r="M74" i="20"/>
  <c r="M87" i="20"/>
  <c r="O85" i="20"/>
  <c r="B84" i="20"/>
  <c r="D82" i="20"/>
  <c r="F80" i="20"/>
  <c r="H78" i="20"/>
  <c r="J76" i="20"/>
  <c r="L74" i="20"/>
  <c r="L87" i="20"/>
  <c r="N85" i="20"/>
  <c r="P83" i="20"/>
  <c r="C82" i="20"/>
  <c r="E80" i="20"/>
  <c r="G78" i="20"/>
  <c r="I76" i="20"/>
  <c r="K74" i="20"/>
  <c r="K87" i="20"/>
  <c r="M85" i="20"/>
  <c r="O83" i="20"/>
  <c r="B82" i="20"/>
  <c r="D80" i="20"/>
  <c r="F78" i="20"/>
  <c r="H76" i="20"/>
  <c r="J74" i="20"/>
  <c r="J87" i="20"/>
  <c r="L85" i="20"/>
  <c r="N83" i="20"/>
  <c r="P81" i="20"/>
  <c r="C80" i="20"/>
  <c r="E78" i="20"/>
  <c r="G76" i="20"/>
  <c r="I74" i="20"/>
  <c r="K88" i="20"/>
  <c r="M86" i="20"/>
  <c r="O84" i="20"/>
  <c r="B83" i="20"/>
  <c r="D81" i="20"/>
  <c r="F79" i="20"/>
  <c r="H77" i="20"/>
  <c r="J75" i="20"/>
  <c r="H85" i="20"/>
  <c r="J81" i="20"/>
  <c r="L77" i="20"/>
  <c r="G85" i="20"/>
  <c r="I81" i="20"/>
  <c r="K77" i="20"/>
  <c r="F85" i="20"/>
  <c r="H81" i="20"/>
  <c r="J77" i="20"/>
  <c r="E85" i="20"/>
  <c r="G81" i="20"/>
  <c r="I77" i="20"/>
  <c r="D85" i="20"/>
  <c r="F81" i="20"/>
  <c r="G77" i="20"/>
  <c r="P88" i="20"/>
  <c r="C85" i="20"/>
  <c r="E81" i="20"/>
  <c r="L76" i="20"/>
  <c r="H87" i="20"/>
  <c r="J83" i="20"/>
  <c r="L79" i="20"/>
  <c r="N75" i="20"/>
  <c r="G87" i="20"/>
  <c r="I83" i="20"/>
  <c r="K79" i="20"/>
  <c r="M75" i="20"/>
  <c r="F87" i="20"/>
  <c r="H83" i="20"/>
  <c r="J79" i="20"/>
  <c r="L75" i="20"/>
  <c r="E87" i="20"/>
  <c r="G83" i="20"/>
  <c r="I79" i="20"/>
  <c r="K75" i="20"/>
  <c r="D87" i="20"/>
  <c r="F83" i="20"/>
  <c r="H79" i="20"/>
  <c r="I75" i="20"/>
  <c r="J85" i="20"/>
  <c r="L81" i="20"/>
  <c r="N77" i="20"/>
  <c r="I85" i="20"/>
  <c r="K81" i="20"/>
  <c r="M77" i="20"/>
  <c r="B86" i="20"/>
  <c r="C78" i="20"/>
  <c r="K85" i="20"/>
  <c r="B78" i="20"/>
  <c r="B85" i="20"/>
  <c r="P77" i="20"/>
  <c r="D76" i="20"/>
  <c r="M79" i="20"/>
  <c r="M83" i="20"/>
  <c r="H74" i="20"/>
  <c r="P82" i="20"/>
  <c r="E79" i="20"/>
  <c r="P84" i="20"/>
  <c r="O77" i="20"/>
  <c r="C76" i="20"/>
  <c r="O86" i="20"/>
  <c r="N84" i="20"/>
  <c r="F76" i="20"/>
  <c r="L83" i="20"/>
  <c r="D84" i="20"/>
  <c r="E76" i="20"/>
  <c r="N79" i="20"/>
  <c r="P86" i="20"/>
  <c r="K83" i="20"/>
  <c r="B76" i="20"/>
  <c r="D78" i="20"/>
  <c r="E83" i="20"/>
  <c r="P75" i="20"/>
  <c r="D83" i="20"/>
  <c r="O75" i="20"/>
  <c r="C83" i="20"/>
  <c r="N74" i="20"/>
  <c r="F82" i="20"/>
  <c r="G74" i="20"/>
  <c r="O81" i="20"/>
  <c r="F74" i="20"/>
  <c r="O88" i="20"/>
  <c r="N81" i="20"/>
  <c r="E74" i="20"/>
  <c r="N88" i="20"/>
  <c r="M81" i="20"/>
  <c r="D74" i="20"/>
  <c r="M88" i="20"/>
  <c r="C81" i="20"/>
  <c r="C74" i="20"/>
  <c r="L88" i="20"/>
  <c r="H80" i="20"/>
  <c r="B74" i="20"/>
  <c r="J88" i="20"/>
  <c r="B80" i="20"/>
  <c r="O87" i="20"/>
  <c r="P79" i="20"/>
  <c r="I87" i="20"/>
  <c r="O79" i="20"/>
  <c r="C87" i="20"/>
  <c r="B87" i="20"/>
  <c r="G79" i="20"/>
  <c r="J78" i="20"/>
  <c r="L86" i="20"/>
  <c r="N86" i="20"/>
  <c r="Q36" i="20"/>
  <c r="B42" i="20"/>
  <c r="Q36" i="19"/>
  <c r="I88" i="19"/>
  <c r="K86" i="19"/>
  <c r="M84" i="19"/>
  <c r="O82" i="19"/>
  <c r="B81" i="19"/>
  <c r="D79" i="19"/>
  <c r="F77" i="19"/>
  <c r="H75" i="19"/>
  <c r="H86" i="19"/>
  <c r="N80" i="19"/>
  <c r="E75" i="19"/>
  <c r="H88" i="19"/>
  <c r="J86" i="19"/>
  <c r="L84" i="19"/>
  <c r="N82" i="19"/>
  <c r="P80" i="19"/>
  <c r="C79" i="19"/>
  <c r="E77" i="19"/>
  <c r="G75" i="19"/>
  <c r="F88" i="19"/>
  <c r="L82" i="19"/>
  <c r="P78" i="19"/>
  <c r="E88" i="19"/>
  <c r="G86" i="19"/>
  <c r="I84" i="19"/>
  <c r="K82" i="19"/>
  <c r="M80" i="19"/>
  <c r="O78" i="19"/>
  <c r="B77" i="19"/>
  <c r="D75" i="19"/>
  <c r="G88" i="19"/>
  <c r="I86" i="19"/>
  <c r="K84" i="19"/>
  <c r="M82" i="19"/>
  <c r="O80" i="19"/>
  <c r="B79" i="19"/>
  <c r="D77" i="19"/>
  <c r="F75" i="19"/>
  <c r="J84" i="19"/>
  <c r="C77" i="19"/>
  <c r="L87" i="19"/>
  <c r="N85" i="19"/>
  <c r="P83" i="19"/>
  <c r="C82" i="19"/>
  <c r="E80" i="19"/>
  <c r="G78" i="19"/>
  <c r="I76" i="19"/>
  <c r="K74" i="19"/>
  <c r="K87" i="19"/>
  <c r="M85" i="19"/>
  <c r="O83" i="19"/>
  <c r="B82" i="19"/>
  <c r="D80" i="19"/>
  <c r="F78" i="19"/>
  <c r="H76" i="19"/>
  <c r="J74" i="19"/>
  <c r="J87" i="19"/>
  <c r="L85" i="19"/>
  <c r="N83" i="19"/>
  <c r="P81" i="19"/>
  <c r="C80" i="19"/>
  <c r="E78" i="19"/>
  <c r="G76" i="19"/>
  <c r="I74" i="19"/>
  <c r="M88" i="19"/>
  <c r="B86" i="19"/>
  <c r="H83" i="19"/>
  <c r="L80" i="19"/>
  <c r="C78" i="19"/>
  <c r="L75" i="19"/>
  <c r="C88" i="19"/>
  <c r="B88" i="19"/>
  <c r="L88" i="19"/>
  <c r="P85" i="19"/>
  <c r="G83" i="19"/>
  <c r="K80" i="19"/>
  <c r="B78" i="19"/>
  <c r="K75" i="19"/>
  <c r="K85" i="19"/>
  <c r="E83" i="19"/>
  <c r="I80" i="19"/>
  <c r="O77" i="19"/>
  <c r="J85" i="19"/>
  <c r="H80" i="19"/>
  <c r="C75" i="19"/>
  <c r="G80" i="19"/>
  <c r="F80" i="19"/>
  <c r="L77" i="19"/>
  <c r="K88" i="19"/>
  <c r="O85" i="19"/>
  <c r="F83" i="19"/>
  <c r="J80" i="19"/>
  <c r="P77" i="19"/>
  <c r="J75" i="19"/>
  <c r="J88" i="19"/>
  <c r="I75" i="19"/>
  <c r="D88" i="19"/>
  <c r="D83" i="19"/>
  <c r="N77" i="19"/>
  <c r="C83" i="19"/>
  <c r="M77" i="19"/>
  <c r="B75" i="19"/>
  <c r="B83" i="19"/>
  <c r="P74" i="19"/>
  <c r="I85" i="19"/>
  <c r="H85" i="19"/>
  <c r="H87" i="19"/>
  <c r="B85" i="19"/>
  <c r="F82" i="19"/>
  <c r="L79" i="19"/>
  <c r="P76" i="19"/>
  <c r="G74" i="19"/>
  <c r="F87" i="19"/>
  <c r="O84" i="19"/>
  <c r="D82" i="19"/>
  <c r="J79" i="19"/>
  <c r="N76" i="19"/>
  <c r="E74" i="19"/>
  <c r="E87" i="19"/>
  <c r="N84" i="19"/>
  <c r="I79" i="19"/>
  <c r="M76" i="19"/>
  <c r="G87" i="19"/>
  <c r="P84" i="19"/>
  <c r="E82" i="19"/>
  <c r="K79" i="19"/>
  <c r="O76" i="19"/>
  <c r="F74" i="19"/>
  <c r="O81" i="19"/>
  <c r="D74" i="19"/>
  <c r="D87" i="19"/>
  <c r="H84" i="19"/>
  <c r="N81" i="19"/>
  <c r="H79" i="19"/>
  <c r="L76" i="19"/>
  <c r="C74" i="19"/>
  <c r="C87" i="19"/>
  <c r="G84" i="19"/>
  <c r="M81" i="19"/>
  <c r="G79" i="19"/>
  <c r="K76" i="19"/>
  <c r="B74" i="19"/>
  <c r="P88" i="19"/>
  <c r="M83" i="19"/>
  <c r="M78" i="19"/>
  <c r="O88" i="19"/>
  <c r="L83" i="19"/>
  <c r="L78" i="19"/>
  <c r="N88" i="19"/>
  <c r="K77" i="19"/>
  <c r="J77" i="19"/>
  <c r="O86" i="19"/>
  <c r="C81" i="19"/>
  <c r="E85" i="19"/>
  <c r="O79" i="19"/>
  <c r="N74" i="19"/>
  <c r="F79" i="19"/>
  <c r="E79" i="19"/>
  <c r="B84" i="19"/>
  <c r="G77" i="19"/>
  <c r="F85" i="19"/>
  <c r="N75" i="19"/>
  <c r="D85" i="19"/>
  <c r="O74" i="19"/>
  <c r="F84" i="19"/>
  <c r="M79" i="19"/>
  <c r="K83" i="19"/>
  <c r="K78" i="19"/>
  <c r="I82" i="19"/>
  <c r="B87" i="19"/>
  <c r="I77" i="19"/>
  <c r="O75" i="19"/>
  <c r="B80" i="19"/>
  <c r="M75" i="19"/>
  <c r="C85" i="19"/>
  <c r="E84" i="19"/>
  <c r="D84" i="19"/>
  <c r="P87" i="19"/>
  <c r="J83" i="19"/>
  <c r="J78" i="19"/>
  <c r="J82" i="19"/>
  <c r="I87" i="19"/>
  <c r="G82" i="19"/>
  <c r="L81" i="19"/>
  <c r="N86" i="19"/>
  <c r="P79" i="19"/>
  <c r="N79" i="19"/>
  <c r="M74" i="19"/>
  <c r="C84" i="19"/>
  <c r="O87" i="19"/>
  <c r="I83" i="19"/>
  <c r="I78" i="19"/>
  <c r="N87" i="19"/>
  <c r="P82" i="19"/>
  <c r="H78" i="19"/>
  <c r="M87" i="19"/>
  <c r="D78" i="19"/>
  <c r="H82" i="19"/>
  <c r="P86" i="19"/>
  <c r="H77" i="19"/>
  <c r="K81" i="19"/>
  <c r="M86" i="19"/>
  <c r="J81" i="19"/>
  <c r="J76" i="19"/>
  <c r="L86" i="19"/>
  <c r="I81" i="19"/>
  <c r="F76" i="19"/>
  <c r="F86" i="19"/>
  <c r="H81" i="19"/>
  <c r="E76" i="19"/>
  <c r="E86" i="19"/>
  <c r="G81" i="19"/>
  <c r="D76" i="19"/>
  <c r="D86" i="19"/>
  <c r="F81" i="19"/>
  <c r="C76" i="19"/>
  <c r="C86" i="19"/>
  <c r="E81" i="19"/>
  <c r="B76" i="19"/>
  <c r="G85" i="19"/>
  <c r="D81" i="19"/>
  <c r="P75" i="19"/>
  <c r="L74" i="19"/>
  <c r="H74" i="19"/>
  <c r="N78" i="19"/>
  <c r="Q69" i="19"/>
  <c r="R55" i="19" s="1"/>
  <c r="B40" i="18"/>
  <c r="B42" i="18" s="1"/>
  <c r="B44" i="18" s="1"/>
  <c r="C40" i="18" s="1"/>
  <c r="G3" i="17"/>
  <c r="G7" i="17" s="1"/>
  <c r="G4" i="17"/>
  <c r="F11" i="17"/>
  <c r="F15" i="17" s="1"/>
  <c r="G6" i="17"/>
  <c r="F13" i="17"/>
  <c r="G13" i="17" s="1"/>
  <c r="C27" i="17" s="1"/>
  <c r="F12" i="17"/>
  <c r="F14" i="17"/>
  <c r="F12" i="16"/>
  <c r="F15" i="16" s="1"/>
  <c r="F13" i="16"/>
  <c r="G6" i="16"/>
  <c r="G3" i="16"/>
  <c r="G4" i="16"/>
  <c r="F14" i="15"/>
  <c r="B18" i="15"/>
  <c r="B20" i="15" s="1"/>
  <c r="B22" i="15" s="1"/>
  <c r="C18" i="15" s="1"/>
  <c r="F14" i="14"/>
  <c r="B18" i="14"/>
  <c r="B20" i="14" s="1"/>
  <c r="B22" i="14" s="1"/>
  <c r="C18" i="14" s="1"/>
  <c r="F7" i="13"/>
  <c r="G6" i="13" s="1"/>
  <c r="C14" i="13"/>
  <c r="D14" i="13"/>
  <c r="E14" i="13"/>
  <c r="B11" i="13"/>
  <c r="C11" i="13"/>
  <c r="D11" i="13"/>
  <c r="E11" i="13"/>
  <c r="B12" i="13"/>
  <c r="C12" i="13"/>
  <c r="D12" i="13"/>
  <c r="E12" i="13"/>
  <c r="B13" i="13"/>
  <c r="C13" i="13"/>
  <c r="D13" i="13"/>
  <c r="E13" i="13"/>
  <c r="F10" i="12"/>
  <c r="B18" i="12" s="1"/>
  <c r="B20" i="12" s="1"/>
  <c r="B22" i="12" s="1"/>
  <c r="B14" i="12"/>
  <c r="AE20" i="6"/>
  <c r="AF20" i="6"/>
  <c r="AD20" i="6"/>
  <c r="M20" i="6"/>
  <c r="M35" i="6"/>
  <c r="AE36" i="6"/>
  <c r="AD36" i="6"/>
  <c r="AD35" i="6"/>
  <c r="M36" i="6"/>
  <c r="M34" i="6"/>
  <c r="AE19" i="6"/>
  <c r="AD19" i="6"/>
  <c r="M19" i="6"/>
  <c r="AD18" i="6"/>
  <c r="M17" i="6"/>
  <c r="R54" i="20" l="1"/>
  <c r="R63" i="20"/>
  <c r="R67" i="20"/>
  <c r="Q78" i="18"/>
  <c r="B44" i="20"/>
  <c r="C40" i="20" s="1"/>
  <c r="Q74" i="18"/>
  <c r="Q80" i="18"/>
  <c r="Q81" i="18"/>
  <c r="R57" i="18"/>
  <c r="R54" i="18"/>
  <c r="R67" i="18"/>
  <c r="R55" i="18"/>
  <c r="R58" i="18"/>
  <c r="R56" i="18"/>
  <c r="Q83" i="18"/>
  <c r="Q85" i="18"/>
  <c r="Q77" i="18"/>
  <c r="Q75" i="18"/>
  <c r="Q88" i="18"/>
  <c r="Q86" i="18"/>
  <c r="Q87" i="18"/>
  <c r="Q79" i="18"/>
  <c r="Q76" i="18"/>
  <c r="Q84" i="18"/>
  <c r="Q82" i="18"/>
  <c r="R65" i="18"/>
  <c r="R68" i="18"/>
  <c r="R66" i="18"/>
  <c r="R63" i="18"/>
  <c r="R64" i="18"/>
  <c r="R59" i="18"/>
  <c r="R60" i="18"/>
  <c r="R60" i="21"/>
  <c r="R67" i="21"/>
  <c r="R68" i="21"/>
  <c r="R58" i="21"/>
  <c r="R59" i="21"/>
  <c r="R62" i="21"/>
  <c r="R55" i="21"/>
  <c r="Q85" i="21"/>
  <c r="Q75" i="21"/>
  <c r="R64" i="21"/>
  <c r="R56" i="21"/>
  <c r="Q83" i="21"/>
  <c r="R63" i="21"/>
  <c r="R61" i="21"/>
  <c r="R65" i="21"/>
  <c r="Q85" i="20"/>
  <c r="Q74" i="21"/>
  <c r="Q76" i="21"/>
  <c r="Q86" i="21"/>
  <c r="Q82" i="21"/>
  <c r="Q77" i="21"/>
  <c r="Q79" i="21"/>
  <c r="Q78" i="21"/>
  <c r="Q84" i="21"/>
  <c r="Q80" i="21"/>
  <c r="Q81" i="21"/>
  <c r="R57" i="21"/>
  <c r="R66" i="21"/>
  <c r="Q87" i="21"/>
  <c r="Q88" i="21"/>
  <c r="Q76" i="20"/>
  <c r="R61" i="20"/>
  <c r="R57" i="20"/>
  <c r="R55" i="20"/>
  <c r="R56" i="20"/>
  <c r="R65" i="20"/>
  <c r="Q77" i="20"/>
  <c r="R64" i="20"/>
  <c r="Q78" i="20"/>
  <c r="Q87" i="20"/>
  <c r="Q79" i="20"/>
  <c r="Q80" i="20"/>
  <c r="Q74" i="20"/>
  <c r="R62" i="20"/>
  <c r="Q82" i="20"/>
  <c r="R60" i="20"/>
  <c r="R66" i="20"/>
  <c r="R59" i="20"/>
  <c r="Q81" i="20"/>
  <c r="R68" i="20"/>
  <c r="Q83" i="20"/>
  <c r="Q88" i="20"/>
  <c r="Q75" i="20"/>
  <c r="Q84" i="20"/>
  <c r="Q86" i="20"/>
  <c r="Q86" i="19"/>
  <c r="R54" i="19"/>
  <c r="Q77" i="19"/>
  <c r="R59" i="19"/>
  <c r="Q81" i="19"/>
  <c r="Q76" i="19"/>
  <c r="Q80" i="19"/>
  <c r="Q74" i="19"/>
  <c r="R67" i="19"/>
  <c r="Q82" i="19"/>
  <c r="R64" i="19"/>
  <c r="R57" i="19"/>
  <c r="R68" i="19"/>
  <c r="Q84" i="19"/>
  <c r="Q83" i="19"/>
  <c r="Q75" i="19"/>
  <c r="Q79" i="19"/>
  <c r="R61" i="19"/>
  <c r="R66" i="19"/>
  <c r="R56" i="19"/>
  <c r="Q87" i="19"/>
  <c r="R60" i="19"/>
  <c r="R58" i="19"/>
  <c r="Q85" i="19"/>
  <c r="R65" i="19"/>
  <c r="R63" i="19"/>
  <c r="Q78" i="19"/>
  <c r="Q88" i="19"/>
  <c r="R62" i="19"/>
  <c r="G7" i="16"/>
  <c r="G14" i="17"/>
  <c r="G11" i="17"/>
  <c r="G12" i="17"/>
  <c r="B21" i="17"/>
  <c r="G12" i="16"/>
  <c r="G14" i="16"/>
  <c r="G11" i="16"/>
  <c r="G13" i="16"/>
  <c r="G5" i="13"/>
  <c r="G4" i="13"/>
  <c r="F12" i="13"/>
  <c r="F14" i="13"/>
  <c r="F11" i="13"/>
  <c r="F13" i="13"/>
  <c r="F14" i="12"/>
  <c r="C18" i="12"/>
  <c r="R69" i="18" l="1"/>
  <c r="Q89" i="18"/>
  <c r="R85" i="18" s="1"/>
  <c r="B104" i="18" s="1"/>
  <c r="R84" i="18"/>
  <c r="C120" i="18" s="1"/>
  <c r="R83" i="18"/>
  <c r="C119" i="18" s="1"/>
  <c r="R87" i="18"/>
  <c r="C123" i="18" s="1"/>
  <c r="R75" i="18"/>
  <c r="C111" i="18" s="1"/>
  <c r="R77" i="18"/>
  <c r="C113" i="18" s="1"/>
  <c r="R79" i="18"/>
  <c r="C115" i="18" s="1"/>
  <c r="R86" i="18"/>
  <c r="C122" i="18" s="1"/>
  <c r="R81" i="18"/>
  <c r="C117" i="18" s="1"/>
  <c r="R82" i="18"/>
  <c r="C118" i="18" s="1"/>
  <c r="R76" i="18"/>
  <c r="C112" i="18" s="1"/>
  <c r="C121" i="18"/>
  <c r="R74" i="18"/>
  <c r="R69" i="21"/>
  <c r="Q89" i="21"/>
  <c r="R87" i="21" s="1"/>
  <c r="Q89" i="20"/>
  <c r="R85" i="20" s="1"/>
  <c r="C121" i="20" s="1"/>
  <c r="R69" i="20"/>
  <c r="Q89" i="19"/>
  <c r="R78" i="19" s="1"/>
  <c r="R69" i="19"/>
  <c r="C28" i="17"/>
  <c r="B22" i="17"/>
  <c r="C26" i="17"/>
  <c r="B20" i="17"/>
  <c r="C25" i="17"/>
  <c r="G15" i="17"/>
  <c r="B19" i="17"/>
  <c r="C27" i="16"/>
  <c r="B21" i="16"/>
  <c r="G15" i="16"/>
  <c r="C25" i="16"/>
  <c r="B19" i="16"/>
  <c r="C28" i="16"/>
  <c r="B22" i="16"/>
  <c r="C26" i="16"/>
  <c r="B20" i="16"/>
  <c r="G7" i="13"/>
  <c r="F15" i="13"/>
  <c r="C25" i="13" s="1"/>
  <c r="R76" i="20" l="1"/>
  <c r="C112" i="20" s="1"/>
  <c r="R80" i="18"/>
  <c r="C116" i="18" s="1"/>
  <c r="R88" i="18"/>
  <c r="C124" i="18" s="1"/>
  <c r="B95" i="18"/>
  <c r="R78" i="18"/>
  <c r="C114" i="18" s="1"/>
  <c r="B96" i="18"/>
  <c r="B100" i="18"/>
  <c r="B101" i="18"/>
  <c r="B98" i="18"/>
  <c r="B94" i="18"/>
  <c r="B102" i="18"/>
  <c r="B106" i="18"/>
  <c r="B103" i="18"/>
  <c r="B105" i="18"/>
  <c r="B97" i="18"/>
  <c r="C110" i="18"/>
  <c r="B93" i="18"/>
  <c r="R84" i="20"/>
  <c r="C120" i="20" s="1"/>
  <c r="R86" i="20"/>
  <c r="C122" i="20" s="1"/>
  <c r="B104" i="20"/>
  <c r="R77" i="20"/>
  <c r="R74" i="19"/>
  <c r="B93" i="19" s="1"/>
  <c r="R77" i="19"/>
  <c r="C113" i="19" s="1"/>
  <c r="R75" i="19"/>
  <c r="C111" i="19" s="1"/>
  <c r="R81" i="19"/>
  <c r="C117" i="19" s="1"/>
  <c r="R80" i="19"/>
  <c r="C116" i="19" s="1"/>
  <c r="C123" i="21"/>
  <c r="B106" i="21"/>
  <c r="R85" i="21"/>
  <c r="R75" i="21"/>
  <c r="R83" i="21"/>
  <c r="R74" i="21"/>
  <c r="R76" i="21"/>
  <c r="R86" i="21"/>
  <c r="R88" i="21"/>
  <c r="R82" i="21"/>
  <c r="R77" i="21"/>
  <c r="R79" i="21"/>
  <c r="R78" i="21"/>
  <c r="R84" i="21"/>
  <c r="R80" i="21"/>
  <c r="R81" i="21"/>
  <c r="R88" i="20"/>
  <c r="R78" i="20"/>
  <c r="R87" i="20"/>
  <c r="R79" i="20"/>
  <c r="R80" i="20"/>
  <c r="R74" i="20"/>
  <c r="R82" i="20"/>
  <c r="R81" i="20"/>
  <c r="R83" i="20"/>
  <c r="R75" i="20"/>
  <c r="C114" i="19"/>
  <c r="B97" i="19"/>
  <c r="R79" i="19"/>
  <c r="R82" i="19"/>
  <c r="R84" i="19"/>
  <c r="R76" i="19"/>
  <c r="R83" i="19"/>
  <c r="R88" i="19"/>
  <c r="R87" i="19"/>
  <c r="R86" i="19"/>
  <c r="R85" i="19"/>
  <c r="B25" i="16"/>
  <c r="B27" i="16"/>
  <c r="B28" i="17"/>
  <c r="B26" i="17"/>
  <c r="B26" i="16"/>
  <c r="B28" i="16"/>
  <c r="B25" i="17"/>
  <c r="B27" i="17"/>
  <c r="G14" i="13"/>
  <c r="B22" i="13" s="1"/>
  <c r="G13" i="13"/>
  <c r="C27" i="13" s="1"/>
  <c r="G12" i="13"/>
  <c r="C26" i="13" s="1"/>
  <c r="B19" i="13"/>
  <c r="B95" i="20" l="1"/>
  <c r="B103" i="20"/>
  <c r="B99" i="19"/>
  <c r="B99" i="18"/>
  <c r="R89" i="18"/>
  <c r="B107" i="18"/>
  <c r="B117" i="18"/>
  <c r="B124" i="18"/>
  <c r="B110" i="18"/>
  <c r="B112" i="18"/>
  <c r="B121" i="18"/>
  <c r="B120" i="18"/>
  <c r="B115" i="18"/>
  <c r="B116" i="18"/>
  <c r="B114" i="18"/>
  <c r="B113" i="18"/>
  <c r="B122" i="18"/>
  <c r="B123" i="18"/>
  <c r="B111" i="18"/>
  <c r="B118" i="18"/>
  <c r="B119" i="18"/>
  <c r="B105" i="20"/>
  <c r="C113" i="20"/>
  <c r="B96" i="20"/>
  <c r="C110" i="19"/>
  <c r="B94" i="19"/>
  <c r="B100" i="19"/>
  <c r="B96" i="19"/>
  <c r="C113" i="21"/>
  <c r="B96" i="21"/>
  <c r="C114" i="21"/>
  <c r="B97" i="21"/>
  <c r="C118" i="21"/>
  <c r="B101" i="21"/>
  <c r="C121" i="21"/>
  <c r="B104" i="21"/>
  <c r="C116" i="21"/>
  <c r="B99" i="21"/>
  <c r="C112" i="21"/>
  <c r="B95" i="21"/>
  <c r="C117" i="21"/>
  <c r="B100" i="21"/>
  <c r="C120" i="21"/>
  <c r="B103" i="21"/>
  <c r="C115" i="21"/>
  <c r="B98" i="21"/>
  <c r="C124" i="21"/>
  <c r="B107" i="21"/>
  <c r="C122" i="21"/>
  <c r="B105" i="21"/>
  <c r="C110" i="21"/>
  <c r="R89" i="21"/>
  <c r="B93" i="21"/>
  <c r="C119" i="21"/>
  <c r="B102" i="21"/>
  <c r="C111" i="21"/>
  <c r="B94" i="21"/>
  <c r="C110" i="20"/>
  <c r="R89" i="20"/>
  <c r="B93" i="20"/>
  <c r="C119" i="20"/>
  <c r="B102" i="20"/>
  <c r="C115" i="20"/>
  <c r="B98" i="20"/>
  <c r="C111" i="20"/>
  <c r="B94" i="20"/>
  <c r="C117" i="20"/>
  <c r="B100" i="20"/>
  <c r="C118" i="20"/>
  <c r="B101" i="20"/>
  <c r="C116" i="20"/>
  <c r="B99" i="20"/>
  <c r="C123" i="20"/>
  <c r="B106" i="20"/>
  <c r="C114" i="20"/>
  <c r="B97" i="20"/>
  <c r="C124" i="20"/>
  <c r="B107" i="20"/>
  <c r="C124" i="19"/>
  <c r="B107" i="19"/>
  <c r="C120" i="19"/>
  <c r="B103" i="19"/>
  <c r="C121" i="19"/>
  <c r="B104" i="19"/>
  <c r="C123" i="19"/>
  <c r="B106" i="19"/>
  <c r="C112" i="19"/>
  <c r="B95" i="19"/>
  <c r="C118" i="19"/>
  <c r="B101" i="19"/>
  <c r="C122" i="19"/>
  <c r="B105" i="19"/>
  <c r="C119" i="19"/>
  <c r="B102" i="19"/>
  <c r="C115" i="19"/>
  <c r="B98" i="19"/>
  <c r="R89" i="19"/>
  <c r="G15" i="13"/>
  <c r="B20" i="13"/>
  <c r="C28" i="13"/>
  <c r="B27" i="13" s="1"/>
  <c r="B21" i="13"/>
  <c r="B111" i="21" l="1"/>
  <c r="B124" i="20"/>
  <c r="B114" i="20"/>
  <c r="B117" i="20"/>
  <c r="B111" i="19"/>
  <c r="B114" i="19"/>
  <c r="B115" i="19"/>
  <c r="B110" i="19"/>
  <c r="B118" i="21"/>
  <c r="B124" i="21"/>
  <c r="B121" i="21"/>
  <c r="B119" i="21"/>
  <c r="B115" i="21"/>
  <c r="B112" i="21"/>
  <c r="B114" i="21"/>
  <c r="B110" i="21"/>
  <c r="B123" i="21"/>
  <c r="B122" i="21"/>
  <c r="B120" i="21"/>
  <c r="B117" i="21"/>
  <c r="B116" i="21"/>
  <c r="B113" i="21"/>
  <c r="B116" i="20"/>
  <c r="B119" i="20"/>
  <c r="B123" i="20"/>
  <c r="B118" i="20"/>
  <c r="B111" i="20"/>
  <c r="B115" i="20"/>
  <c r="B110" i="20"/>
  <c r="B120" i="20"/>
  <c r="B112" i="20"/>
  <c r="B122" i="20"/>
  <c r="B113" i="20"/>
  <c r="B121" i="20"/>
  <c r="B112" i="19"/>
  <c r="B116" i="19"/>
  <c r="B119" i="19"/>
  <c r="B118" i="19"/>
  <c r="B121" i="19"/>
  <c r="B120" i="19"/>
  <c r="B117" i="19"/>
  <c r="B122" i="19"/>
  <c r="B123" i="19"/>
  <c r="B124" i="19"/>
  <c r="B113" i="19"/>
  <c r="B26" i="13"/>
  <c r="B28" i="13"/>
</calcChain>
</file>

<file path=xl/sharedStrings.xml><?xml version="1.0" encoding="utf-8"?>
<sst xmlns="http://schemas.openxmlformats.org/spreadsheetml/2006/main" count="6753" uniqueCount="95">
  <si>
    <t>PERSENTASE KERUSAKAN GEDUNG</t>
  </si>
  <si>
    <t>SEKOLAH UTAMA</t>
  </si>
  <si>
    <t>KRITERIA NILAI</t>
  </si>
  <si>
    <t>SEKOLAH PEMBANDING</t>
  </si>
  <si>
    <t>SDN-2 ANJIR KALAMPAN</t>
  </si>
  <si>
    <t>SDN-3 ANJIR KALAMPAN</t>
  </si>
  <si>
    <t>SDN-1 SAKA MANGKAHAI</t>
  </si>
  <si>
    <t>SDN-2 SAKA MANGKAHAI</t>
  </si>
  <si>
    <t>SDN-2 MANDOMAI</t>
  </si>
  <si>
    <t>SDN-3 MANDOMAI</t>
  </si>
  <si>
    <t>SDN-4 MANDOMAI</t>
  </si>
  <si>
    <t>SDN-1 PANTAI</t>
  </si>
  <si>
    <t>SDN-2 PANTAI</t>
  </si>
  <si>
    <t>SDN-1 BASUTA RAYA</t>
  </si>
  <si>
    <t>SDN-1 SEI PITUNG</t>
  </si>
  <si>
    <t>SDN-1 PENDA KATAPI</t>
  </si>
  <si>
    <t>SDN-1 SEI KAYU</t>
  </si>
  <si>
    <t>SDN-2 SEI KAYU</t>
  </si>
  <si>
    <t>SDN-1 SEI DUSUN</t>
  </si>
  <si>
    <t>LOKASI GEDUNG</t>
  </si>
  <si>
    <t>USIA BANGUNAN</t>
  </si>
  <si>
    <t>JUMLAH SISWA</t>
  </si>
  <si>
    <t>PENGAWAS SEKOLAH DASAR KAPUAS BARAT (JHON)</t>
  </si>
  <si>
    <t>KEPALA BIDANG PENGAWASAN SEKOLAH DASAR DISDIK KAPUAS (JEFRI)</t>
  </si>
  <si>
    <t>KRITERIA UTAMA</t>
  </si>
  <si>
    <t>KRITERIA PEMBANDING</t>
  </si>
  <si>
    <t>PERBANDINGAN KRITERIA</t>
  </si>
  <si>
    <t>LOKASI GFEDUNG</t>
  </si>
  <si>
    <t>KOMISI IV DPRD KAB. KAPUAS</t>
  </si>
  <si>
    <t>TINGKAT KEPENTINGAN</t>
  </si>
  <si>
    <t>DEFINISI</t>
  </si>
  <si>
    <r>
      <t xml:space="preserve">KEDUA ELEMEN </t>
    </r>
    <r>
      <rPr>
        <b/>
        <sz val="12"/>
        <color theme="1"/>
        <rFont val="Times New Roman"/>
        <family val="1"/>
      </rPr>
      <t>SAMA PENTING</t>
    </r>
  </si>
  <si>
    <r>
      <t xml:space="preserve">ELEMEN YANG SATU </t>
    </r>
    <r>
      <rPr>
        <b/>
        <sz val="12"/>
        <color theme="1"/>
        <rFont val="Times New Roman"/>
        <family val="1"/>
      </rPr>
      <t>MUTLAK LEBIH PENTING</t>
    </r>
    <r>
      <rPr>
        <sz val="12"/>
        <color theme="1"/>
        <rFont val="Times New Roman"/>
        <family val="1"/>
      </rPr>
      <t xml:space="preserve"> DARI YANG LAIN</t>
    </r>
  </si>
  <si>
    <t>2,4,6,8</t>
  </si>
  <si>
    <t>PANDUAN PENGISIAN</t>
  </si>
  <si>
    <r>
      <t xml:space="preserve">ELEMEN YANG SATU </t>
    </r>
    <r>
      <rPr>
        <b/>
        <sz val="12"/>
        <color theme="1"/>
        <rFont val="Times New Roman"/>
        <family val="1"/>
      </rPr>
      <t>SEDIKIT LEBIH PENTING</t>
    </r>
    <r>
      <rPr>
        <sz val="12"/>
        <color theme="1"/>
        <rFont val="Times New Roman"/>
        <family val="1"/>
      </rPr>
      <t xml:space="preserve"> DARI YANG LAIN</t>
    </r>
  </si>
  <si>
    <r>
      <t xml:space="preserve">ELEMEN YANG SATU </t>
    </r>
    <r>
      <rPr>
        <b/>
        <sz val="12"/>
        <color theme="1"/>
        <rFont val="Times New Roman"/>
        <family val="1"/>
      </rPr>
      <t>LEBIH PENTING</t>
    </r>
    <r>
      <rPr>
        <sz val="12"/>
        <color theme="1"/>
        <rFont val="Times New Roman"/>
        <family val="1"/>
      </rPr>
      <t xml:space="preserve"> DARI YANG LAIN</t>
    </r>
  </si>
  <si>
    <r>
      <t xml:space="preserve">ELEMEN YANG SATU </t>
    </r>
    <r>
      <rPr>
        <b/>
        <sz val="12"/>
        <color theme="1"/>
        <rFont val="Times New Roman"/>
        <family val="1"/>
      </rPr>
      <t>SANGAT PENTING</t>
    </r>
    <r>
      <rPr>
        <sz val="12"/>
        <color theme="1"/>
        <rFont val="Times New Roman"/>
        <family val="1"/>
      </rPr>
      <t xml:space="preserve"> DARI YANG LAIN</t>
    </r>
  </si>
  <si>
    <r>
      <rPr>
        <b/>
        <sz val="12"/>
        <color theme="1"/>
        <rFont val="Times New Roman"/>
        <family val="1"/>
      </rPr>
      <t>NILAI KOMPROMI</t>
    </r>
    <r>
      <rPr>
        <sz val="12"/>
        <color theme="1"/>
        <rFont val="Times New Roman"/>
        <family val="1"/>
      </rPr>
      <t xml:space="preserve"> (NILAI TENGAH ANTARA DUA PERBANDINGAN)</t>
    </r>
  </si>
  <si>
    <t>PILIHAN A</t>
  </si>
  <si>
    <t>PILIHAN B</t>
  </si>
  <si>
    <t>CONDONG KE A</t>
  </si>
  <si>
    <t>NETRAL</t>
  </si>
  <si>
    <t>CONDONG KE B</t>
  </si>
  <si>
    <t>LANGKAH 1</t>
  </si>
  <si>
    <t>MENDEFINISIKAN TERLEBIH DAHULU KRITERIA-KRITERIA YANG AKAN DIJADIKAN SEBAGAI TOLAK UKUR PENYELESAIAN MASALAH DAN MENENTUKAN TINGKAT KEPENTINGAN</t>
  </si>
  <si>
    <t>KRITERIA</t>
  </si>
  <si>
    <t>KODE</t>
  </si>
  <si>
    <t>C1</t>
  </si>
  <si>
    <t>C2</t>
  </si>
  <si>
    <t>C3</t>
  </si>
  <si>
    <t>C4</t>
  </si>
  <si>
    <t>LANGKAH 2</t>
  </si>
  <si>
    <t>KRITERIA A</t>
  </si>
  <si>
    <t>KRITERIA B</t>
  </si>
  <si>
    <t>MENGHITUNG NILAI MATRIX PERBANDINGAN DARI MASING-MASING KRITERIA BERDASARKAN TABEL NILAI KEPENTINGAN</t>
  </si>
  <si>
    <t>SKALA PENILAIAN</t>
  </si>
  <si>
    <t>PENGAWAS SEKOLAH DASAR KOORDINATOR WILAYAH KECAMATAN KAPUAS BARAT</t>
  </si>
  <si>
    <t>https://www.youtube.com/watch?v=Pzmwv92CQ0w</t>
  </si>
  <si>
    <t>KEPALA BIDANG PENGAWASAN SEKOLAH DASAR DINAS PENDIDIKAN  KABUPATEN KAPUAS</t>
  </si>
  <si>
    <t>DPRD KOMISI IV KABUPATEN KAPUAS</t>
  </si>
  <si>
    <t>LANGKAH 3</t>
  </si>
  <si>
    <t>MENGHITUNG NILAI BOBOT KERITERIA (NORMALISASI)</t>
  </si>
  <si>
    <t>RATA-RATA</t>
  </si>
  <si>
    <t>TOTAL</t>
  </si>
  <si>
    <t>KEPALA BIDANG PENGAWASAN SEKOLAH DASAR DINAS PENDIDIKAN KABUPATEN KAPUAS</t>
  </si>
  <si>
    <t>DPRD</t>
  </si>
  <si>
    <t>Total</t>
  </si>
  <si>
    <t>Prioritas</t>
  </si>
  <si>
    <t>Parameter</t>
  </si>
  <si>
    <t>Value</t>
  </si>
  <si>
    <t>Conclusion</t>
  </si>
  <si>
    <t>Max Eigen Value</t>
  </si>
  <si>
    <t>CI</t>
  </si>
  <si>
    <t>RI</t>
  </si>
  <si>
    <t>CR = CI/RI</t>
  </si>
  <si>
    <t>Tabel Random Consistency Ratio (RI)</t>
  </si>
  <si>
    <t>Jumlah Kategori</t>
  </si>
  <si>
    <t>Squaring the Matrix: First Attempt</t>
  </si>
  <si>
    <t xml:space="preserve"> </t>
  </si>
  <si>
    <t>Total Baris</t>
  </si>
  <si>
    <t>Eigen Vector</t>
  </si>
  <si>
    <t>Squaring the Matrix: Second Attempt</t>
  </si>
  <si>
    <t>First EV - Second EV</t>
  </si>
  <si>
    <t>Kategori</t>
  </si>
  <si>
    <t>Pertimbangan</t>
  </si>
  <si>
    <t>Karena semua nilai First EV - Second EV seluruhnya sudah cukup kecil (mendekati 0), maka kita bisa gunakan EV terakhir sebagai bobot prioritas</t>
  </si>
  <si>
    <t>Kriteria</t>
  </si>
  <si>
    <t>Rank</t>
  </si>
  <si>
    <t>Priority</t>
  </si>
  <si>
    <t>Jumlah Kategori yang Ada</t>
  </si>
  <si>
    <t>Persentase Kerusakan Gedung</t>
  </si>
  <si>
    <t>Lokasi Gedung</t>
  </si>
  <si>
    <t>Usia Bangunan</t>
  </si>
  <si>
    <t>Jumlah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</si>
</sst>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5" x14ac:knownFonts="1">
    <font>
      <sz val="12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Aptos Narrow"/>
      <family val="2"/>
      <charset val="1"/>
      <scheme val="minor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u/>
      <sz val="12"/>
      <color theme="10"/>
      <name val="Aptos Narrow"/>
      <family val="2"/>
      <charset val="1"/>
      <scheme val="minor"/>
    </font>
    <font>
      <sz val="12"/>
      <color rgb="FFFF0000"/>
      <name val="Times New Roman"/>
      <family val="1"/>
    </font>
    <font>
      <b/>
      <sz val="9"/>
      <color rgb="FFFF0000"/>
      <name val="Times New Roman"/>
      <family val="1"/>
    </font>
    <font>
      <sz val="9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" fillId="0" borderId="0"/>
  </cellStyleXfs>
  <cellXfs count="124">
    <xf numFmtId="0" fontId="0" fillId="0" borderId="0" xfId="0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0" xfId="0" applyFont="1"/>
    <xf numFmtId="0" fontId="8" fillId="0" borderId="14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11" fillId="0" borderId="0" xfId="1" applyBorder="1" applyAlignment="1">
      <alignment wrapText="1"/>
    </xf>
    <xf numFmtId="164" fontId="3" fillId="8" borderId="4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2" fillId="0" borderId="0" xfId="0" applyFont="1" applyAlignment="1">
      <alignment vertical="center" wrapText="1"/>
    </xf>
    <xf numFmtId="164" fontId="2" fillId="0" borderId="4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4" xfId="0" applyFont="1" applyBorder="1"/>
    <xf numFmtId="0" fontId="14" fillId="0" borderId="4" xfId="0" applyFont="1" applyBorder="1" applyAlignment="1">
      <alignment horizontal="center" vertical="center"/>
    </xf>
    <xf numFmtId="10" fontId="14" fillId="0" borderId="4" xfId="0" applyNumberFormat="1" applyFont="1" applyBorder="1" applyAlignment="1">
      <alignment horizontal="center" vertical="center"/>
    </xf>
    <xf numFmtId="0" fontId="14" fillId="0" borderId="0" xfId="2" applyFont="1"/>
    <xf numFmtId="0" fontId="14" fillId="0" borderId="4" xfId="2" applyFont="1" applyBorder="1"/>
    <xf numFmtId="10" fontId="14" fillId="0" borderId="4" xfId="2" applyNumberFormat="1" applyFont="1" applyBorder="1"/>
    <xf numFmtId="0" fontId="2" fillId="0" borderId="9" xfId="0" applyFont="1" applyBorder="1" applyAlignment="1">
      <alignment horizontal="center"/>
    </xf>
    <xf numFmtId="0" fontId="14" fillId="0" borderId="4" xfId="2" applyFont="1" applyBorder="1" applyAlignment="1">
      <alignment horizontal="center"/>
    </xf>
    <xf numFmtId="0" fontId="14" fillId="0" borderId="4" xfId="2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8" borderId="4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164" fontId="3" fillId="8" borderId="3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3297462E-D8B0-4917-A9C3-A542050039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2494993</xdr:colOff>
      <xdr:row>35</xdr:row>
      <xdr:rowOff>144379</xdr:rowOff>
    </xdr:from>
    <xdr:ext cx="65" cy="172227"/>
    <xdr:sp macro="" textlink="">
      <xdr:nvSpPr>
        <xdr:cNvPr id="2" name="Kotak Teks 1">
          <a:extLst>
            <a:ext uri="{FF2B5EF4-FFF2-40B4-BE49-F238E27FC236}">
              <a16:creationId xmlns:a16="http://schemas.microsoft.com/office/drawing/2014/main" id="{01449050-18A7-0BC7-59C2-FCA02775C3B4}"/>
            </a:ext>
          </a:extLst>
        </xdr:cNvPr>
        <xdr:cNvSpPr txBox="1"/>
      </xdr:nvSpPr>
      <xdr:spPr>
        <a:xfrm>
          <a:off x="27070607" y="716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42</xdr:col>
      <xdr:colOff>95806</xdr:colOff>
      <xdr:row>4</xdr:row>
      <xdr:rowOff>1370</xdr:rowOff>
    </xdr:from>
    <xdr:to>
      <xdr:col>42</xdr:col>
      <xdr:colOff>284972</xdr:colOff>
      <xdr:row>8</xdr:row>
      <xdr:rowOff>30972</xdr:rowOff>
    </xdr:to>
    <xdr:sp macro="" textlink="">
      <xdr:nvSpPr>
        <xdr:cNvPr id="3" name="Buka Kurung 2">
          <a:extLst>
            <a:ext uri="{FF2B5EF4-FFF2-40B4-BE49-F238E27FC236}">
              <a16:creationId xmlns:a16="http://schemas.microsoft.com/office/drawing/2014/main" id="{5E9C9790-005B-0D3B-B5CB-3C71140AA5AE}"/>
            </a:ext>
          </a:extLst>
        </xdr:cNvPr>
        <xdr:cNvSpPr/>
      </xdr:nvSpPr>
      <xdr:spPr>
        <a:xfrm>
          <a:off x="34792206" y="814170"/>
          <a:ext cx="189166" cy="842402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d-ID" sz="1100" b="1" cap="none" spc="0">
            <a:ln w="9525">
              <a:solidFill>
                <a:schemeClr val="bg1"/>
              </a:solidFill>
              <a:prstDash val="solid"/>
            </a:ln>
            <a:solidFill>
              <a:srgbClr val="FF0000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42</xdr:col>
      <xdr:colOff>794926</xdr:colOff>
      <xdr:row>4</xdr:row>
      <xdr:rowOff>50801</xdr:rowOff>
    </xdr:from>
    <xdr:to>
      <xdr:col>43</xdr:col>
      <xdr:colOff>171075</xdr:colOff>
      <xdr:row>8</xdr:row>
      <xdr:rowOff>63501</xdr:rowOff>
    </xdr:to>
    <xdr:sp macro="" textlink="">
      <xdr:nvSpPr>
        <xdr:cNvPr id="4" name="Buka Kurung 3">
          <a:extLst>
            <a:ext uri="{FF2B5EF4-FFF2-40B4-BE49-F238E27FC236}">
              <a16:creationId xmlns:a16="http://schemas.microsoft.com/office/drawing/2014/main" id="{5F0335F5-0426-2046-9C77-0698BB5AB044}"/>
            </a:ext>
          </a:extLst>
        </xdr:cNvPr>
        <xdr:cNvSpPr/>
      </xdr:nvSpPr>
      <xdr:spPr>
        <a:xfrm flipH="1">
          <a:off x="35491326" y="863601"/>
          <a:ext cx="201649" cy="825500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d-ID" sz="1100" b="1" cap="none" spc="0">
            <a:ln w="9525">
              <a:solidFill>
                <a:schemeClr val="bg1"/>
              </a:solidFill>
              <a:prstDash val="solid"/>
            </a:ln>
            <a:solidFill>
              <a:srgbClr val="FF0000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Pzmwv92CQ0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A94F-6E38-455F-8B8F-65C06FCA0BB7}">
  <dimension ref="A1:H28"/>
  <sheetViews>
    <sheetView workbookViewId="0">
      <selection activeCell="B25" sqref="B25"/>
    </sheetView>
  </sheetViews>
  <sheetFormatPr defaultRowHeight="11.65" x14ac:dyDescent="0.35"/>
  <cols>
    <col min="1" max="1" width="30.4375" style="72" bestFit="1" customWidth="1"/>
    <col min="2" max="2" width="12.3125" style="72" bestFit="1" customWidth="1"/>
    <col min="3" max="4" width="11.6875" style="72" bestFit="1" customWidth="1"/>
    <col min="5" max="5" width="14.6875" style="72" bestFit="1" customWidth="1"/>
    <col min="6" max="7" width="11.6875" style="72" bestFit="1" customWidth="1"/>
    <col min="8" max="16384" width="9" style="72"/>
  </cols>
  <sheetData>
    <row r="1" spans="1:7" x14ac:dyDescent="0.35">
      <c r="A1" s="72" t="s">
        <v>78</v>
      </c>
    </row>
    <row r="2" spans="1:7" x14ac:dyDescent="0.35">
      <c r="A2" s="73" t="s">
        <v>79</v>
      </c>
      <c r="B2" s="66" t="s">
        <v>91</v>
      </c>
      <c r="C2" s="66" t="s">
        <v>92</v>
      </c>
      <c r="D2" s="66" t="s">
        <v>93</v>
      </c>
      <c r="E2" s="66" t="s">
        <v>94</v>
      </c>
      <c r="F2" s="73" t="s">
        <v>80</v>
      </c>
      <c r="G2" s="73" t="s">
        <v>81</v>
      </c>
    </row>
    <row r="3" spans="1:7" x14ac:dyDescent="0.35">
      <c r="A3" s="66" t="s">
        <v>91</v>
      </c>
      <c r="B3" s="73">
        <f t="array" ref="B3:E6">MMULT('AHP (DPRD)'!B2:E5,'AHP (DPRD)'!B2:E5)</f>
        <v>4</v>
      </c>
      <c r="C3" s="73">
        <v>3.714285714285714</v>
      </c>
      <c r="D3" s="73">
        <v>17</v>
      </c>
      <c r="E3" s="73">
        <v>39</v>
      </c>
      <c r="F3" s="73">
        <f>SUM(B3:E3)</f>
        <v>63.714285714285715</v>
      </c>
      <c r="G3" s="73">
        <f>F3/$F$7</f>
        <v>0.38326440732584993</v>
      </c>
    </row>
    <row r="4" spans="1:7" x14ac:dyDescent="0.35">
      <c r="A4" s="66" t="s">
        <v>92</v>
      </c>
      <c r="B4" s="73">
        <v>4.625</v>
      </c>
      <c r="C4" s="73">
        <v>4</v>
      </c>
      <c r="D4" s="73">
        <v>19.75</v>
      </c>
      <c r="E4" s="73">
        <v>50</v>
      </c>
      <c r="F4" s="73">
        <f t="shared" ref="F4:F6" si="0">SUM(B4:E4)</f>
        <v>78.375</v>
      </c>
      <c r="G4" s="73">
        <f t="shared" ref="G4:G6" si="1">F4/$F$7</f>
        <v>0.47145389118642245</v>
      </c>
    </row>
    <row r="5" spans="1:7" x14ac:dyDescent="0.35">
      <c r="A5" s="66" t="s">
        <v>93</v>
      </c>
      <c r="B5" s="73">
        <v>1.1428571428571428</v>
      </c>
      <c r="C5" s="73">
        <v>1.1071428571428572</v>
      </c>
      <c r="D5" s="73">
        <v>4</v>
      </c>
      <c r="E5" s="73">
        <v>11</v>
      </c>
      <c r="F5" s="73">
        <f t="shared" si="0"/>
        <v>17.25</v>
      </c>
      <c r="G5" s="73">
        <f t="shared" si="1"/>
        <v>0.10376497126591115</v>
      </c>
    </row>
    <row r="6" spans="1:7" x14ac:dyDescent="0.35">
      <c r="A6" s="66" t="s">
        <v>94</v>
      </c>
      <c r="B6" s="73">
        <v>0.45535714285714285</v>
      </c>
      <c r="C6" s="73">
        <v>0.4464285714285714</v>
      </c>
      <c r="D6" s="73">
        <v>2</v>
      </c>
      <c r="E6" s="73">
        <v>4</v>
      </c>
      <c r="F6" s="73">
        <f t="shared" si="0"/>
        <v>6.9017857142857144</v>
      </c>
      <c r="G6" s="73">
        <f t="shared" si="1"/>
        <v>4.1516730221816421E-2</v>
      </c>
    </row>
    <row r="7" spans="1:7" x14ac:dyDescent="0.35">
      <c r="A7" s="76" t="s">
        <v>67</v>
      </c>
      <c r="B7" s="76"/>
      <c r="C7" s="76"/>
      <c r="D7" s="76"/>
      <c r="E7" s="76"/>
      <c r="F7" s="73">
        <f>SUM(F3:F6)</f>
        <v>166.24107142857144</v>
      </c>
      <c r="G7" s="73">
        <f>SUM(G3:G6)</f>
        <v>0.99999999999999989</v>
      </c>
    </row>
    <row r="9" spans="1:7" x14ac:dyDescent="0.35">
      <c r="A9" s="72" t="s">
        <v>82</v>
      </c>
    </row>
    <row r="10" spans="1:7" x14ac:dyDescent="0.35">
      <c r="A10" s="73" t="s">
        <v>79</v>
      </c>
      <c r="B10" s="66" t="s">
        <v>91</v>
      </c>
      <c r="C10" s="66" t="s">
        <v>92</v>
      </c>
      <c r="D10" s="66" t="s">
        <v>93</v>
      </c>
      <c r="E10" s="66" t="s">
        <v>94</v>
      </c>
      <c r="F10" s="73" t="s">
        <v>80</v>
      </c>
      <c r="G10" s="73" t="s">
        <v>81</v>
      </c>
    </row>
    <row r="11" spans="1:7" x14ac:dyDescent="0.35">
      <c r="A11" s="66" t="s">
        <v>91</v>
      </c>
      <c r="B11" s="73">
        <f t="array" ref="B11:E14">MMULT(B3:E6,B3:E6)</f>
        <v>70.366071428571431</v>
      </c>
      <c r="C11" s="73">
        <v>65.946428571428569</v>
      </c>
      <c r="D11" s="73">
        <v>287.35714285714283</v>
      </c>
      <c r="E11" s="73">
        <v>684.71428571428567</v>
      </c>
      <c r="F11" s="73">
        <f>SUM(B11:E11)</f>
        <v>1108.3839285714284</v>
      </c>
      <c r="G11" s="73">
        <f>F11/$F$15</f>
        <v>0.391246389216032</v>
      </c>
    </row>
    <row r="12" spans="1:7" x14ac:dyDescent="0.35">
      <c r="A12" s="66" t="s">
        <v>92</v>
      </c>
      <c r="B12" s="73">
        <v>82.339285714285708</v>
      </c>
      <c r="C12" s="73">
        <v>77.366071428571431</v>
      </c>
      <c r="D12" s="73">
        <v>336.625</v>
      </c>
      <c r="E12" s="73">
        <v>797.625</v>
      </c>
      <c r="F12" s="73">
        <f t="shared" ref="F12:F14" si="2">SUM(B12:E12)</f>
        <v>1293.9553571428571</v>
      </c>
      <c r="G12" s="73">
        <f t="shared" ref="G12:G14" si="3">F12/$F$15</f>
        <v>0.456750903941187</v>
      </c>
    </row>
    <row r="13" spans="1:7" x14ac:dyDescent="0.35">
      <c r="A13" s="66" t="s">
        <v>93</v>
      </c>
      <c r="B13" s="73">
        <v>19.272321428571427</v>
      </c>
      <c r="C13" s="73">
        <v>18.012755102040817</v>
      </c>
      <c r="D13" s="73">
        <v>79.294642857142861</v>
      </c>
      <c r="E13" s="73">
        <v>187.92857142857144</v>
      </c>
      <c r="F13" s="73">
        <f t="shared" si="2"/>
        <v>304.50829081632656</v>
      </c>
      <c r="G13" s="73">
        <f t="shared" si="3"/>
        <v>0.10748781735024542</v>
      </c>
    </row>
    <row r="14" spans="1:7" x14ac:dyDescent="0.35">
      <c r="A14" s="66" t="s">
        <v>94</v>
      </c>
      <c r="B14" s="73">
        <v>7.9933035714285712</v>
      </c>
      <c r="C14" s="73">
        <v>7.4770408163265305</v>
      </c>
      <c r="D14" s="73">
        <v>32.558035714285715</v>
      </c>
      <c r="E14" s="73">
        <v>78.080357142857139</v>
      </c>
      <c r="F14" s="73">
        <f t="shared" si="2"/>
        <v>126.10873724489795</v>
      </c>
      <c r="G14" s="73">
        <f t="shared" si="3"/>
        <v>4.4514889492535639E-2</v>
      </c>
    </row>
    <row r="15" spans="1:7" x14ac:dyDescent="0.35">
      <c r="A15" s="76" t="s">
        <v>67</v>
      </c>
      <c r="B15" s="76"/>
      <c r="C15" s="76"/>
      <c r="D15" s="76"/>
      <c r="E15" s="76"/>
      <c r="F15" s="73">
        <f>SUM(F11:F14)</f>
        <v>2832.9563137755099</v>
      </c>
      <c r="G15" s="73">
        <f>SUM(G11:G14)</f>
        <v>1</v>
      </c>
    </row>
    <row r="17" spans="1:8" x14ac:dyDescent="0.35">
      <c r="A17" s="72" t="s">
        <v>83</v>
      </c>
    </row>
    <row r="18" spans="1:8" x14ac:dyDescent="0.35">
      <c r="A18" s="73" t="s">
        <v>84</v>
      </c>
      <c r="B18" s="73" t="s">
        <v>70</v>
      </c>
      <c r="D18" s="76" t="s">
        <v>85</v>
      </c>
      <c r="E18" s="76"/>
      <c r="F18" s="76"/>
      <c r="G18" s="76"/>
      <c r="H18" s="76"/>
    </row>
    <row r="19" spans="1:8" x14ac:dyDescent="0.35">
      <c r="A19" s="66" t="s">
        <v>91</v>
      </c>
      <c r="B19" s="73">
        <f>G3-G11</f>
        <v>-7.9819818901820661E-3</v>
      </c>
      <c r="D19" s="77" t="s">
        <v>86</v>
      </c>
      <c r="E19" s="77"/>
      <c r="F19" s="77"/>
      <c r="G19" s="77"/>
      <c r="H19" s="77"/>
    </row>
    <row r="20" spans="1:8" x14ac:dyDescent="0.35">
      <c r="A20" s="66" t="s">
        <v>92</v>
      </c>
      <c r="B20" s="73">
        <f t="shared" ref="B20:B22" si="4">G4-G12</f>
        <v>1.4702987245235444E-2</v>
      </c>
      <c r="D20" s="77"/>
      <c r="E20" s="77"/>
      <c r="F20" s="77"/>
      <c r="G20" s="77"/>
      <c r="H20" s="77"/>
    </row>
    <row r="21" spans="1:8" x14ac:dyDescent="0.35">
      <c r="A21" s="66" t="s">
        <v>93</v>
      </c>
      <c r="B21" s="73">
        <f t="shared" si="4"/>
        <v>-3.7228460843342637E-3</v>
      </c>
      <c r="D21" s="77"/>
      <c r="E21" s="77"/>
      <c r="F21" s="77"/>
      <c r="G21" s="77"/>
      <c r="H21" s="77"/>
    </row>
    <row r="22" spans="1:8" x14ac:dyDescent="0.35">
      <c r="A22" s="66" t="s">
        <v>94</v>
      </c>
      <c r="B22" s="73">
        <f t="shared" si="4"/>
        <v>-2.9981592707192181E-3</v>
      </c>
      <c r="D22" s="77"/>
      <c r="E22" s="77"/>
      <c r="F22" s="77"/>
      <c r="G22" s="77"/>
      <c r="H22" s="77"/>
    </row>
    <row r="24" spans="1:8" x14ac:dyDescent="0.35">
      <c r="A24" s="73" t="s">
        <v>87</v>
      </c>
      <c r="B24" s="73" t="s">
        <v>88</v>
      </c>
      <c r="C24" s="73" t="s">
        <v>89</v>
      </c>
    </row>
    <row r="25" spans="1:8" x14ac:dyDescent="0.35">
      <c r="A25" s="66" t="s">
        <v>91</v>
      </c>
      <c r="B25" s="73">
        <f>_xlfn.RANK.EQ(C25,$C$25:$C$28,0)</f>
        <v>2</v>
      </c>
      <c r="C25" s="74">
        <f>G11</f>
        <v>0.391246389216032</v>
      </c>
    </row>
    <row r="26" spans="1:8" x14ac:dyDescent="0.35">
      <c r="A26" s="66" t="s">
        <v>92</v>
      </c>
      <c r="B26" s="73">
        <f t="shared" ref="B26:B28" si="5">_xlfn.RANK.EQ(C26,$C$25:$C$28,0)</f>
        <v>1</v>
      </c>
      <c r="C26" s="74">
        <f t="shared" ref="C26:C28" si="6">G12</f>
        <v>0.456750903941187</v>
      </c>
    </row>
    <row r="27" spans="1:8" x14ac:dyDescent="0.35">
      <c r="A27" s="66" t="s">
        <v>93</v>
      </c>
      <c r="B27" s="73">
        <f t="shared" si="5"/>
        <v>3</v>
      </c>
      <c r="C27" s="74">
        <f t="shared" si="6"/>
        <v>0.10748781735024542</v>
      </c>
    </row>
    <row r="28" spans="1:8" x14ac:dyDescent="0.35">
      <c r="A28" s="66" t="s">
        <v>94</v>
      </c>
      <c r="B28" s="73">
        <f t="shared" si="5"/>
        <v>4</v>
      </c>
      <c r="C28" s="74">
        <f t="shared" si="6"/>
        <v>4.4514889492535639E-2</v>
      </c>
    </row>
  </sheetData>
  <mergeCells count="4">
    <mergeCell ref="A7:E7"/>
    <mergeCell ref="A15:E15"/>
    <mergeCell ref="D18:H18"/>
    <mergeCell ref="D19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A49F-4E8E-45B7-BA98-D80B5D99DB96}">
  <dimension ref="A1:H28"/>
  <sheetViews>
    <sheetView workbookViewId="0">
      <selection activeCell="D5" sqref="D5"/>
    </sheetView>
  </sheetViews>
  <sheetFormatPr defaultRowHeight="11.65" x14ac:dyDescent="0.35"/>
  <cols>
    <col min="1" max="1" width="30.4375" style="72" bestFit="1" customWidth="1"/>
    <col min="2" max="2" width="12.3125" style="72" bestFit="1" customWidth="1"/>
    <col min="3" max="4" width="11.6875" style="72" bestFit="1" customWidth="1"/>
    <col min="5" max="5" width="14.6875" style="72" bestFit="1" customWidth="1"/>
    <col min="6" max="7" width="11.6875" style="72" bestFit="1" customWidth="1"/>
    <col min="8" max="16384" width="9" style="72"/>
  </cols>
  <sheetData>
    <row r="1" spans="1:7" x14ac:dyDescent="0.35">
      <c r="A1" s="72" t="s">
        <v>78</v>
      </c>
    </row>
    <row r="2" spans="1:7" x14ac:dyDescent="0.35">
      <c r="A2" s="73" t="s">
        <v>79</v>
      </c>
      <c r="B2" s="66" t="s">
        <v>91</v>
      </c>
      <c r="C2" s="66" t="s">
        <v>92</v>
      </c>
      <c r="D2" s="66" t="s">
        <v>93</v>
      </c>
      <c r="E2" s="66" t="s">
        <v>94</v>
      </c>
      <c r="F2" s="73" t="s">
        <v>80</v>
      </c>
      <c r="G2" s="73" t="s">
        <v>81</v>
      </c>
    </row>
    <row r="3" spans="1:7" x14ac:dyDescent="0.35">
      <c r="A3" s="66" t="s">
        <v>91</v>
      </c>
      <c r="B3" s="73">
        <f t="array" ref="B3:E6">MMULT('AHP (Jefri)'!B2:E5,'AHP (Jefri)'!B2:E5)</f>
        <v>4</v>
      </c>
      <c r="C3" s="73">
        <v>28</v>
      </c>
      <c r="D3" s="73">
        <v>3.8888888888888888</v>
      </c>
      <c r="E3" s="73">
        <v>51</v>
      </c>
      <c r="F3" s="73">
        <f>SUM(B3:E3)</f>
        <v>86.888888888888886</v>
      </c>
      <c r="G3" s="73">
        <f>F3/$F$7</f>
        <v>0.43703427719821164</v>
      </c>
    </row>
    <row r="4" spans="1:7" x14ac:dyDescent="0.35">
      <c r="A4" s="66" t="s">
        <v>92</v>
      </c>
      <c r="B4" s="73">
        <v>0.69444444444444442</v>
      </c>
      <c r="C4" s="73">
        <v>4</v>
      </c>
      <c r="D4" s="73">
        <v>0.68055555555555558</v>
      </c>
      <c r="E4" s="73">
        <v>8.125</v>
      </c>
      <c r="F4" s="73">
        <f t="shared" ref="F4:F6" si="0">SUM(B4:E4)</f>
        <v>13.5</v>
      </c>
      <c r="G4" s="73">
        <f t="shared" ref="G4:G6" si="1">F4/$F$7</f>
        <v>6.7902384500745164E-2</v>
      </c>
    </row>
    <row r="5" spans="1:7" x14ac:dyDescent="0.35">
      <c r="A5" s="66" t="s">
        <v>93</v>
      </c>
      <c r="B5" s="73">
        <v>4.125</v>
      </c>
      <c r="C5" s="73">
        <v>29</v>
      </c>
      <c r="D5" s="73">
        <v>4</v>
      </c>
      <c r="E5" s="73">
        <v>54</v>
      </c>
      <c r="F5" s="73">
        <f t="shared" si="0"/>
        <v>91.125</v>
      </c>
      <c r="G5" s="73">
        <f t="shared" si="1"/>
        <v>0.45834109538002982</v>
      </c>
    </row>
    <row r="6" spans="1:7" x14ac:dyDescent="0.35">
      <c r="A6" s="66" t="s">
        <v>94</v>
      </c>
      <c r="B6" s="73">
        <v>0.37499999999999994</v>
      </c>
      <c r="C6" s="73">
        <v>2.5555555555555558</v>
      </c>
      <c r="D6" s="73">
        <v>0.37037037037037035</v>
      </c>
      <c r="E6" s="73">
        <v>4</v>
      </c>
      <c r="F6" s="73">
        <f t="shared" si="0"/>
        <v>7.3009259259259256</v>
      </c>
      <c r="G6" s="73">
        <f t="shared" si="1"/>
        <v>3.6722242921013414E-2</v>
      </c>
    </row>
    <row r="7" spans="1:7" x14ac:dyDescent="0.35">
      <c r="A7" s="76" t="s">
        <v>67</v>
      </c>
      <c r="B7" s="76"/>
      <c r="C7" s="76"/>
      <c r="D7" s="76"/>
      <c r="E7" s="76"/>
      <c r="F7" s="73">
        <f>SUM(F3:F6)</f>
        <v>198.81481481481481</v>
      </c>
      <c r="G7" s="73">
        <f>SUM(G3:G6)</f>
        <v>1</v>
      </c>
    </row>
    <row r="9" spans="1:7" x14ac:dyDescent="0.35">
      <c r="A9" s="72" t="s">
        <v>82</v>
      </c>
    </row>
    <row r="10" spans="1:7" x14ac:dyDescent="0.35">
      <c r="A10" s="73" t="s">
        <v>79</v>
      </c>
      <c r="B10" s="66" t="s">
        <v>91</v>
      </c>
      <c r="C10" s="66" t="s">
        <v>92</v>
      </c>
      <c r="D10" s="66" t="s">
        <v>93</v>
      </c>
      <c r="E10" s="66" t="s">
        <v>94</v>
      </c>
      <c r="F10" s="73" t="s">
        <v>80</v>
      </c>
      <c r="G10" s="73" t="s">
        <v>81</v>
      </c>
    </row>
    <row r="11" spans="1:7" x14ac:dyDescent="0.35">
      <c r="A11" s="66" t="s">
        <v>91</v>
      </c>
      <c r="B11" s="73">
        <f t="array" ref="B11:E14">MMULT(B3:E6,B3:E6)</f>
        <v>70.611111111111114</v>
      </c>
      <c r="C11" s="73">
        <v>467.11111111111109</v>
      </c>
      <c r="D11" s="73">
        <v>69.055555555555557</v>
      </c>
      <c r="E11" s="73">
        <v>845.5</v>
      </c>
      <c r="F11" s="73">
        <f>SUM(B11:E11)</f>
        <v>1452.2777777777778</v>
      </c>
      <c r="G11" s="73">
        <f>F11/$F$15</f>
        <v>0.43655776257397055</v>
      </c>
    </row>
    <row r="12" spans="1:7" x14ac:dyDescent="0.35">
      <c r="A12" s="66" t="s">
        <v>92</v>
      </c>
      <c r="B12" s="73">
        <v>11.409722222222221</v>
      </c>
      <c r="C12" s="73">
        <v>75.944444444444443</v>
      </c>
      <c r="D12" s="73">
        <v>11.154320987654321</v>
      </c>
      <c r="E12" s="73">
        <v>137.16666666666666</v>
      </c>
      <c r="F12" s="73">
        <f t="shared" ref="F12:F14" si="2">SUM(B12:E12)</f>
        <v>235.67515432098764</v>
      </c>
      <c r="G12" s="73">
        <f t="shared" ref="G12:G14" si="3">F12/$F$15</f>
        <v>7.0844448382373304E-2</v>
      </c>
    </row>
    <row r="13" spans="1:7" x14ac:dyDescent="0.35">
      <c r="A13" s="66" t="s">
        <v>93</v>
      </c>
      <c r="B13" s="73">
        <v>73.388888888888886</v>
      </c>
      <c r="C13" s="73">
        <v>485.5</v>
      </c>
      <c r="D13" s="73">
        <v>71.777777777777771</v>
      </c>
      <c r="E13" s="73">
        <v>878</v>
      </c>
      <c r="F13" s="73">
        <f t="shared" si="2"/>
        <v>1508.6666666666667</v>
      </c>
      <c r="G13" s="73">
        <f t="shared" si="3"/>
        <v>0.45350838148727074</v>
      </c>
    </row>
    <row r="14" spans="1:7" x14ac:dyDescent="0.35">
      <c r="A14" s="66" t="s">
        <v>94</v>
      </c>
      <c r="B14" s="73">
        <v>6.3024691358024691</v>
      </c>
      <c r="C14" s="73">
        <v>41.685185185185183</v>
      </c>
      <c r="D14" s="73">
        <v>6.1604938271604937</v>
      </c>
      <c r="E14" s="73">
        <v>75.888888888888886</v>
      </c>
      <c r="F14" s="73">
        <f t="shared" si="2"/>
        <v>130.03703703703704</v>
      </c>
      <c r="G14" s="73">
        <f t="shared" si="3"/>
        <v>3.9089407556385514E-2</v>
      </c>
    </row>
    <row r="15" spans="1:7" x14ac:dyDescent="0.35">
      <c r="A15" s="76" t="s">
        <v>67</v>
      </c>
      <c r="B15" s="76"/>
      <c r="C15" s="76"/>
      <c r="D15" s="76"/>
      <c r="E15" s="76"/>
      <c r="F15" s="73">
        <f>SUM(F11:F14)</f>
        <v>3326.6566358024688</v>
      </c>
      <c r="G15" s="73">
        <f>SUM(G11:G14)</f>
        <v>1</v>
      </c>
    </row>
    <row r="17" spans="1:8" x14ac:dyDescent="0.35">
      <c r="A17" s="72" t="s">
        <v>83</v>
      </c>
    </row>
    <row r="18" spans="1:8" x14ac:dyDescent="0.35">
      <c r="A18" s="73" t="s">
        <v>84</v>
      </c>
      <c r="B18" s="73" t="s">
        <v>70</v>
      </c>
      <c r="D18" s="76" t="s">
        <v>85</v>
      </c>
      <c r="E18" s="76"/>
      <c r="F18" s="76"/>
      <c r="G18" s="76"/>
      <c r="H18" s="76"/>
    </row>
    <row r="19" spans="1:8" x14ac:dyDescent="0.35">
      <c r="A19" s="66" t="s">
        <v>91</v>
      </c>
      <c r="B19" s="73">
        <f>G3-G11</f>
        <v>4.765146242410867E-4</v>
      </c>
      <c r="D19" s="77" t="s">
        <v>86</v>
      </c>
      <c r="E19" s="77"/>
      <c r="F19" s="77"/>
      <c r="G19" s="77"/>
      <c r="H19" s="77"/>
    </row>
    <row r="20" spans="1:8" x14ac:dyDescent="0.35">
      <c r="A20" s="66" t="s">
        <v>92</v>
      </c>
      <c r="B20" s="73">
        <f t="shared" ref="B20:B22" si="4">G4-G12</f>
        <v>-2.9420638816281403E-3</v>
      </c>
      <c r="D20" s="77"/>
      <c r="E20" s="77"/>
      <c r="F20" s="77"/>
      <c r="G20" s="77"/>
      <c r="H20" s="77"/>
    </row>
    <row r="21" spans="1:8" x14ac:dyDescent="0.35">
      <c r="A21" s="66" t="s">
        <v>93</v>
      </c>
      <c r="B21" s="73">
        <f t="shared" si="4"/>
        <v>4.8327138927590774E-3</v>
      </c>
      <c r="D21" s="77"/>
      <c r="E21" s="77"/>
      <c r="F21" s="77"/>
      <c r="G21" s="77"/>
      <c r="H21" s="77"/>
    </row>
    <row r="22" spans="1:8" x14ac:dyDescent="0.35">
      <c r="A22" s="66" t="s">
        <v>94</v>
      </c>
      <c r="B22" s="73">
        <f t="shared" si="4"/>
        <v>-2.3671646353721001E-3</v>
      </c>
      <c r="D22" s="77"/>
      <c r="E22" s="77"/>
      <c r="F22" s="77"/>
      <c r="G22" s="77"/>
      <c r="H22" s="77"/>
    </row>
    <row r="24" spans="1:8" x14ac:dyDescent="0.35">
      <c r="A24" s="73" t="s">
        <v>87</v>
      </c>
      <c r="B24" s="73" t="s">
        <v>88</v>
      </c>
      <c r="C24" s="73" t="s">
        <v>89</v>
      </c>
    </row>
    <row r="25" spans="1:8" x14ac:dyDescent="0.35">
      <c r="A25" s="66" t="s">
        <v>91</v>
      </c>
      <c r="B25" s="73">
        <f>_xlfn.RANK.EQ(C25,$C$25:$C$28,0)</f>
        <v>2</v>
      </c>
      <c r="C25" s="74">
        <f>G11</f>
        <v>0.43655776257397055</v>
      </c>
    </row>
    <row r="26" spans="1:8" x14ac:dyDescent="0.35">
      <c r="A26" s="66" t="s">
        <v>92</v>
      </c>
      <c r="B26" s="73">
        <f t="shared" ref="B26:B28" si="5">_xlfn.RANK.EQ(C26,$C$25:$C$28,0)</f>
        <v>3</v>
      </c>
      <c r="C26" s="74">
        <f t="shared" ref="C26:C28" si="6">G12</f>
        <v>7.0844448382373304E-2</v>
      </c>
    </row>
    <row r="27" spans="1:8" x14ac:dyDescent="0.35">
      <c r="A27" s="66" t="s">
        <v>93</v>
      </c>
      <c r="B27" s="73">
        <f t="shared" si="5"/>
        <v>1</v>
      </c>
      <c r="C27" s="74">
        <f t="shared" si="6"/>
        <v>0.45350838148727074</v>
      </c>
    </row>
    <row r="28" spans="1:8" x14ac:dyDescent="0.35">
      <c r="A28" s="66" t="s">
        <v>94</v>
      </c>
      <c r="B28" s="73">
        <f t="shared" si="5"/>
        <v>4</v>
      </c>
      <c r="C28" s="74">
        <f t="shared" si="6"/>
        <v>3.9089407556385514E-2</v>
      </c>
    </row>
  </sheetData>
  <mergeCells count="4">
    <mergeCell ref="A7:E7"/>
    <mergeCell ref="A15:E15"/>
    <mergeCell ref="D18:H18"/>
    <mergeCell ref="D19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0FF6-CB7F-465D-9229-48077F5AD806}">
  <dimension ref="A1:H28"/>
  <sheetViews>
    <sheetView topLeftCell="A7" workbookViewId="0">
      <selection activeCell="B26" sqref="B26"/>
    </sheetView>
  </sheetViews>
  <sheetFormatPr defaultRowHeight="11.65" x14ac:dyDescent="0.35"/>
  <cols>
    <col min="1" max="1" width="30.4375" style="72" bestFit="1" customWidth="1"/>
    <col min="2" max="2" width="12.3125" style="72" bestFit="1" customWidth="1"/>
    <col min="3" max="4" width="11.6875" style="72" bestFit="1" customWidth="1"/>
    <col min="5" max="5" width="14.6875" style="72" bestFit="1" customWidth="1"/>
    <col min="6" max="7" width="11.6875" style="72" bestFit="1" customWidth="1"/>
    <col min="8" max="16384" width="9" style="72"/>
  </cols>
  <sheetData>
    <row r="1" spans="1:7" x14ac:dyDescent="0.35">
      <c r="A1" s="72" t="s">
        <v>78</v>
      </c>
    </row>
    <row r="2" spans="1:7" x14ac:dyDescent="0.35">
      <c r="A2" s="73" t="s">
        <v>79</v>
      </c>
      <c r="B2" s="66" t="s">
        <v>91</v>
      </c>
      <c r="C2" s="66" t="s">
        <v>92</v>
      </c>
      <c r="D2" s="66" t="s">
        <v>93</v>
      </c>
      <c r="E2" s="66" t="s">
        <v>94</v>
      </c>
      <c r="F2" s="73" t="s">
        <v>80</v>
      </c>
      <c r="G2" s="73" t="s">
        <v>81</v>
      </c>
    </row>
    <row r="3" spans="1:7" x14ac:dyDescent="0.35">
      <c r="A3" s="66" t="s">
        <v>91</v>
      </c>
      <c r="B3" s="73">
        <f t="array" ref="B3:E6">MMULT('AHP (Jhon)'!B2:E5,'AHP (Jhon)'!B2:E5)</f>
        <v>4</v>
      </c>
      <c r="C3" s="73">
        <v>2.75</v>
      </c>
      <c r="D3" s="73">
        <v>9.2857142857142847</v>
      </c>
      <c r="E3" s="73">
        <v>43.5</v>
      </c>
      <c r="F3" s="73">
        <f>SUM(B3:E3)</f>
        <v>59.535714285714285</v>
      </c>
      <c r="G3" s="73">
        <f>F3/$F$7</f>
        <v>0.32772668690884466</v>
      </c>
    </row>
    <row r="4" spans="1:7" x14ac:dyDescent="0.35">
      <c r="A4" s="66" t="s">
        <v>92</v>
      </c>
      <c r="B4" s="73">
        <v>6.333333333333333</v>
      </c>
      <c r="C4" s="73">
        <v>4</v>
      </c>
      <c r="D4" s="73">
        <v>15.285714285714285</v>
      </c>
      <c r="E4" s="73">
        <v>64</v>
      </c>
      <c r="F4" s="73">
        <f t="shared" ref="F4:F6" si="0">SUM(B4:E4)</f>
        <v>89.61904761904762</v>
      </c>
      <c r="G4" s="73">
        <f t="shared" ref="G4:G6" si="1">F4/$F$7</f>
        <v>0.49332663448305997</v>
      </c>
    </row>
    <row r="5" spans="1:7" x14ac:dyDescent="0.35">
      <c r="A5" s="66" t="s">
        <v>93</v>
      </c>
      <c r="B5" s="73">
        <v>1.9444444444444442</v>
      </c>
      <c r="C5" s="73">
        <v>1.4444444444444442</v>
      </c>
      <c r="D5" s="73">
        <v>4</v>
      </c>
      <c r="E5" s="73">
        <v>19.25</v>
      </c>
      <c r="F5" s="73">
        <f t="shared" si="0"/>
        <v>26.638888888888889</v>
      </c>
      <c r="G5" s="73">
        <f t="shared" si="1"/>
        <v>0.14663928875685359</v>
      </c>
    </row>
    <row r="6" spans="1:7" x14ac:dyDescent="0.35">
      <c r="A6" s="66" t="s">
        <v>94</v>
      </c>
      <c r="B6" s="73">
        <v>0.49206349206349204</v>
      </c>
      <c r="C6" s="73">
        <v>0.31349206349206349</v>
      </c>
      <c r="D6" s="73">
        <v>1.0634920634920633</v>
      </c>
      <c r="E6" s="73">
        <v>4</v>
      </c>
      <c r="F6" s="73">
        <f t="shared" si="0"/>
        <v>5.8690476190476186</v>
      </c>
      <c r="G6" s="73">
        <f t="shared" si="1"/>
        <v>3.2307389851241833E-2</v>
      </c>
    </row>
    <row r="7" spans="1:7" x14ac:dyDescent="0.35">
      <c r="A7" s="76" t="s">
        <v>67</v>
      </c>
      <c r="B7" s="76"/>
      <c r="C7" s="76"/>
      <c r="D7" s="76"/>
      <c r="E7" s="76"/>
      <c r="F7" s="73">
        <f>SUM(F3:F6)</f>
        <v>181.6626984126984</v>
      </c>
      <c r="G7" s="73">
        <f>SUM(G3:G6)</f>
        <v>1.0000000000000002</v>
      </c>
    </row>
    <row r="9" spans="1:7" x14ac:dyDescent="0.35">
      <c r="A9" s="72" t="s">
        <v>82</v>
      </c>
    </row>
    <row r="10" spans="1:7" x14ac:dyDescent="0.35">
      <c r="A10" s="73" t="s">
        <v>79</v>
      </c>
      <c r="B10" s="66" t="s">
        <v>91</v>
      </c>
      <c r="C10" s="66" t="s">
        <v>92</v>
      </c>
      <c r="D10" s="66" t="s">
        <v>93</v>
      </c>
      <c r="E10" s="66" t="s">
        <v>94</v>
      </c>
      <c r="F10" s="73" t="s">
        <v>80</v>
      </c>
      <c r="G10" s="73" t="s">
        <v>81</v>
      </c>
    </row>
    <row r="11" spans="1:7" x14ac:dyDescent="0.35">
      <c r="A11" s="66" t="s">
        <v>91</v>
      </c>
      <c r="B11" s="73">
        <f t="array" ref="B11:E14">MMULT(B3:E6,B3:E6)</f>
        <v>72.876984126984127</v>
      </c>
      <c r="C11" s="73">
        <v>49.04960317460317</v>
      </c>
      <c r="D11" s="73">
        <v>162.58333333333331</v>
      </c>
      <c r="E11" s="73">
        <v>702.75</v>
      </c>
      <c r="F11" s="73">
        <f>SUM(B11:E11)</f>
        <v>987.2599206349206</v>
      </c>
      <c r="G11" s="73">
        <f>F11/$F$15</f>
        <v>0.32058534493604796</v>
      </c>
    </row>
    <row r="12" spans="1:7" x14ac:dyDescent="0.35">
      <c r="A12" s="66" t="s">
        <v>92</v>
      </c>
      <c r="B12" s="73">
        <v>111.88095238095238</v>
      </c>
      <c r="C12" s="73">
        <v>75.559523809523796</v>
      </c>
      <c r="D12" s="73">
        <v>249.15873015873012</v>
      </c>
      <c r="E12" s="73">
        <v>1081.75</v>
      </c>
      <c r="F12" s="73">
        <f t="shared" ref="F12:F14" si="2">SUM(B12:E12)</f>
        <v>1518.3492063492063</v>
      </c>
      <c r="G12" s="73">
        <f t="shared" ref="G12:G14" si="3">F12/$F$15</f>
        <v>0.49304189694826511</v>
      </c>
    </row>
    <row r="13" spans="1:7" x14ac:dyDescent="0.35">
      <c r="A13" s="66" t="s">
        <v>93</v>
      </c>
      <c r="B13" s="73">
        <v>34.175925925925924</v>
      </c>
      <c r="C13" s="73">
        <v>22.937499999999996</v>
      </c>
      <c r="D13" s="73">
        <v>76.607142857142847</v>
      </c>
      <c r="E13" s="73">
        <v>331.02777777777777</v>
      </c>
      <c r="F13" s="73">
        <f t="shared" si="2"/>
        <v>464.74834656084653</v>
      </c>
      <c r="G13" s="73">
        <f t="shared" si="3"/>
        <v>0.15091416746144057</v>
      </c>
    </row>
    <row r="14" spans="1:7" x14ac:dyDescent="0.35">
      <c r="A14" s="66" t="s">
        <v>94</v>
      </c>
      <c r="B14" s="73">
        <v>7.9898589065255727</v>
      </c>
      <c r="C14" s="73">
        <v>5.3972663139329793</v>
      </c>
      <c r="D14" s="73">
        <v>17.869047619047617</v>
      </c>
      <c r="E14" s="73">
        <v>77.94047619047619</v>
      </c>
      <c r="F14" s="73">
        <f t="shared" si="2"/>
        <v>109.19664902998235</v>
      </c>
      <c r="G14" s="73">
        <f t="shared" si="3"/>
        <v>3.5458590654246419E-2</v>
      </c>
    </row>
    <row r="15" spans="1:7" x14ac:dyDescent="0.35">
      <c r="A15" s="76" t="s">
        <v>67</v>
      </c>
      <c r="B15" s="76"/>
      <c r="C15" s="76"/>
      <c r="D15" s="76"/>
      <c r="E15" s="76"/>
      <c r="F15" s="73">
        <f>SUM(F11:F14)</f>
        <v>3079.5541225749557</v>
      </c>
      <c r="G15" s="73">
        <f>SUM(G11:G14)</f>
        <v>1.0000000000000002</v>
      </c>
    </row>
    <row r="17" spans="1:8" x14ac:dyDescent="0.35">
      <c r="A17" s="72" t="s">
        <v>83</v>
      </c>
    </row>
    <row r="18" spans="1:8" x14ac:dyDescent="0.35">
      <c r="A18" s="73" t="s">
        <v>84</v>
      </c>
      <c r="B18" s="73" t="s">
        <v>70</v>
      </c>
      <c r="D18" s="76" t="s">
        <v>85</v>
      </c>
      <c r="E18" s="76"/>
      <c r="F18" s="76"/>
      <c r="G18" s="76"/>
      <c r="H18" s="76"/>
    </row>
    <row r="19" spans="1:8" x14ac:dyDescent="0.35">
      <c r="A19" s="66" t="s">
        <v>91</v>
      </c>
      <c r="B19" s="73">
        <f>G3-G11</f>
        <v>7.1413419727966998E-3</v>
      </c>
      <c r="D19" s="77" t="s">
        <v>86</v>
      </c>
      <c r="E19" s="77"/>
      <c r="F19" s="77"/>
      <c r="G19" s="77"/>
      <c r="H19" s="77"/>
    </row>
    <row r="20" spans="1:8" x14ac:dyDescent="0.35">
      <c r="A20" s="66" t="s">
        <v>92</v>
      </c>
      <c r="B20" s="73">
        <f t="shared" ref="B20:B22" si="4">G4-G12</f>
        <v>2.8473753479485442E-4</v>
      </c>
      <c r="D20" s="77"/>
      <c r="E20" s="77"/>
      <c r="F20" s="77"/>
      <c r="G20" s="77"/>
      <c r="H20" s="77"/>
    </row>
    <row r="21" spans="1:8" x14ac:dyDescent="0.35">
      <c r="A21" s="66" t="s">
        <v>93</v>
      </c>
      <c r="B21" s="73">
        <f t="shared" si="4"/>
        <v>-4.2748787045869818E-3</v>
      </c>
      <c r="D21" s="77"/>
      <c r="E21" s="77"/>
      <c r="F21" s="77"/>
      <c r="G21" s="77"/>
      <c r="H21" s="77"/>
    </row>
    <row r="22" spans="1:8" x14ac:dyDescent="0.35">
      <c r="A22" s="66" t="s">
        <v>94</v>
      </c>
      <c r="B22" s="73">
        <f t="shared" si="4"/>
        <v>-3.1512008030045863E-3</v>
      </c>
      <c r="D22" s="77"/>
      <c r="E22" s="77"/>
      <c r="F22" s="77"/>
      <c r="G22" s="77"/>
      <c r="H22" s="77"/>
    </row>
    <row r="24" spans="1:8" x14ac:dyDescent="0.35">
      <c r="A24" s="73" t="s">
        <v>87</v>
      </c>
      <c r="B24" s="73" t="s">
        <v>88</v>
      </c>
      <c r="C24" s="73" t="s">
        <v>89</v>
      </c>
    </row>
    <row r="25" spans="1:8" x14ac:dyDescent="0.35">
      <c r="A25" s="66" t="s">
        <v>91</v>
      </c>
      <c r="B25" s="73">
        <f>_xlfn.RANK.EQ(C25,$C$25:$C$28,0)</f>
        <v>2</v>
      </c>
      <c r="C25" s="74">
        <f>G11</f>
        <v>0.32058534493604796</v>
      </c>
    </row>
    <row r="26" spans="1:8" x14ac:dyDescent="0.35">
      <c r="A26" s="66" t="s">
        <v>92</v>
      </c>
      <c r="B26" s="73">
        <f t="shared" ref="B26:B28" si="5">_xlfn.RANK.EQ(C26,$C$25:$C$28,0)</f>
        <v>1</v>
      </c>
      <c r="C26" s="74">
        <f t="shared" ref="C26:C28" si="6">G12</f>
        <v>0.49304189694826511</v>
      </c>
    </row>
    <row r="27" spans="1:8" x14ac:dyDescent="0.35">
      <c r="A27" s="66" t="s">
        <v>93</v>
      </c>
      <c r="B27" s="73">
        <f t="shared" si="5"/>
        <v>3</v>
      </c>
      <c r="C27" s="74">
        <f t="shared" si="6"/>
        <v>0.15091416746144057</v>
      </c>
    </row>
    <row r="28" spans="1:8" x14ac:dyDescent="0.35">
      <c r="A28" s="66" t="s">
        <v>94</v>
      </c>
      <c r="B28" s="73">
        <f t="shared" si="5"/>
        <v>4</v>
      </c>
      <c r="C28" s="74">
        <f t="shared" si="6"/>
        <v>3.5458590654246419E-2</v>
      </c>
    </row>
  </sheetData>
  <mergeCells count="4">
    <mergeCell ref="A7:E7"/>
    <mergeCell ref="A15:E15"/>
    <mergeCell ref="D18:H18"/>
    <mergeCell ref="D19:H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071D-BE48-43ED-AC94-F3A8BF5E2B55}">
  <dimension ref="A1:K26"/>
  <sheetViews>
    <sheetView zoomScale="90" zoomScaleNormal="90" workbookViewId="0">
      <selection activeCell="B2" sqref="B2"/>
    </sheetView>
  </sheetViews>
  <sheetFormatPr defaultRowHeight="15.75" x14ac:dyDescent="0.5"/>
  <cols>
    <col min="1" max="2" width="25.9375" bestFit="1" customWidth="1"/>
    <col min="3" max="3" width="12.5" bestFit="1" customWidth="1"/>
    <col min="4" max="4" width="12.6875" bestFit="1" customWidth="1"/>
    <col min="5" max="5" width="11.375" bestFit="1" customWidth="1"/>
    <col min="6" max="6" width="8.8125" bestFit="1" customWidth="1"/>
    <col min="7" max="11" width="3.5625" bestFit="1" customWidth="1"/>
  </cols>
  <sheetData>
    <row r="1" spans="1:6" x14ac:dyDescent="0.5">
      <c r="A1" s="69"/>
      <c r="B1" s="66" t="s">
        <v>91</v>
      </c>
      <c r="C1" s="66" t="s">
        <v>92</v>
      </c>
      <c r="D1" s="66" t="s">
        <v>93</v>
      </c>
      <c r="E1" s="66" t="s">
        <v>94</v>
      </c>
    </row>
    <row r="2" spans="1:6" x14ac:dyDescent="0.5">
      <c r="A2" s="66" t="s">
        <v>91</v>
      </c>
      <c r="B2" s="69">
        <v>1</v>
      </c>
      <c r="C2" s="69">
        <f>1/2</f>
        <v>0.5</v>
      </c>
      <c r="D2" s="69">
        <v>3</v>
      </c>
      <c r="E2" s="69">
        <v>9</v>
      </c>
    </row>
    <row r="3" spans="1:6" x14ac:dyDescent="0.5">
      <c r="A3" s="66" t="s">
        <v>92</v>
      </c>
      <c r="B3" s="69">
        <f>1/C2</f>
        <v>2</v>
      </c>
      <c r="C3" s="69">
        <v>1</v>
      </c>
      <c r="D3" s="69">
        <v>4</v>
      </c>
      <c r="E3" s="69">
        <v>9</v>
      </c>
    </row>
    <row r="4" spans="1:6" x14ac:dyDescent="0.5">
      <c r="A4" s="66" t="s">
        <v>93</v>
      </c>
      <c r="B4" s="69">
        <f>1/D2</f>
        <v>0.33333333333333331</v>
      </c>
      <c r="C4" s="69">
        <f>1/D3</f>
        <v>0.25</v>
      </c>
      <c r="D4" s="69">
        <v>1</v>
      </c>
      <c r="E4" s="69">
        <v>7</v>
      </c>
    </row>
    <row r="5" spans="1:6" x14ac:dyDescent="0.5">
      <c r="A5" s="66" t="s">
        <v>94</v>
      </c>
      <c r="B5" s="69">
        <f>1/E2</f>
        <v>0.1111111111111111</v>
      </c>
      <c r="C5" s="69">
        <f>1/E3</f>
        <v>0.1111111111111111</v>
      </c>
      <c r="D5" s="69">
        <f>1/E4</f>
        <v>0.14285714285714285</v>
      </c>
      <c r="E5" s="69">
        <v>1</v>
      </c>
    </row>
    <row r="6" spans="1:6" x14ac:dyDescent="0.5">
      <c r="A6" s="66" t="s">
        <v>67</v>
      </c>
      <c r="B6" s="69">
        <f>SUM(B2:B5)</f>
        <v>3.4444444444444446</v>
      </c>
      <c r="C6" s="69">
        <f t="shared" ref="C6:E6" si="0">SUM(C2:C5)</f>
        <v>1.8611111111111112</v>
      </c>
      <c r="D6" s="69">
        <f t="shared" si="0"/>
        <v>8.1428571428571423</v>
      </c>
      <c r="E6" s="69">
        <f t="shared" si="0"/>
        <v>26</v>
      </c>
    </row>
    <row r="9" spans="1:6" x14ac:dyDescent="0.5">
      <c r="A9" s="69"/>
      <c r="B9" s="66" t="s">
        <v>91</v>
      </c>
      <c r="C9" s="66" t="s">
        <v>92</v>
      </c>
      <c r="D9" s="66" t="s">
        <v>93</v>
      </c>
      <c r="E9" s="66" t="s">
        <v>94</v>
      </c>
      <c r="F9" s="66" t="s">
        <v>68</v>
      </c>
    </row>
    <row r="10" spans="1:6" x14ac:dyDescent="0.5">
      <c r="A10" s="66" t="s">
        <v>91</v>
      </c>
      <c r="B10" s="69">
        <f>B2/$B$6</f>
        <v>0.29032258064516125</v>
      </c>
      <c r="C10" s="69">
        <f>C2/$C$6</f>
        <v>0.26865671641791045</v>
      </c>
      <c r="D10" s="69">
        <f>D2/$D$6</f>
        <v>0.36842105263157898</v>
      </c>
      <c r="E10" s="69">
        <f>E2/$E$6</f>
        <v>0.34615384615384615</v>
      </c>
      <c r="F10" s="69">
        <f>AVERAGE(B10:E10)</f>
        <v>0.31838854896212421</v>
      </c>
    </row>
    <row r="11" spans="1:6" x14ac:dyDescent="0.5">
      <c r="A11" s="66" t="s">
        <v>92</v>
      </c>
      <c r="B11" s="69">
        <f t="shared" ref="B11:B13" si="1">B3/$B$6</f>
        <v>0.58064516129032251</v>
      </c>
      <c r="C11" s="69">
        <f t="shared" ref="C11:C13" si="2">C3/$C$6</f>
        <v>0.53731343283582089</v>
      </c>
      <c r="D11" s="69">
        <f t="shared" ref="D11:D13" si="3">D3/$D$6</f>
        <v>0.49122807017543862</v>
      </c>
      <c r="E11" s="69">
        <f t="shared" ref="E11:E13" si="4">E3/$E$6</f>
        <v>0.34615384615384615</v>
      </c>
      <c r="F11" s="69">
        <f t="shared" ref="F11:F13" si="5">AVERAGE(B11:E11)</f>
        <v>0.48883512761385706</v>
      </c>
    </row>
    <row r="12" spans="1:6" x14ac:dyDescent="0.5">
      <c r="A12" s="66" t="s">
        <v>93</v>
      </c>
      <c r="B12" s="69">
        <f t="shared" si="1"/>
        <v>9.677419354838708E-2</v>
      </c>
      <c r="C12" s="69">
        <f t="shared" si="2"/>
        <v>0.13432835820895522</v>
      </c>
      <c r="D12" s="69">
        <f t="shared" si="3"/>
        <v>0.12280701754385966</v>
      </c>
      <c r="E12" s="69">
        <f t="shared" si="4"/>
        <v>0.26923076923076922</v>
      </c>
      <c r="F12" s="69">
        <f t="shared" si="5"/>
        <v>0.15578508463299279</v>
      </c>
    </row>
    <row r="13" spans="1:6" x14ac:dyDescent="0.5">
      <c r="A13" s="66" t="s">
        <v>94</v>
      </c>
      <c r="B13" s="69">
        <f t="shared" si="1"/>
        <v>3.2258064516129031E-2</v>
      </c>
      <c r="C13" s="69">
        <f t="shared" si="2"/>
        <v>5.9701492537313425E-2</v>
      </c>
      <c r="D13" s="69">
        <f t="shared" si="3"/>
        <v>1.7543859649122806E-2</v>
      </c>
      <c r="E13" s="69">
        <f t="shared" si="4"/>
        <v>3.8461538461538464E-2</v>
      </c>
      <c r="F13" s="69">
        <f t="shared" si="5"/>
        <v>3.6991238791025935E-2</v>
      </c>
    </row>
    <row r="14" spans="1:6" x14ac:dyDescent="0.5">
      <c r="A14" s="66" t="s">
        <v>67</v>
      </c>
      <c r="B14" s="69">
        <f>SUM(B10:B13)</f>
        <v>0.99999999999999989</v>
      </c>
      <c r="C14" s="69">
        <f t="shared" ref="C14" si="6">SUM(C10:C13)</f>
        <v>1</v>
      </c>
      <c r="D14" s="69">
        <f t="shared" ref="D14" si="7">SUM(D10:D13)</f>
        <v>1</v>
      </c>
      <c r="E14" s="69">
        <f t="shared" ref="E14:F14" si="8">SUM(E10:E13)</f>
        <v>0.99999999999999989</v>
      </c>
      <c r="F14" s="69">
        <f t="shared" si="8"/>
        <v>1</v>
      </c>
    </row>
    <row r="17" spans="1:11" x14ac:dyDescent="0.5">
      <c r="A17" s="70" t="s">
        <v>69</v>
      </c>
      <c r="B17" s="70" t="s">
        <v>70</v>
      </c>
      <c r="C17" s="70" t="s">
        <v>71</v>
      </c>
    </row>
    <row r="18" spans="1:11" x14ac:dyDescent="0.5">
      <c r="A18" s="70" t="s">
        <v>72</v>
      </c>
      <c r="B18" s="70">
        <f>MMULT(B6:E6,F10:F13)</f>
        <v>4.236756053871928</v>
      </c>
      <c r="C18" s="78" t="str">
        <f>IF(B22&lt;=0.1,"Konsistensi Baik/Acceptable","Konsistensi Buruk")</f>
        <v>Konsistensi Baik/Acceptable</v>
      </c>
    </row>
    <row r="19" spans="1:11" x14ac:dyDescent="0.5">
      <c r="A19" s="70" t="s">
        <v>90</v>
      </c>
      <c r="B19" s="70">
        <v>4</v>
      </c>
      <c r="C19" s="78"/>
    </row>
    <row r="20" spans="1:11" x14ac:dyDescent="0.5">
      <c r="A20" s="70" t="s">
        <v>73</v>
      </c>
      <c r="B20" s="70">
        <f>(B18-B19)/(B19-1)</f>
        <v>7.8918684623975999E-2</v>
      </c>
      <c r="C20" s="78"/>
    </row>
    <row r="21" spans="1:11" x14ac:dyDescent="0.5">
      <c r="A21" s="70" t="s">
        <v>74</v>
      </c>
      <c r="B21" s="70">
        <f>INDEX(B26:K26, MATCH(B19, B25:K25, 0))</f>
        <v>0.9</v>
      </c>
      <c r="C21" s="78"/>
    </row>
    <row r="22" spans="1:11" x14ac:dyDescent="0.5">
      <c r="A22" s="70" t="s">
        <v>75</v>
      </c>
      <c r="B22" s="71">
        <f>B20/B21</f>
        <v>8.7687427359973327E-2</v>
      </c>
      <c r="C22" s="78"/>
    </row>
    <row r="24" spans="1:11" x14ac:dyDescent="0.5">
      <c r="A24" s="79" t="s">
        <v>76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</row>
    <row r="25" spans="1:11" x14ac:dyDescent="0.5">
      <c r="A25" s="69" t="s">
        <v>77</v>
      </c>
      <c r="B25" s="69">
        <v>1</v>
      </c>
      <c r="C25" s="69">
        <v>2</v>
      </c>
      <c r="D25" s="69">
        <v>3</v>
      </c>
      <c r="E25" s="69">
        <v>4</v>
      </c>
      <c r="F25" s="69">
        <v>5</v>
      </c>
      <c r="G25" s="69">
        <v>6</v>
      </c>
      <c r="H25" s="69">
        <v>7</v>
      </c>
      <c r="I25" s="69">
        <v>8</v>
      </c>
      <c r="J25" s="69">
        <v>9</v>
      </c>
      <c r="K25" s="69">
        <v>10</v>
      </c>
    </row>
    <row r="26" spans="1:11" x14ac:dyDescent="0.5">
      <c r="A26" s="69" t="s">
        <v>74</v>
      </c>
      <c r="B26" s="69">
        <v>0</v>
      </c>
      <c r="C26" s="69">
        <v>0</v>
      </c>
      <c r="D26" s="69">
        <v>0.57999999999999996</v>
      </c>
      <c r="E26" s="69">
        <v>0.9</v>
      </c>
      <c r="F26" s="69">
        <v>1.1200000000000001</v>
      </c>
      <c r="G26" s="69">
        <v>1.24</v>
      </c>
      <c r="H26" s="69">
        <v>1.32</v>
      </c>
      <c r="I26" s="69">
        <v>1.41</v>
      </c>
      <c r="J26" s="69">
        <v>1.45</v>
      </c>
      <c r="K26" s="69">
        <v>1.49</v>
      </c>
    </row>
  </sheetData>
  <mergeCells count="2">
    <mergeCell ref="C18:C22"/>
    <mergeCell ref="A24:K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55C9-E66B-4421-960D-EF6E78E050D0}">
  <dimension ref="A1:K26"/>
  <sheetViews>
    <sheetView zoomScale="90" zoomScaleNormal="90" workbookViewId="0">
      <selection activeCell="B2" sqref="B2:E5"/>
    </sheetView>
  </sheetViews>
  <sheetFormatPr defaultRowHeight="15.75" x14ac:dyDescent="0.5"/>
  <cols>
    <col min="1" max="2" width="25.9375" bestFit="1" customWidth="1"/>
    <col min="3" max="3" width="12.5" bestFit="1" customWidth="1"/>
    <col min="4" max="4" width="12.6875" bestFit="1" customWidth="1"/>
    <col min="5" max="5" width="11.375" bestFit="1" customWidth="1"/>
    <col min="6" max="6" width="8.8125" bestFit="1" customWidth="1"/>
    <col min="7" max="11" width="3.5625" bestFit="1" customWidth="1"/>
  </cols>
  <sheetData>
    <row r="1" spans="1:6" x14ac:dyDescent="0.5">
      <c r="A1" s="69"/>
      <c r="B1" s="66" t="s">
        <v>91</v>
      </c>
      <c r="C1" s="66" t="s">
        <v>92</v>
      </c>
      <c r="D1" s="66" t="s">
        <v>93</v>
      </c>
      <c r="E1" s="66" t="s">
        <v>94</v>
      </c>
    </row>
    <row r="2" spans="1:6" x14ac:dyDescent="0.5">
      <c r="A2" s="66" t="s">
        <v>91</v>
      </c>
      <c r="B2" s="69">
        <v>1</v>
      </c>
      <c r="C2" s="69">
        <v>8</v>
      </c>
      <c r="D2" s="69">
        <v>1</v>
      </c>
      <c r="E2" s="69">
        <v>9</v>
      </c>
    </row>
    <row r="3" spans="1:6" x14ac:dyDescent="0.5">
      <c r="A3" s="66" t="s">
        <v>92</v>
      </c>
      <c r="B3" s="69">
        <f>1/C2</f>
        <v>0.125</v>
      </c>
      <c r="C3" s="69">
        <v>1</v>
      </c>
      <c r="D3" s="69">
        <f>1/9</f>
        <v>0.1111111111111111</v>
      </c>
      <c r="E3" s="69">
        <v>3</v>
      </c>
    </row>
    <row r="4" spans="1:6" x14ac:dyDescent="0.5">
      <c r="A4" s="66" t="s">
        <v>93</v>
      </c>
      <c r="B4" s="69">
        <f>1/D2</f>
        <v>1</v>
      </c>
      <c r="C4" s="69">
        <f>1/D3</f>
        <v>9</v>
      </c>
      <c r="D4" s="69">
        <v>1</v>
      </c>
      <c r="E4" s="69">
        <v>9</v>
      </c>
    </row>
    <row r="5" spans="1:6" x14ac:dyDescent="0.5">
      <c r="A5" s="66" t="s">
        <v>94</v>
      </c>
      <c r="B5" s="69">
        <f>1/E2</f>
        <v>0.1111111111111111</v>
      </c>
      <c r="C5" s="69">
        <f>1/E3</f>
        <v>0.33333333333333331</v>
      </c>
      <c r="D5" s="69">
        <f>1/E4</f>
        <v>0.1111111111111111</v>
      </c>
      <c r="E5" s="69">
        <v>1</v>
      </c>
    </row>
    <row r="6" spans="1:6" x14ac:dyDescent="0.5">
      <c r="A6" s="66" t="s">
        <v>67</v>
      </c>
      <c r="B6" s="69">
        <f>SUM(B2:B5)</f>
        <v>2.2361111111111112</v>
      </c>
      <c r="C6" s="69">
        <f t="shared" ref="C6:E6" si="0">SUM(C2:C5)</f>
        <v>18.333333333333332</v>
      </c>
      <c r="D6" s="69">
        <f t="shared" si="0"/>
        <v>2.2222222222222223</v>
      </c>
      <c r="E6" s="69">
        <f t="shared" si="0"/>
        <v>22</v>
      </c>
    </row>
    <row r="9" spans="1:6" x14ac:dyDescent="0.5">
      <c r="A9" s="69"/>
      <c r="B9" s="66" t="s">
        <v>91</v>
      </c>
      <c r="C9" s="66" t="s">
        <v>92</v>
      </c>
      <c r="D9" s="66" t="s">
        <v>93</v>
      </c>
      <c r="E9" s="66" t="s">
        <v>94</v>
      </c>
      <c r="F9" s="66" t="s">
        <v>68</v>
      </c>
    </row>
    <row r="10" spans="1:6" x14ac:dyDescent="0.5">
      <c r="A10" s="66" t="s">
        <v>91</v>
      </c>
      <c r="B10" s="69">
        <f>B2/$B$6</f>
        <v>0.44720496894409939</v>
      </c>
      <c r="C10" s="69">
        <f>C2/$C$6</f>
        <v>0.4363636363636364</v>
      </c>
      <c r="D10" s="69">
        <f>D2/$D$6</f>
        <v>0.44999999999999996</v>
      </c>
      <c r="E10" s="69">
        <f>E2/$E$6</f>
        <v>0.40909090909090912</v>
      </c>
      <c r="F10" s="69">
        <f>AVERAGE(B10:E10)</f>
        <v>0.43566487859966124</v>
      </c>
    </row>
    <row r="11" spans="1:6" x14ac:dyDescent="0.5">
      <c r="A11" s="66" t="s">
        <v>92</v>
      </c>
      <c r="B11" s="69">
        <f t="shared" ref="B11:B13" si="1">B3/$B$6</f>
        <v>5.5900621118012424E-2</v>
      </c>
      <c r="C11" s="69">
        <f t="shared" ref="C11:C13" si="2">C3/$C$6</f>
        <v>5.454545454545455E-2</v>
      </c>
      <c r="D11" s="69">
        <f t="shared" ref="D11:D13" si="3">D3/$D$6</f>
        <v>4.9999999999999996E-2</v>
      </c>
      <c r="E11" s="69">
        <f t="shared" ref="E11:E13" si="4">E3/$E$6</f>
        <v>0.13636363636363635</v>
      </c>
      <c r="F11" s="69">
        <f t="shared" ref="F11:F13" si="5">AVERAGE(B11:E11)</f>
        <v>7.4202428006775831E-2</v>
      </c>
    </row>
    <row r="12" spans="1:6" x14ac:dyDescent="0.5">
      <c r="A12" s="66" t="s">
        <v>93</v>
      </c>
      <c r="B12" s="69">
        <f t="shared" si="1"/>
        <v>0.44720496894409939</v>
      </c>
      <c r="C12" s="69">
        <f t="shared" si="2"/>
        <v>0.49090909090909096</v>
      </c>
      <c r="D12" s="69">
        <f t="shared" si="3"/>
        <v>0.44999999999999996</v>
      </c>
      <c r="E12" s="69">
        <f t="shared" si="4"/>
        <v>0.40909090909090912</v>
      </c>
      <c r="F12" s="69">
        <f t="shared" si="5"/>
        <v>0.44930124223602486</v>
      </c>
    </row>
    <row r="13" spans="1:6" x14ac:dyDescent="0.5">
      <c r="A13" s="66" t="s">
        <v>94</v>
      </c>
      <c r="B13" s="69">
        <f t="shared" si="1"/>
        <v>4.9689440993788817E-2</v>
      </c>
      <c r="C13" s="69">
        <f t="shared" si="2"/>
        <v>1.8181818181818181E-2</v>
      </c>
      <c r="D13" s="69">
        <f t="shared" si="3"/>
        <v>4.9999999999999996E-2</v>
      </c>
      <c r="E13" s="69">
        <f t="shared" si="4"/>
        <v>4.5454545454545456E-2</v>
      </c>
      <c r="F13" s="69">
        <f t="shared" si="5"/>
        <v>4.0831451157538112E-2</v>
      </c>
    </row>
    <row r="14" spans="1:6" x14ac:dyDescent="0.5">
      <c r="A14" s="66" t="s">
        <v>67</v>
      </c>
      <c r="B14" s="69">
        <f>SUM(B10:B13)</f>
        <v>1.0000000000000002</v>
      </c>
      <c r="C14" s="69">
        <f t="shared" ref="C14:F14" si="6">SUM(C10:C13)</f>
        <v>1</v>
      </c>
      <c r="D14" s="69">
        <f t="shared" si="6"/>
        <v>1</v>
      </c>
      <c r="E14" s="69">
        <f t="shared" si="6"/>
        <v>1</v>
      </c>
      <c r="F14" s="69">
        <f t="shared" si="6"/>
        <v>1</v>
      </c>
    </row>
    <row r="17" spans="1:11" x14ac:dyDescent="0.5">
      <c r="A17" s="70" t="s">
        <v>69</v>
      </c>
      <c r="B17" s="70" t="s">
        <v>70</v>
      </c>
      <c r="C17" s="70" t="s">
        <v>71</v>
      </c>
    </row>
    <row r="18" spans="1:11" x14ac:dyDescent="0.5">
      <c r="A18" s="70" t="s">
        <v>72</v>
      </c>
      <c r="B18" s="70">
        <f>MMULT(B6:E6,F10:F13)</f>
        <v>4.2313120529832489</v>
      </c>
      <c r="C18" s="78" t="str">
        <f>IF(B22&lt;=0.1,"Konsistensi Baik/Acceptable","Konsistensi Buruk")</f>
        <v>Konsistensi Baik/Acceptable</v>
      </c>
    </row>
    <row r="19" spans="1:11" x14ac:dyDescent="0.5">
      <c r="A19" s="70" t="s">
        <v>90</v>
      </c>
      <c r="B19" s="70">
        <v>4</v>
      </c>
      <c r="C19" s="78"/>
    </row>
    <row r="20" spans="1:11" x14ac:dyDescent="0.5">
      <c r="A20" s="70" t="s">
        <v>73</v>
      </c>
      <c r="B20" s="70">
        <f>(B18-B19)/(B19-1)</f>
        <v>7.7104017661082949E-2</v>
      </c>
      <c r="C20" s="78"/>
    </row>
    <row r="21" spans="1:11" x14ac:dyDescent="0.5">
      <c r="A21" s="70" t="s">
        <v>74</v>
      </c>
      <c r="B21" s="70">
        <f>INDEX(B26:K26, MATCH(B19, B25:K25, 0))</f>
        <v>0.9</v>
      </c>
      <c r="C21" s="78"/>
    </row>
    <row r="22" spans="1:11" x14ac:dyDescent="0.5">
      <c r="A22" s="70" t="s">
        <v>75</v>
      </c>
      <c r="B22" s="71">
        <f>B20/B21</f>
        <v>8.567113073453661E-2</v>
      </c>
      <c r="C22" s="78"/>
    </row>
    <row r="24" spans="1:11" x14ac:dyDescent="0.5">
      <c r="A24" s="79" t="s">
        <v>76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</row>
    <row r="25" spans="1:11" x14ac:dyDescent="0.5">
      <c r="A25" s="69" t="s">
        <v>77</v>
      </c>
      <c r="B25" s="69">
        <v>1</v>
      </c>
      <c r="C25" s="69">
        <v>2</v>
      </c>
      <c r="D25" s="69">
        <v>3</v>
      </c>
      <c r="E25" s="69">
        <v>4</v>
      </c>
      <c r="F25" s="69">
        <v>5</v>
      </c>
      <c r="G25" s="69">
        <v>6</v>
      </c>
      <c r="H25" s="69">
        <v>7</v>
      </c>
      <c r="I25" s="69">
        <v>8</v>
      </c>
      <c r="J25" s="69">
        <v>9</v>
      </c>
      <c r="K25" s="69">
        <v>10</v>
      </c>
    </row>
    <row r="26" spans="1:11" x14ac:dyDescent="0.5">
      <c r="A26" s="69" t="s">
        <v>74</v>
      </c>
      <c r="B26" s="69">
        <v>0</v>
      </c>
      <c r="C26" s="69">
        <v>0</v>
      </c>
      <c r="D26" s="69">
        <v>0.57999999999999996</v>
      </c>
      <c r="E26" s="69">
        <v>0.9</v>
      </c>
      <c r="F26" s="69">
        <v>1.1200000000000001</v>
      </c>
      <c r="G26" s="69">
        <v>1.24</v>
      </c>
      <c r="H26" s="69">
        <v>1.32</v>
      </c>
      <c r="I26" s="69">
        <v>1.41</v>
      </c>
      <c r="J26" s="69">
        <v>1.45</v>
      </c>
      <c r="K26" s="69">
        <v>1.49</v>
      </c>
    </row>
  </sheetData>
  <mergeCells count="2">
    <mergeCell ref="C18:C22"/>
    <mergeCell ref="A24:K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E519-EA6B-4155-A68F-07CC1EA4BA5A}">
  <dimension ref="A1:K26"/>
  <sheetViews>
    <sheetView zoomScale="90" zoomScaleNormal="90" workbookViewId="0">
      <selection activeCell="B2" sqref="B2:E5"/>
    </sheetView>
  </sheetViews>
  <sheetFormatPr defaultRowHeight="15.75" x14ac:dyDescent="0.5"/>
  <cols>
    <col min="1" max="2" width="25.9375" bestFit="1" customWidth="1"/>
    <col min="3" max="3" width="12.5" bestFit="1" customWidth="1"/>
    <col min="4" max="4" width="12.6875" bestFit="1" customWidth="1"/>
    <col min="5" max="5" width="11.375" bestFit="1" customWidth="1"/>
    <col min="6" max="6" width="8.8125" bestFit="1" customWidth="1"/>
    <col min="7" max="11" width="3.5625" bestFit="1" customWidth="1"/>
  </cols>
  <sheetData>
    <row r="1" spans="1:6" x14ac:dyDescent="0.5">
      <c r="A1" s="69"/>
      <c r="B1" s="66" t="s">
        <v>91</v>
      </c>
      <c r="C1" s="66" t="s">
        <v>92</v>
      </c>
      <c r="D1" s="66" t="s">
        <v>93</v>
      </c>
      <c r="E1" s="66" t="s">
        <v>94</v>
      </c>
    </row>
    <row r="2" spans="1:6" x14ac:dyDescent="0.5">
      <c r="A2" s="66" t="s">
        <v>91</v>
      </c>
      <c r="B2" s="69">
        <v>1</v>
      </c>
      <c r="C2" s="69">
        <v>1</v>
      </c>
      <c r="D2" s="69">
        <v>4</v>
      </c>
      <c r="E2" s="69">
        <v>8</v>
      </c>
    </row>
    <row r="3" spans="1:6" x14ac:dyDescent="0.5">
      <c r="A3" s="66" t="s">
        <v>92</v>
      </c>
      <c r="B3" s="69">
        <f>1/C2</f>
        <v>1</v>
      </c>
      <c r="C3" s="69">
        <v>1</v>
      </c>
      <c r="D3" s="69">
        <v>7</v>
      </c>
      <c r="E3" s="69">
        <v>7</v>
      </c>
    </row>
    <row r="4" spans="1:6" x14ac:dyDescent="0.5">
      <c r="A4" s="66" t="s">
        <v>93</v>
      </c>
      <c r="B4" s="69">
        <f>1/D2</f>
        <v>0.25</v>
      </c>
      <c r="C4" s="69">
        <f>1/D3</f>
        <v>0.14285714285714285</v>
      </c>
      <c r="D4" s="69">
        <v>1</v>
      </c>
      <c r="E4" s="69">
        <v>4</v>
      </c>
    </row>
    <row r="5" spans="1:6" x14ac:dyDescent="0.5">
      <c r="A5" s="66" t="s">
        <v>94</v>
      </c>
      <c r="B5" s="69">
        <f>1/E2</f>
        <v>0.125</v>
      </c>
      <c r="C5" s="69">
        <f>1/E3</f>
        <v>0.14285714285714285</v>
      </c>
      <c r="D5" s="69">
        <f>1/E4</f>
        <v>0.25</v>
      </c>
      <c r="E5" s="69">
        <v>1</v>
      </c>
    </row>
    <row r="6" spans="1:6" x14ac:dyDescent="0.5">
      <c r="A6" s="66" t="s">
        <v>67</v>
      </c>
      <c r="B6" s="69">
        <f>SUM(B2:B5)</f>
        <v>2.375</v>
      </c>
      <c r="C6" s="69">
        <f t="shared" ref="C6:E6" si="0">SUM(C2:C5)</f>
        <v>2.2857142857142856</v>
      </c>
      <c r="D6" s="69">
        <f t="shared" si="0"/>
        <v>12.25</v>
      </c>
      <c r="E6" s="69">
        <f t="shared" si="0"/>
        <v>20</v>
      </c>
    </row>
    <row r="9" spans="1:6" x14ac:dyDescent="0.5">
      <c r="A9" s="69"/>
      <c r="B9" s="66" t="s">
        <v>91</v>
      </c>
      <c r="C9" s="66" t="s">
        <v>92</v>
      </c>
      <c r="D9" s="66" t="s">
        <v>93</v>
      </c>
      <c r="E9" s="66" t="s">
        <v>94</v>
      </c>
      <c r="F9" s="66" t="s">
        <v>68</v>
      </c>
    </row>
    <row r="10" spans="1:6" x14ac:dyDescent="0.5">
      <c r="A10" s="66" t="s">
        <v>91</v>
      </c>
      <c r="B10" s="69">
        <f>B2/$B$6</f>
        <v>0.42105263157894735</v>
      </c>
      <c r="C10" s="69">
        <f>C2/$C$6</f>
        <v>0.4375</v>
      </c>
      <c r="D10" s="69">
        <f>D2/$D$6</f>
        <v>0.32653061224489793</v>
      </c>
      <c r="E10" s="69">
        <f>E2/$E$6</f>
        <v>0.4</v>
      </c>
      <c r="F10" s="69">
        <f>AVERAGE(B10:E10)</f>
        <v>0.39627081095596128</v>
      </c>
    </row>
    <row r="11" spans="1:6" x14ac:dyDescent="0.5">
      <c r="A11" s="66" t="s">
        <v>92</v>
      </c>
      <c r="B11" s="69">
        <f t="shared" ref="B11:B13" si="1">B3/$B$6</f>
        <v>0.42105263157894735</v>
      </c>
      <c r="C11" s="69">
        <f t="shared" ref="C11:C13" si="2">C3/$C$6</f>
        <v>0.4375</v>
      </c>
      <c r="D11" s="69">
        <f t="shared" ref="D11:D13" si="3">D3/$D$6</f>
        <v>0.5714285714285714</v>
      </c>
      <c r="E11" s="69">
        <f t="shared" ref="E11:E13" si="4">E3/$E$6</f>
        <v>0.35</v>
      </c>
      <c r="F11" s="69">
        <f t="shared" ref="F11:F13" si="5">AVERAGE(B11:E11)</f>
        <v>0.44499530075187965</v>
      </c>
    </row>
    <row r="12" spans="1:6" x14ac:dyDescent="0.5">
      <c r="A12" s="66" t="s">
        <v>93</v>
      </c>
      <c r="B12" s="69">
        <f t="shared" si="1"/>
        <v>0.10526315789473684</v>
      </c>
      <c r="C12" s="69">
        <f t="shared" si="2"/>
        <v>6.25E-2</v>
      </c>
      <c r="D12" s="69">
        <f t="shared" si="3"/>
        <v>8.1632653061224483E-2</v>
      </c>
      <c r="E12" s="69">
        <f t="shared" si="4"/>
        <v>0.2</v>
      </c>
      <c r="F12" s="69">
        <f t="shared" si="5"/>
        <v>0.11234895273899033</v>
      </c>
    </row>
    <row r="13" spans="1:6" x14ac:dyDescent="0.5">
      <c r="A13" s="66" t="s">
        <v>94</v>
      </c>
      <c r="B13" s="69">
        <f t="shared" si="1"/>
        <v>5.2631578947368418E-2</v>
      </c>
      <c r="C13" s="69">
        <f t="shared" si="2"/>
        <v>6.25E-2</v>
      </c>
      <c r="D13" s="69">
        <f t="shared" si="3"/>
        <v>2.0408163265306121E-2</v>
      </c>
      <c r="E13" s="69">
        <f t="shared" si="4"/>
        <v>0.05</v>
      </c>
      <c r="F13" s="69">
        <f t="shared" si="5"/>
        <v>4.6384935553168638E-2</v>
      </c>
    </row>
    <row r="14" spans="1:6" x14ac:dyDescent="0.5">
      <c r="A14" s="66" t="s">
        <v>67</v>
      </c>
      <c r="B14" s="69">
        <f>SUM(B10:B13)</f>
        <v>1</v>
      </c>
      <c r="C14" s="69">
        <f t="shared" ref="C14:F14" si="6">SUM(C10:C13)</f>
        <v>1</v>
      </c>
      <c r="D14" s="69">
        <f t="shared" si="6"/>
        <v>0.99999999999999989</v>
      </c>
      <c r="E14" s="69">
        <f t="shared" si="6"/>
        <v>1</v>
      </c>
      <c r="F14" s="69">
        <f t="shared" si="6"/>
        <v>1</v>
      </c>
    </row>
    <row r="17" spans="1:11" x14ac:dyDescent="0.5">
      <c r="A17" s="70" t="s">
        <v>69</v>
      </c>
      <c r="B17" s="70" t="s">
        <v>70</v>
      </c>
      <c r="C17" s="70" t="s">
        <v>71</v>
      </c>
    </row>
    <row r="18" spans="1:11" x14ac:dyDescent="0.5">
      <c r="A18" s="70" t="s">
        <v>72</v>
      </c>
      <c r="B18" s="70">
        <f>MMULT(B6:E6,F10:F13)</f>
        <v>4.2622486741407091</v>
      </c>
      <c r="C18" s="78" t="str">
        <f>IF(B22&lt;=0.1,"Konsistensi Baik/Acceptable","Konsistensi Buruk")</f>
        <v>Konsistensi Baik/Acceptable</v>
      </c>
    </row>
    <row r="19" spans="1:11" x14ac:dyDescent="0.5">
      <c r="A19" s="70" t="s">
        <v>90</v>
      </c>
      <c r="B19" s="70">
        <v>4</v>
      </c>
      <c r="C19" s="78"/>
    </row>
    <row r="20" spans="1:11" x14ac:dyDescent="0.5">
      <c r="A20" s="70" t="s">
        <v>73</v>
      </c>
      <c r="B20" s="70">
        <f>(B18-B19)/(B19-1)</f>
        <v>8.741622471356969E-2</v>
      </c>
      <c r="C20" s="78"/>
    </row>
    <row r="21" spans="1:11" x14ac:dyDescent="0.5">
      <c r="A21" s="70" t="s">
        <v>74</v>
      </c>
      <c r="B21" s="70">
        <f>INDEX(B26:K26, MATCH(B19, B25:K25, 0))</f>
        <v>0.9</v>
      </c>
      <c r="C21" s="78"/>
    </row>
    <row r="22" spans="1:11" x14ac:dyDescent="0.5">
      <c r="A22" s="70" t="s">
        <v>75</v>
      </c>
      <c r="B22" s="71">
        <f>B20/B21</f>
        <v>9.7129138570632989E-2</v>
      </c>
      <c r="C22" s="78"/>
    </row>
    <row r="24" spans="1:11" x14ac:dyDescent="0.5">
      <c r="A24" s="79" t="s">
        <v>76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</row>
    <row r="25" spans="1:11" x14ac:dyDescent="0.5">
      <c r="A25" s="69" t="s">
        <v>77</v>
      </c>
      <c r="B25" s="69">
        <v>1</v>
      </c>
      <c r="C25" s="69">
        <v>2</v>
      </c>
      <c r="D25" s="69">
        <v>3</v>
      </c>
      <c r="E25" s="69">
        <v>4</v>
      </c>
      <c r="F25" s="69">
        <v>5</v>
      </c>
      <c r="G25" s="69">
        <v>6</v>
      </c>
      <c r="H25" s="69">
        <v>7</v>
      </c>
      <c r="I25" s="69">
        <v>8</v>
      </c>
      <c r="J25" s="69">
        <v>9</v>
      </c>
      <c r="K25" s="69">
        <v>10</v>
      </c>
    </row>
    <row r="26" spans="1:11" x14ac:dyDescent="0.5">
      <c r="A26" s="69" t="s">
        <v>74</v>
      </c>
      <c r="B26" s="69">
        <v>0</v>
      </c>
      <c r="C26" s="69">
        <v>0</v>
      </c>
      <c r="D26" s="69">
        <v>0.57999999999999996</v>
      </c>
      <c r="E26" s="69">
        <v>0.9</v>
      </c>
      <c r="F26" s="69">
        <v>1.1200000000000001</v>
      </c>
      <c r="G26" s="69">
        <v>1.24</v>
      </c>
      <c r="H26" s="69">
        <v>1.32</v>
      </c>
      <c r="I26" s="69">
        <v>1.41</v>
      </c>
      <c r="J26" s="69">
        <v>1.45</v>
      </c>
      <c r="K26" s="69">
        <v>1.49</v>
      </c>
    </row>
  </sheetData>
  <mergeCells count="2">
    <mergeCell ref="C18:C22"/>
    <mergeCell ref="A24:K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EBC0-AE38-4F25-BDCC-B9416D3E1844}">
  <dimension ref="A1:S23"/>
  <sheetViews>
    <sheetView workbookViewId="0">
      <selection activeCell="B20" sqref="B20:E23"/>
    </sheetView>
  </sheetViews>
  <sheetFormatPr defaultRowHeight="11.65" x14ac:dyDescent="0.35"/>
  <cols>
    <col min="1" max="1" width="27.0625" style="68" customWidth="1"/>
    <col min="2" max="2" width="25.9375" style="68" bestFit="1" customWidth="1"/>
    <col min="3" max="3" width="12.5" style="68" bestFit="1" customWidth="1"/>
    <col min="4" max="4" width="12.6875" style="68" bestFit="1" customWidth="1"/>
    <col min="5" max="5" width="11.375" style="68" bestFit="1" customWidth="1"/>
    <col min="6" max="16384" width="9" style="68"/>
  </cols>
  <sheetData>
    <row r="1" spans="1:19" x14ac:dyDescent="0.35">
      <c r="A1" s="67" t="s">
        <v>22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3" spans="1:19" x14ac:dyDescent="0.35">
      <c r="A3" s="69"/>
      <c r="B3" s="66" t="s">
        <v>0</v>
      </c>
      <c r="C3" s="66" t="s">
        <v>19</v>
      </c>
      <c r="D3" s="66" t="s">
        <v>20</v>
      </c>
      <c r="E3" s="66" t="s">
        <v>21</v>
      </c>
    </row>
    <row r="4" spans="1:19" x14ac:dyDescent="0.35">
      <c r="A4" s="66" t="s">
        <v>0</v>
      </c>
      <c r="B4" s="69">
        <v>1</v>
      </c>
      <c r="C4" s="69">
        <f>1/2</f>
        <v>0.5</v>
      </c>
      <c r="D4" s="69">
        <v>3</v>
      </c>
      <c r="E4" s="69">
        <v>9</v>
      </c>
    </row>
    <row r="5" spans="1:19" x14ac:dyDescent="0.35">
      <c r="A5" s="66" t="s">
        <v>19</v>
      </c>
      <c r="B5" s="69">
        <f>1/C4</f>
        <v>2</v>
      </c>
      <c r="C5" s="69">
        <v>1</v>
      </c>
      <c r="D5" s="69">
        <v>4</v>
      </c>
      <c r="E5" s="69">
        <v>9</v>
      </c>
    </row>
    <row r="6" spans="1:19" x14ac:dyDescent="0.35">
      <c r="A6" s="66" t="s">
        <v>20</v>
      </c>
      <c r="B6" s="69">
        <f>1/D4</f>
        <v>0.33333333333333331</v>
      </c>
      <c r="C6" s="69">
        <f>1/D5</f>
        <v>0.25</v>
      </c>
      <c r="D6" s="69">
        <v>1</v>
      </c>
      <c r="E6" s="69">
        <v>7</v>
      </c>
    </row>
    <row r="7" spans="1:19" x14ac:dyDescent="0.35">
      <c r="A7" s="66" t="s">
        <v>21</v>
      </c>
      <c r="B7" s="69">
        <f>1/E4</f>
        <v>0.1111111111111111</v>
      </c>
      <c r="C7" s="69">
        <f>1/E5</f>
        <v>0.1111111111111111</v>
      </c>
      <c r="D7" s="69">
        <f>1/E6</f>
        <v>0.14285714285714285</v>
      </c>
      <c r="E7" s="69">
        <v>1</v>
      </c>
    </row>
    <row r="9" spans="1:19" x14ac:dyDescent="0.35">
      <c r="A9" s="67" t="s">
        <v>23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</row>
    <row r="11" spans="1:19" x14ac:dyDescent="0.35">
      <c r="A11" s="69"/>
      <c r="B11" s="66" t="s">
        <v>0</v>
      </c>
      <c r="C11" s="66" t="s">
        <v>19</v>
      </c>
      <c r="D11" s="66" t="s">
        <v>20</v>
      </c>
      <c r="E11" s="66" t="s">
        <v>21</v>
      </c>
    </row>
    <row r="12" spans="1:19" x14ac:dyDescent="0.35">
      <c r="A12" s="66" t="s">
        <v>0</v>
      </c>
      <c r="B12" s="69">
        <v>1</v>
      </c>
      <c r="C12" s="69">
        <v>8</v>
      </c>
      <c r="D12" s="69">
        <v>1</v>
      </c>
      <c r="E12" s="69">
        <v>9</v>
      </c>
    </row>
    <row r="13" spans="1:19" x14ac:dyDescent="0.35">
      <c r="A13" s="66" t="s">
        <v>19</v>
      </c>
      <c r="B13" s="69">
        <f>1/C12</f>
        <v>0.125</v>
      </c>
      <c r="C13" s="69">
        <v>1</v>
      </c>
      <c r="D13" s="69">
        <f>1/9</f>
        <v>0.1111111111111111</v>
      </c>
      <c r="E13" s="69">
        <v>3</v>
      </c>
    </row>
    <row r="14" spans="1:19" x14ac:dyDescent="0.35">
      <c r="A14" s="66" t="s">
        <v>20</v>
      </c>
      <c r="B14" s="69">
        <f>1/D12</f>
        <v>1</v>
      </c>
      <c r="C14" s="69">
        <f>1/D13</f>
        <v>9</v>
      </c>
      <c r="D14" s="69">
        <v>1</v>
      </c>
      <c r="E14" s="69">
        <v>9</v>
      </c>
    </row>
    <row r="15" spans="1:19" x14ac:dyDescent="0.35">
      <c r="A15" s="66" t="s">
        <v>21</v>
      </c>
      <c r="B15" s="69">
        <f>1/E12</f>
        <v>0.1111111111111111</v>
      </c>
      <c r="C15" s="69">
        <f>1/E13</f>
        <v>0.33333333333333331</v>
      </c>
      <c r="D15" s="69">
        <f>1/E14</f>
        <v>0.1111111111111111</v>
      </c>
      <c r="E15" s="69">
        <v>1</v>
      </c>
    </row>
    <row r="17" spans="1:19" x14ac:dyDescent="0.35">
      <c r="A17" s="67" t="s">
        <v>28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</row>
    <row r="19" spans="1:19" x14ac:dyDescent="0.35">
      <c r="A19" s="69"/>
      <c r="B19" s="66" t="s">
        <v>0</v>
      </c>
      <c r="C19" s="66" t="s">
        <v>19</v>
      </c>
      <c r="D19" s="66" t="s">
        <v>20</v>
      </c>
      <c r="E19" s="66" t="s">
        <v>21</v>
      </c>
    </row>
    <row r="20" spans="1:19" x14ac:dyDescent="0.35">
      <c r="A20" s="66" t="s">
        <v>0</v>
      </c>
      <c r="B20" s="69">
        <v>1</v>
      </c>
      <c r="C20" s="69">
        <v>1</v>
      </c>
      <c r="D20" s="69">
        <v>4</v>
      </c>
      <c r="E20" s="69">
        <v>8</v>
      </c>
    </row>
    <row r="21" spans="1:19" x14ac:dyDescent="0.35">
      <c r="A21" s="66" t="s">
        <v>19</v>
      </c>
      <c r="B21" s="69">
        <f>1/C20</f>
        <v>1</v>
      </c>
      <c r="C21" s="69">
        <v>1</v>
      </c>
      <c r="D21" s="69">
        <v>7</v>
      </c>
      <c r="E21" s="69">
        <v>7</v>
      </c>
    </row>
    <row r="22" spans="1:19" x14ac:dyDescent="0.35">
      <c r="A22" s="66" t="s">
        <v>20</v>
      </c>
      <c r="B22" s="69">
        <f>1/D20</f>
        <v>0.25</v>
      </c>
      <c r="C22" s="69">
        <f>1/D21</f>
        <v>0.14285714285714285</v>
      </c>
      <c r="D22" s="69">
        <v>1</v>
      </c>
      <c r="E22" s="69">
        <v>4</v>
      </c>
    </row>
    <row r="23" spans="1:19" x14ac:dyDescent="0.35">
      <c r="A23" s="66" t="s">
        <v>21</v>
      </c>
      <c r="B23" s="69">
        <f>1/E20</f>
        <v>0.125</v>
      </c>
      <c r="C23" s="69">
        <f>1/E21</f>
        <v>0.14285714285714285</v>
      </c>
      <c r="D23" s="69">
        <f>1/E22</f>
        <v>0.25</v>
      </c>
      <c r="E23" s="6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5DAA-ADA9-4448-AF87-B0025265F319}">
  <dimension ref="B1:CE24"/>
  <sheetViews>
    <sheetView zoomScale="91" workbookViewId="0">
      <selection activeCell="T5" sqref="T5"/>
    </sheetView>
  </sheetViews>
  <sheetFormatPr defaultColWidth="10.8125" defaultRowHeight="15.4" x14ac:dyDescent="0.45"/>
  <cols>
    <col min="1" max="1" width="10.8125" style="42"/>
    <col min="2" max="2" width="36.6875" style="42" bestFit="1" customWidth="1"/>
    <col min="3" max="19" width="2.1875" style="42" bestFit="1" customWidth="1"/>
    <col min="20" max="20" width="25.8125" style="42" bestFit="1" customWidth="1"/>
    <col min="21" max="21" width="10.8125" style="42"/>
    <col min="22" max="22" width="36.6875" style="42" bestFit="1" customWidth="1"/>
    <col min="23" max="39" width="2.1875" style="42" bestFit="1" customWidth="1"/>
    <col min="40" max="40" width="25.8125" style="42" bestFit="1" customWidth="1"/>
    <col min="41" max="41" width="10.8125" style="42"/>
    <col min="42" max="42" width="36.6875" style="42" bestFit="1" customWidth="1"/>
    <col min="43" max="59" width="2.1875" style="42" bestFit="1" customWidth="1"/>
    <col min="60" max="60" width="26.3125" style="42" bestFit="1" customWidth="1"/>
    <col min="61" max="61" width="10.8125" style="42"/>
    <col min="62" max="62" width="26.6875" style="42" bestFit="1" customWidth="1"/>
    <col min="63" max="63" width="68" style="42" bestFit="1" customWidth="1"/>
    <col min="64" max="64" width="10.8125" style="42"/>
    <col min="65" max="65" width="11.3125" style="42" bestFit="1" customWidth="1"/>
    <col min="66" max="73" width="2.1875" style="42" bestFit="1" customWidth="1"/>
    <col min="74" max="74" width="9.6875" style="42" bestFit="1" customWidth="1"/>
    <col min="75" max="82" width="2.1875" style="42" bestFit="1" customWidth="1"/>
    <col min="83" max="83" width="11.1875" style="42" bestFit="1" customWidth="1"/>
    <col min="84" max="16384" width="10.8125" style="42"/>
  </cols>
  <sheetData>
    <row r="1" spans="2:83" x14ac:dyDescent="0.45">
      <c r="B1" s="82" t="s">
        <v>26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  <c r="V1" s="82" t="s">
        <v>26</v>
      </c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4"/>
      <c r="AP1" s="82" t="s">
        <v>26</v>
      </c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4"/>
    </row>
    <row r="2" spans="2:83" x14ac:dyDescent="0.45">
      <c r="B2" s="85" t="s">
        <v>22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7"/>
      <c r="V2" s="85" t="s">
        <v>23</v>
      </c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7"/>
      <c r="AP2" s="85" t="s">
        <v>28</v>
      </c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7"/>
      <c r="BJ2" s="88" t="s">
        <v>34</v>
      </c>
      <c r="BK2" s="88"/>
      <c r="BM2" s="1"/>
      <c r="BN2" s="89" t="s">
        <v>41</v>
      </c>
      <c r="BO2" s="89"/>
      <c r="BP2" s="89"/>
      <c r="BQ2" s="89"/>
      <c r="BR2" s="89"/>
      <c r="BS2" s="89"/>
      <c r="BT2" s="89"/>
      <c r="BU2" s="89"/>
      <c r="BV2" s="46" t="s">
        <v>42</v>
      </c>
      <c r="BW2" s="89" t="s">
        <v>43</v>
      </c>
      <c r="BX2" s="89"/>
      <c r="BY2" s="89"/>
      <c r="BZ2" s="89"/>
      <c r="CA2" s="89"/>
      <c r="CB2" s="89"/>
      <c r="CC2" s="89"/>
      <c r="CD2" s="89"/>
      <c r="CE2" s="1"/>
    </row>
    <row r="3" spans="2:83" x14ac:dyDescent="0.45">
      <c r="B3" s="80" t="s">
        <v>24</v>
      </c>
      <c r="C3" s="81" t="s">
        <v>2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0" t="s">
        <v>25</v>
      </c>
      <c r="V3" s="80" t="s">
        <v>24</v>
      </c>
      <c r="W3" s="81" t="s">
        <v>2</v>
      </c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0" t="s">
        <v>25</v>
      </c>
      <c r="AP3" s="80" t="s">
        <v>24</v>
      </c>
      <c r="AQ3" s="81" t="s">
        <v>2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0" t="s">
        <v>25</v>
      </c>
      <c r="BJ3" s="2" t="s">
        <v>29</v>
      </c>
      <c r="BK3" s="2" t="s">
        <v>30</v>
      </c>
      <c r="BM3" s="45" t="s">
        <v>39</v>
      </c>
      <c r="BN3" s="3">
        <v>9</v>
      </c>
      <c r="BO3" s="3">
        <v>8</v>
      </c>
      <c r="BP3" s="3">
        <v>7</v>
      </c>
      <c r="BQ3" s="3">
        <v>6</v>
      </c>
      <c r="BR3" s="3">
        <v>5</v>
      </c>
      <c r="BS3" s="3">
        <v>4</v>
      </c>
      <c r="BT3" s="3">
        <v>3</v>
      </c>
      <c r="BU3" s="3">
        <v>2</v>
      </c>
      <c r="BV3" s="3">
        <v>1</v>
      </c>
      <c r="BW3" s="3">
        <v>2</v>
      </c>
      <c r="BX3" s="3">
        <v>3</v>
      </c>
      <c r="BY3" s="3">
        <v>4</v>
      </c>
      <c r="BZ3" s="3">
        <v>5</v>
      </c>
      <c r="CA3" s="3">
        <v>6</v>
      </c>
      <c r="CB3" s="3">
        <v>7</v>
      </c>
      <c r="CC3" s="3">
        <v>8</v>
      </c>
      <c r="CD3" s="3">
        <v>9</v>
      </c>
      <c r="CE3" s="45" t="s">
        <v>40</v>
      </c>
    </row>
    <row r="4" spans="2:83" x14ac:dyDescent="0.45">
      <c r="B4" s="80"/>
      <c r="C4" s="3">
        <v>9</v>
      </c>
      <c r="D4" s="3">
        <v>8</v>
      </c>
      <c r="E4" s="3">
        <v>7</v>
      </c>
      <c r="F4" s="3">
        <v>6</v>
      </c>
      <c r="G4" s="3">
        <v>5</v>
      </c>
      <c r="H4" s="3">
        <v>4</v>
      </c>
      <c r="I4" s="3">
        <v>3</v>
      </c>
      <c r="J4" s="3">
        <v>2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80"/>
      <c r="V4" s="80"/>
      <c r="W4" s="3">
        <v>9</v>
      </c>
      <c r="X4" s="3">
        <v>8</v>
      </c>
      <c r="Y4" s="3">
        <v>7</v>
      </c>
      <c r="Z4" s="3">
        <v>6</v>
      </c>
      <c r="AA4" s="3">
        <v>5</v>
      </c>
      <c r="AB4" s="3">
        <v>4</v>
      </c>
      <c r="AC4" s="3">
        <v>3</v>
      </c>
      <c r="AD4" s="3">
        <v>2</v>
      </c>
      <c r="AE4" s="3">
        <v>1</v>
      </c>
      <c r="AF4" s="3">
        <v>2</v>
      </c>
      <c r="AG4" s="3">
        <v>3</v>
      </c>
      <c r="AH4" s="3">
        <v>4</v>
      </c>
      <c r="AI4" s="3">
        <v>5</v>
      </c>
      <c r="AJ4" s="3">
        <v>6</v>
      </c>
      <c r="AK4" s="3">
        <v>7</v>
      </c>
      <c r="AL4" s="3">
        <v>8</v>
      </c>
      <c r="AM4" s="3">
        <v>9</v>
      </c>
      <c r="AN4" s="80"/>
      <c r="AP4" s="80"/>
      <c r="AQ4" s="3">
        <v>9</v>
      </c>
      <c r="AR4" s="3">
        <v>8</v>
      </c>
      <c r="AS4" s="3">
        <v>7</v>
      </c>
      <c r="AT4" s="3">
        <v>6</v>
      </c>
      <c r="AU4" s="3">
        <v>5</v>
      </c>
      <c r="AV4" s="3">
        <v>4</v>
      </c>
      <c r="AW4" s="3">
        <v>3</v>
      </c>
      <c r="AX4" s="3">
        <v>2</v>
      </c>
      <c r="AY4" s="3">
        <v>1</v>
      </c>
      <c r="AZ4" s="3">
        <v>2</v>
      </c>
      <c r="BA4" s="3">
        <v>3</v>
      </c>
      <c r="BB4" s="3">
        <v>4</v>
      </c>
      <c r="BC4" s="3">
        <v>5</v>
      </c>
      <c r="BD4" s="3">
        <v>6</v>
      </c>
      <c r="BE4" s="3">
        <v>7</v>
      </c>
      <c r="BF4" s="3">
        <v>8</v>
      </c>
      <c r="BG4" s="3">
        <v>9</v>
      </c>
      <c r="BH4" s="80"/>
      <c r="BJ4" s="3">
        <v>1</v>
      </c>
      <c r="BK4" s="3" t="s">
        <v>31</v>
      </c>
    </row>
    <row r="5" spans="2:83" x14ac:dyDescent="0.45">
      <c r="B5" s="4" t="s">
        <v>0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6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27</v>
      </c>
      <c r="V5" s="4" t="s">
        <v>0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27</v>
      </c>
      <c r="AP5" s="4" t="s">
        <v>0</v>
      </c>
      <c r="AQ5" s="4">
        <v>9</v>
      </c>
      <c r="AR5" s="6">
        <v>8</v>
      </c>
      <c r="AS5" s="5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5">
        <v>6</v>
      </c>
      <c r="BE5" s="5">
        <v>7</v>
      </c>
      <c r="BF5" s="5">
        <v>8</v>
      </c>
      <c r="BG5" s="7">
        <v>9</v>
      </c>
      <c r="BH5" s="7" t="s">
        <v>27</v>
      </c>
      <c r="BJ5" s="3">
        <v>3</v>
      </c>
      <c r="BK5" s="3" t="s">
        <v>35</v>
      </c>
    </row>
    <row r="6" spans="2:83" x14ac:dyDescent="0.45">
      <c r="B6" s="11" t="s">
        <v>0</v>
      </c>
      <c r="C6" s="11">
        <v>9</v>
      </c>
      <c r="D6" s="1">
        <v>8</v>
      </c>
      <c r="E6" s="1">
        <v>7</v>
      </c>
      <c r="F6" s="33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20</v>
      </c>
      <c r="V6" s="11" t="s">
        <v>0</v>
      </c>
      <c r="W6" s="38">
        <v>9</v>
      </c>
      <c r="X6" s="1">
        <v>8</v>
      </c>
      <c r="Y6" s="1">
        <v>7</v>
      </c>
      <c r="Z6" s="1">
        <v>6</v>
      </c>
      <c r="AA6" s="1">
        <v>5</v>
      </c>
      <c r="AB6" s="1">
        <v>4</v>
      </c>
      <c r="AC6" s="1">
        <v>3</v>
      </c>
      <c r="AD6" s="1">
        <v>2</v>
      </c>
      <c r="AE6" s="1">
        <v>1</v>
      </c>
      <c r="AF6" s="1">
        <v>2</v>
      </c>
      <c r="AG6" s="1">
        <v>3</v>
      </c>
      <c r="AH6" s="1">
        <v>4</v>
      </c>
      <c r="AI6" s="1">
        <v>5</v>
      </c>
      <c r="AJ6" s="1">
        <v>6</v>
      </c>
      <c r="AK6" s="1">
        <v>7</v>
      </c>
      <c r="AL6" s="1">
        <v>8</v>
      </c>
      <c r="AM6" s="12">
        <v>9</v>
      </c>
      <c r="AN6" s="12" t="s">
        <v>20</v>
      </c>
      <c r="AP6" s="11" t="s">
        <v>0</v>
      </c>
      <c r="AQ6" s="11">
        <v>9</v>
      </c>
      <c r="AR6" s="1">
        <v>8</v>
      </c>
      <c r="AS6" s="1">
        <v>7</v>
      </c>
      <c r="AT6" s="33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20</v>
      </c>
      <c r="BJ6" s="3">
        <v>5</v>
      </c>
      <c r="BK6" s="3" t="s">
        <v>36</v>
      </c>
    </row>
    <row r="7" spans="2:83" x14ac:dyDescent="0.45">
      <c r="B7" s="13" t="s">
        <v>0</v>
      </c>
      <c r="C7" s="13">
        <v>9</v>
      </c>
      <c r="D7" s="14">
        <v>8</v>
      </c>
      <c r="E7" s="14">
        <v>7</v>
      </c>
      <c r="F7" s="34">
        <v>6</v>
      </c>
      <c r="G7" s="14">
        <v>5</v>
      </c>
      <c r="H7" s="14">
        <v>4</v>
      </c>
      <c r="I7" s="14">
        <v>3</v>
      </c>
      <c r="J7" s="14">
        <v>2</v>
      </c>
      <c r="K7" s="14">
        <v>1</v>
      </c>
      <c r="L7" s="14">
        <v>2</v>
      </c>
      <c r="M7" s="14">
        <v>3</v>
      </c>
      <c r="N7" s="14">
        <v>4</v>
      </c>
      <c r="O7" s="14">
        <v>5</v>
      </c>
      <c r="P7" s="14">
        <v>6</v>
      </c>
      <c r="Q7" s="14">
        <v>7</v>
      </c>
      <c r="R7" s="14">
        <v>8</v>
      </c>
      <c r="S7" s="15">
        <v>9</v>
      </c>
      <c r="T7" s="15" t="s">
        <v>21</v>
      </c>
      <c r="V7" s="13" t="s">
        <v>0</v>
      </c>
      <c r="W7" s="40">
        <v>9</v>
      </c>
      <c r="X7" s="14">
        <v>8</v>
      </c>
      <c r="Y7" s="14">
        <v>7</v>
      </c>
      <c r="Z7" s="14">
        <v>6</v>
      </c>
      <c r="AA7" s="14">
        <v>5</v>
      </c>
      <c r="AB7" s="14">
        <v>4</v>
      </c>
      <c r="AC7" s="14">
        <v>3</v>
      </c>
      <c r="AD7" s="14">
        <v>2</v>
      </c>
      <c r="AE7" s="14">
        <v>1</v>
      </c>
      <c r="AF7" s="14">
        <v>2</v>
      </c>
      <c r="AG7" s="14">
        <v>3</v>
      </c>
      <c r="AH7" s="14">
        <v>4</v>
      </c>
      <c r="AI7" s="14">
        <v>5</v>
      </c>
      <c r="AJ7" s="14">
        <v>6</v>
      </c>
      <c r="AK7" s="14">
        <v>7</v>
      </c>
      <c r="AL7" s="14">
        <v>8</v>
      </c>
      <c r="AM7" s="15">
        <v>9</v>
      </c>
      <c r="AN7" s="15" t="s">
        <v>21</v>
      </c>
      <c r="AP7" s="13" t="s">
        <v>0</v>
      </c>
      <c r="AQ7" s="13">
        <v>9</v>
      </c>
      <c r="AR7" s="14">
        <v>8</v>
      </c>
      <c r="AS7" s="14">
        <v>7</v>
      </c>
      <c r="AT7" s="14">
        <v>6</v>
      </c>
      <c r="AU7" s="34">
        <v>5</v>
      </c>
      <c r="AV7" s="14">
        <v>4</v>
      </c>
      <c r="AW7" s="14">
        <v>3</v>
      </c>
      <c r="AX7" s="14">
        <v>2</v>
      </c>
      <c r="AY7" s="14">
        <v>1</v>
      </c>
      <c r="AZ7" s="14">
        <v>2</v>
      </c>
      <c r="BA7" s="14">
        <v>3</v>
      </c>
      <c r="BB7" s="14">
        <v>4</v>
      </c>
      <c r="BC7" s="14">
        <v>5</v>
      </c>
      <c r="BD7" s="14">
        <v>6</v>
      </c>
      <c r="BE7" s="14">
        <v>7</v>
      </c>
      <c r="BF7" s="14">
        <v>8</v>
      </c>
      <c r="BG7" s="15">
        <v>9</v>
      </c>
      <c r="BH7" s="15" t="s">
        <v>21</v>
      </c>
      <c r="BJ7" s="3">
        <v>7</v>
      </c>
      <c r="BK7" s="3" t="s">
        <v>37</v>
      </c>
    </row>
    <row r="8" spans="2:83" x14ac:dyDescent="0.45">
      <c r="B8" s="4" t="s">
        <v>19</v>
      </c>
      <c r="C8" s="11">
        <v>9</v>
      </c>
      <c r="D8" s="33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7" t="s">
        <v>20</v>
      </c>
      <c r="V8" s="4" t="s">
        <v>19</v>
      </c>
      <c r="W8" s="11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36">
        <v>9</v>
      </c>
      <c r="AN8" s="7" t="s">
        <v>20</v>
      </c>
      <c r="AP8" s="4" t="s">
        <v>19</v>
      </c>
      <c r="AQ8" s="11">
        <v>9</v>
      </c>
      <c r="AR8" s="1">
        <v>8</v>
      </c>
      <c r="AS8" s="33">
        <v>7</v>
      </c>
      <c r="AT8" s="1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7" t="s">
        <v>20</v>
      </c>
      <c r="BJ8" s="3">
        <v>9</v>
      </c>
      <c r="BK8" s="3" t="s">
        <v>32</v>
      </c>
    </row>
    <row r="9" spans="2:83" x14ac:dyDescent="0.45">
      <c r="B9" s="13" t="s">
        <v>19</v>
      </c>
      <c r="C9" s="40">
        <v>9</v>
      </c>
      <c r="D9" s="14">
        <v>8</v>
      </c>
      <c r="E9" s="14">
        <v>7</v>
      </c>
      <c r="F9" s="14">
        <v>6</v>
      </c>
      <c r="G9" s="14">
        <v>5</v>
      </c>
      <c r="H9" s="14">
        <v>4</v>
      </c>
      <c r="I9" s="14">
        <v>3</v>
      </c>
      <c r="J9" s="14">
        <v>2</v>
      </c>
      <c r="K9" s="14">
        <v>1</v>
      </c>
      <c r="L9" s="14">
        <v>2</v>
      </c>
      <c r="M9" s="14">
        <v>3</v>
      </c>
      <c r="N9" s="14">
        <v>4</v>
      </c>
      <c r="O9" s="14">
        <v>5</v>
      </c>
      <c r="P9" s="14">
        <v>6</v>
      </c>
      <c r="Q9" s="14">
        <v>7</v>
      </c>
      <c r="R9" s="14">
        <v>8</v>
      </c>
      <c r="S9" s="15">
        <v>9</v>
      </c>
      <c r="T9" s="15" t="s">
        <v>21</v>
      </c>
      <c r="V9" s="13" t="s">
        <v>19</v>
      </c>
      <c r="W9" s="40">
        <v>9</v>
      </c>
      <c r="X9" s="14">
        <v>8</v>
      </c>
      <c r="Y9" s="14">
        <v>7</v>
      </c>
      <c r="Z9" s="14">
        <v>6</v>
      </c>
      <c r="AA9" s="14">
        <v>5</v>
      </c>
      <c r="AB9" s="14">
        <v>4</v>
      </c>
      <c r="AC9" s="14">
        <v>3</v>
      </c>
      <c r="AD9" s="14">
        <v>2</v>
      </c>
      <c r="AE9" s="14">
        <v>1</v>
      </c>
      <c r="AF9" s="14">
        <v>2</v>
      </c>
      <c r="AG9" s="14">
        <v>3</v>
      </c>
      <c r="AH9" s="14">
        <v>4</v>
      </c>
      <c r="AI9" s="14">
        <v>5</v>
      </c>
      <c r="AJ9" s="14">
        <v>6</v>
      </c>
      <c r="AK9" s="14">
        <v>7</v>
      </c>
      <c r="AL9" s="14">
        <v>8</v>
      </c>
      <c r="AM9" s="15">
        <v>9</v>
      </c>
      <c r="AN9" s="15" t="s">
        <v>21</v>
      </c>
      <c r="AP9" s="13" t="s">
        <v>19</v>
      </c>
      <c r="AQ9" s="13">
        <v>9</v>
      </c>
      <c r="AR9" s="14">
        <v>8</v>
      </c>
      <c r="AS9" s="14">
        <v>7</v>
      </c>
      <c r="AT9" s="14">
        <v>6</v>
      </c>
      <c r="AU9" s="34">
        <v>5</v>
      </c>
      <c r="AV9" s="14">
        <v>4</v>
      </c>
      <c r="AW9" s="14">
        <v>3</v>
      </c>
      <c r="AX9" s="14">
        <v>2</v>
      </c>
      <c r="AY9" s="14">
        <v>1</v>
      </c>
      <c r="AZ9" s="14">
        <v>2</v>
      </c>
      <c r="BA9" s="14">
        <v>3</v>
      </c>
      <c r="BB9" s="14">
        <v>4</v>
      </c>
      <c r="BC9" s="14">
        <v>5</v>
      </c>
      <c r="BD9" s="14">
        <v>6</v>
      </c>
      <c r="BE9" s="14">
        <v>7</v>
      </c>
      <c r="BF9" s="14">
        <v>8</v>
      </c>
      <c r="BG9" s="15">
        <v>9</v>
      </c>
      <c r="BH9" s="15" t="s">
        <v>21</v>
      </c>
      <c r="BJ9" s="3" t="s">
        <v>33</v>
      </c>
      <c r="BK9" s="3" t="s">
        <v>38</v>
      </c>
    </row>
    <row r="10" spans="2:83" x14ac:dyDescent="0.45">
      <c r="B10" s="20" t="s">
        <v>20</v>
      </c>
      <c r="C10" s="20">
        <v>9</v>
      </c>
      <c r="D10" s="21">
        <v>8</v>
      </c>
      <c r="E10" s="43">
        <v>7</v>
      </c>
      <c r="F10" s="21">
        <v>6</v>
      </c>
      <c r="G10" s="21">
        <v>5</v>
      </c>
      <c r="H10" s="21">
        <v>4</v>
      </c>
      <c r="I10" s="21">
        <v>3</v>
      </c>
      <c r="J10" s="21">
        <v>2</v>
      </c>
      <c r="K10" s="21">
        <v>1</v>
      </c>
      <c r="L10" s="21">
        <v>2</v>
      </c>
      <c r="M10" s="21">
        <v>3</v>
      </c>
      <c r="N10" s="21">
        <v>4</v>
      </c>
      <c r="O10" s="21">
        <v>5</v>
      </c>
      <c r="P10" s="21">
        <v>6</v>
      </c>
      <c r="Q10" s="21">
        <v>7</v>
      </c>
      <c r="R10" s="21">
        <v>8</v>
      </c>
      <c r="S10" s="22">
        <v>9</v>
      </c>
      <c r="T10" s="22" t="s">
        <v>21</v>
      </c>
      <c r="V10" s="20" t="s">
        <v>20</v>
      </c>
      <c r="W10" s="44">
        <v>9</v>
      </c>
      <c r="X10" s="21">
        <v>8</v>
      </c>
      <c r="Y10" s="21">
        <v>7</v>
      </c>
      <c r="Z10" s="21">
        <v>6</v>
      </c>
      <c r="AA10" s="21">
        <v>5</v>
      </c>
      <c r="AB10" s="21">
        <v>4</v>
      </c>
      <c r="AC10" s="21">
        <v>3</v>
      </c>
      <c r="AD10" s="21">
        <v>2</v>
      </c>
      <c r="AE10" s="21">
        <v>1</v>
      </c>
      <c r="AF10" s="21">
        <v>2</v>
      </c>
      <c r="AG10" s="21">
        <v>3</v>
      </c>
      <c r="AH10" s="21">
        <v>4</v>
      </c>
      <c r="AI10" s="21">
        <v>5</v>
      </c>
      <c r="AJ10" s="21">
        <v>6</v>
      </c>
      <c r="AK10" s="21">
        <v>7</v>
      </c>
      <c r="AL10" s="21">
        <v>8</v>
      </c>
      <c r="AM10" s="22">
        <v>9</v>
      </c>
      <c r="AN10" s="22" t="s">
        <v>21</v>
      </c>
      <c r="AP10" s="20" t="s">
        <v>20</v>
      </c>
      <c r="AQ10" s="20">
        <v>9</v>
      </c>
      <c r="AR10" s="21">
        <v>8</v>
      </c>
      <c r="AS10" s="21">
        <v>7</v>
      </c>
      <c r="AT10" s="21">
        <v>6</v>
      </c>
      <c r="AU10" s="21">
        <v>5</v>
      </c>
      <c r="AV10" s="43">
        <v>4</v>
      </c>
      <c r="AW10" s="21">
        <v>3</v>
      </c>
      <c r="AX10" s="21">
        <v>2</v>
      </c>
      <c r="AY10" s="21">
        <v>1</v>
      </c>
      <c r="AZ10" s="21">
        <v>2</v>
      </c>
      <c r="BA10" s="21">
        <v>3</v>
      </c>
      <c r="BB10" s="21">
        <v>4</v>
      </c>
      <c r="BC10" s="21">
        <v>5</v>
      </c>
      <c r="BD10" s="21">
        <v>6</v>
      </c>
      <c r="BE10" s="21">
        <v>7</v>
      </c>
      <c r="BF10" s="21">
        <v>8</v>
      </c>
      <c r="BG10" s="22">
        <v>9</v>
      </c>
      <c r="BH10" s="22" t="s">
        <v>21</v>
      </c>
    </row>
    <row r="11" spans="2:83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83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83" x14ac:dyDescent="0.45">
      <c r="T13" s="1"/>
    </row>
    <row r="16" spans="2:83" ht="16.05" customHeight="1" x14ac:dyDescent="0.45"/>
    <row r="18" ht="16.05" customHeight="1" x14ac:dyDescent="0.45"/>
    <row r="20" ht="16.05" customHeight="1" x14ac:dyDescent="0.45"/>
    <row r="22" ht="16.05" customHeight="1" x14ac:dyDescent="0.45"/>
    <row r="24" ht="16.05" customHeight="1" x14ac:dyDescent="0.45"/>
  </sheetData>
  <mergeCells count="18">
    <mergeCell ref="BJ2:BK2"/>
    <mergeCell ref="BN2:BU2"/>
    <mergeCell ref="BW2:CD2"/>
    <mergeCell ref="AP1:BH1"/>
    <mergeCell ref="AP2:BH2"/>
    <mergeCell ref="AP3:AP4"/>
    <mergeCell ref="AQ3:BG3"/>
    <mergeCell ref="BH3:BH4"/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7182-309B-F144-A5AD-1B747900D646}">
  <dimension ref="B1:CE109"/>
  <sheetViews>
    <sheetView topLeftCell="AQ104" zoomScale="87" zoomScaleNormal="150" workbookViewId="0">
      <selection activeCell="AP1" sqref="AP1:BH109"/>
    </sheetView>
  </sheetViews>
  <sheetFormatPr defaultColWidth="10.8125" defaultRowHeight="15.4" x14ac:dyDescent="0.45"/>
  <cols>
    <col min="1" max="1" width="10.8125" style="42"/>
    <col min="2" max="2" width="27.1875" style="42" bestFit="1" customWidth="1"/>
    <col min="3" max="19" width="2.1875" style="42" bestFit="1" customWidth="1"/>
    <col min="20" max="20" width="27.1875" style="42" bestFit="1" customWidth="1"/>
    <col min="21" max="21" width="10.8125" style="42"/>
    <col min="22" max="22" width="27.1875" style="42" bestFit="1" customWidth="1"/>
    <col min="23" max="39" width="2.3125" style="42" bestFit="1" customWidth="1"/>
    <col min="40" max="40" width="27.1875" style="42" bestFit="1" customWidth="1"/>
    <col min="41" max="41" width="10.8125" style="42"/>
    <col min="42" max="42" width="27.5" style="42" bestFit="1" customWidth="1"/>
    <col min="43" max="59" width="2.1875" style="42" bestFit="1" customWidth="1"/>
    <col min="60" max="60" width="27.5" style="42" bestFit="1" customWidth="1"/>
    <col min="61" max="61" width="10.8125" style="42"/>
    <col min="62" max="62" width="26.6875" style="42" bestFit="1" customWidth="1"/>
    <col min="63" max="63" width="68" style="42" bestFit="1" customWidth="1"/>
    <col min="64" max="64" width="10.8125" style="42" customWidth="1"/>
    <col min="65" max="65" width="11.3125" style="42" bestFit="1" customWidth="1"/>
    <col min="66" max="73" width="2.1875" style="42" bestFit="1" customWidth="1"/>
    <col min="74" max="74" width="9" style="42" bestFit="1" customWidth="1"/>
    <col min="75" max="82" width="2.1875" style="42" bestFit="1" customWidth="1"/>
    <col min="83" max="83" width="11.1875" style="42" bestFit="1" customWidth="1"/>
    <col min="84" max="16384" width="10.8125" style="42"/>
  </cols>
  <sheetData>
    <row r="1" spans="2:83" x14ac:dyDescent="0.45">
      <c r="B1" s="82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  <c r="V1" s="82" t="s">
        <v>0</v>
      </c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4"/>
      <c r="AP1" s="82" t="s">
        <v>0</v>
      </c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4"/>
    </row>
    <row r="2" spans="2:83" x14ac:dyDescent="0.45">
      <c r="B2" s="85" t="s">
        <v>22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7"/>
      <c r="V2" s="85" t="s">
        <v>23</v>
      </c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7"/>
      <c r="AP2" s="85" t="s">
        <v>28</v>
      </c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7"/>
    </row>
    <row r="3" spans="2:83" x14ac:dyDescent="0.45">
      <c r="B3" s="80" t="s">
        <v>1</v>
      </c>
      <c r="C3" s="81" t="s">
        <v>2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0" t="s">
        <v>3</v>
      </c>
      <c r="V3" s="80" t="s">
        <v>1</v>
      </c>
      <c r="W3" s="81" t="s">
        <v>2</v>
      </c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0" t="s">
        <v>3</v>
      </c>
      <c r="AP3" s="80" t="s">
        <v>1</v>
      </c>
      <c r="AQ3" s="81" t="s">
        <v>2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0" t="s">
        <v>3</v>
      </c>
    </row>
    <row r="4" spans="2:83" ht="16.05" customHeight="1" x14ac:dyDescent="0.45">
      <c r="B4" s="80"/>
      <c r="C4" s="3">
        <v>9</v>
      </c>
      <c r="D4" s="3">
        <v>8</v>
      </c>
      <c r="E4" s="3">
        <v>7</v>
      </c>
      <c r="F4" s="3">
        <v>6</v>
      </c>
      <c r="G4" s="3">
        <v>5</v>
      </c>
      <c r="H4" s="3">
        <v>4</v>
      </c>
      <c r="I4" s="3">
        <v>3</v>
      </c>
      <c r="J4" s="3">
        <v>2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80"/>
      <c r="V4" s="80"/>
      <c r="W4" s="3">
        <v>9</v>
      </c>
      <c r="X4" s="3">
        <v>8</v>
      </c>
      <c r="Y4" s="3">
        <v>7</v>
      </c>
      <c r="Z4" s="3">
        <v>6</v>
      </c>
      <c r="AA4" s="3">
        <v>5</v>
      </c>
      <c r="AB4" s="3">
        <v>4</v>
      </c>
      <c r="AC4" s="3">
        <v>3</v>
      </c>
      <c r="AD4" s="3">
        <v>2</v>
      </c>
      <c r="AE4" s="3">
        <v>1</v>
      </c>
      <c r="AF4" s="3">
        <v>2</v>
      </c>
      <c r="AG4" s="3">
        <v>3</v>
      </c>
      <c r="AH4" s="3">
        <v>4</v>
      </c>
      <c r="AI4" s="3">
        <v>5</v>
      </c>
      <c r="AJ4" s="3">
        <v>6</v>
      </c>
      <c r="AK4" s="3">
        <v>7</v>
      </c>
      <c r="AL4" s="3">
        <v>8</v>
      </c>
      <c r="AM4" s="3">
        <v>9</v>
      </c>
      <c r="AN4" s="80"/>
      <c r="AP4" s="80"/>
      <c r="AQ4" s="3">
        <v>9</v>
      </c>
      <c r="AR4" s="3">
        <v>8</v>
      </c>
      <c r="AS4" s="3">
        <v>7</v>
      </c>
      <c r="AT4" s="3">
        <v>6</v>
      </c>
      <c r="AU4" s="3">
        <v>5</v>
      </c>
      <c r="AV4" s="3">
        <v>4</v>
      </c>
      <c r="AW4" s="3">
        <v>3</v>
      </c>
      <c r="AX4" s="3">
        <v>2</v>
      </c>
      <c r="AY4" s="3">
        <v>1</v>
      </c>
      <c r="AZ4" s="3">
        <v>2</v>
      </c>
      <c r="BA4" s="3">
        <v>3</v>
      </c>
      <c r="BB4" s="3">
        <v>4</v>
      </c>
      <c r="BC4" s="3">
        <v>5</v>
      </c>
      <c r="BD4" s="3">
        <v>6</v>
      </c>
      <c r="BE4" s="3">
        <v>7</v>
      </c>
      <c r="BF4" s="3">
        <v>8</v>
      </c>
      <c r="BG4" s="3">
        <v>9</v>
      </c>
      <c r="BH4" s="80"/>
    </row>
    <row r="5" spans="2:83" x14ac:dyDescent="0.4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5">
        <v>1</v>
      </c>
      <c r="L5" s="5">
        <v>2</v>
      </c>
      <c r="M5" s="58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5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6">
        <v>6</v>
      </c>
      <c r="BE5" s="5">
        <v>7</v>
      </c>
      <c r="BF5" s="5">
        <v>8</v>
      </c>
      <c r="BG5" s="7">
        <v>9</v>
      </c>
      <c r="BH5" s="7" t="s">
        <v>5</v>
      </c>
    </row>
    <row r="6" spans="2:83" ht="16.05" customHeight="1" x14ac:dyDescent="0.4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33">
        <v>8</v>
      </c>
      <c r="BG6" s="12">
        <v>9</v>
      </c>
      <c r="BH6" s="12" t="s">
        <v>6</v>
      </c>
      <c r="BJ6" s="88" t="s">
        <v>34</v>
      </c>
      <c r="BK6" s="88"/>
      <c r="BM6" s="1"/>
      <c r="BN6" s="89" t="s">
        <v>41</v>
      </c>
      <c r="BO6" s="89"/>
      <c r="BP6" s="89"/>
      <c r="BQ6" s="89"/>
      <c r="BR6" s="89"/>
      <c r="BS6" s="89"/>
      <c r="BT6" s="89"/>
      <c r="BU6" s="89"/>
      <c r="BV6" s="46" t="s">
        <v>42</v>
      </c>
      <c r="BW6" s="89" t="s">
        <v>43</v>
      </c>
      <c r="BX6" s="89"/>
      <c r="BY6" s="89"/>
      <c r="BZ6" s="89"/>
      <c r="CA6" s="89"/>
      <c r="CB6" s="89"/>
      <c r="CC6" s="89"/>
      <c r="CD6" s="89"/>
      <c r="CE6" s="1"/>
    </row>
    <row r="7" spans="2:83" x14ac:dyDescent="0.4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59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38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12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33">
        <v>4</v>
      </c>
      <c r="AW7" s="18">
        <v>3</v>
      </c>
      <c r="AX7" s="1">
        <v>2</v>
      </c>
      <c r="AY7" s="1">
        <v>1</v>
      </c>
      <c r="AZ7" s="1">
        <v>2</v>
      </c>
      <c r="BA7" s="1">
        <v>3</v>
      </c>
      <c r="BB7" s="1">
        <v>4</v>
      </c>
      <c r="BC7" s="1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2" t="s">
        <v>29</v>
      </c>
      <c r="BK7" s="2" t="s">
        <v>30</v>
      </c>
      <c r="BM7" s="45" t="s">
        <v>39</v>
      </c>
      <c r="BN7" s="3">
        <v>9</v>
      </c>
      <c r="BO7" s="3">
        <v>8</v>
      </c>
      <c r="BP7" s="3">
        <v>7</v>
      </c>
      <c r="BQ7" s="3">
        <v>6</v>
      </c>
      <c r="BR7" s="3">
        <v>5</v>
      </c>
      <c r="BS7" s="3">
        <v>4</v>
      </c>
      <c r="BT7" s="3">
        <v>3</v>
      </c>
      <c r="BU7" s="3">
        <v>2</v>
      </c>
      <c r="BV7" s="3">
        <v>1</v>
      </c>
      <c r="BW7" s="3">
        <v>2</v>
      </c>
      <c r="BX7" s="3">
        <v>3</v>
      </c>
      <c r="BY7" s="3">
        <v>4</v>
      </c>
      <c r="BZ7" s="3">
        <v>5</v>
      </c>
      <c r="CA7" s="3">
        <v>6</v>
      </c>
      <c r="CB7" s="3">
        <v>7</v>
      </c>
      <c r="CC7" s="3">
        <v>8</v>
      </c>
      <c r="CD7" s="3">
        <v>9</v>
      </c>
      <c r="CE7" s="45" t="s">
        <v>40</v>
      </c>
    </row>
    <row r="8" spans="2:83" ht="16.05" customHeight="1" x14ac:dyDescent="0.4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59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17" t="s">
        <v>4</v>
      </c>
      <c r="W8" s="38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12">
        <v>9</v>
      </c>
      <c r="AN8" s="12" t="s">
        <v>8</v>
      </c>
      <c r="AP8" s="17" t="s">
        <v>4</v>
      </c>
      <c r="AQ8" s="38">
        <v>9</v>
      </c>
      <c r="AR8" s="1">
        <v>8</v>
      </c>
      <c r="AS8" s="1">
        <v>7</v>
      </c>
      <c r="AT8" s="1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1</v>
      </c>
      <c r="BK8" s="3" t="s">
        <v>31</v>
      </c>
    </row>
    <row r="9" spans="2:83" x14ac:dyDescent="0.4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59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38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2">
        <v>9</v>
      </c>
      <c r="AN9" s="12" t="s">
        <v>9</v>
      </c>
      <c r="AP9" s="17" t="s">
        <v>4</v>
      </c>
      <c r="AQ9" s="38">
        <v>9</v>
      </c>
      <c r="AR9" s="1">
        <v>8</v>
      </c>
      <c r="AS9" s="1">
        <v>7</v>
      </c>
      <c r="AT9" s="1">
        <v>6</v>
      </c>
      <c r="AU9" s="1">
        <v>5</v>
      </c>
      <c r="AV9" s="1">
        <v>4</v>
      </c>
      <c r="AW9" s="1">
        <v>3</v>
      </c>
      <c r="AX9" s="1">
        <v>2</v>
      </c>
      <c r="AY9" s="1">
        <v>1</v>
      </c>
      <c r="AZ9" s="1">
        <v>2</v>
      </c>
      <c r="BA9" s="1">
        <v>3</v>
      </c>
      <c r="BB9" s="1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3</v>
      </c>
      <c r="BK9" s="3" t="s">
        <v>35</v>
      </c>
    </row>
    <row r="10" spans="2:83" ht="16.05" customHeight="1" x14ac:dyDescent="0.4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1">
        <v>1</v>
      </c>
      <c r="L10" s="1">
        <v>2</v>
      </c>
      <c r="M10" s="1">
        <v>3</v>
      </c>
      <c r="N10" s="59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11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36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1">
        <v>4</v>
      </c>
      <c r="AW10" s="18">
        <v>3</v>
      </c>
      <c r="AX10" s="1">
        <v>2</v>
      </c>
      <c r="AY10" s="1">
        <v>1</v>
      </c>
      <c r="AZ10" s="1">
        <v>2</v>
      </c>
      <c r="BA10" s="1">
        <v>3</v>
      </c>
      <c r="BB10" s="1">
        <v>4</v>
      </c>
      <c r="BC10" s="1">
        <v>5</v>
      </c>
      <c r="BD10" s="1">
        <v>6</v>
      </c>
      <c r="BE10" s="1">
        <v>7</v>
      </c>
      <c r="BF10" s="1">
        <v>8</v>
      </c>
      <c r="BG10" s="36">
        <v>9</v>
      </c>
      <c r="BH10" s="12" t="s">
        <v>10</v>
      </c>
      <c r="BJ10" s="3">
        <v>5</v>
      </c>
      <c r="BK10" s="3" t="s">
        <v>36</v>
      </c>
    </row>
    <row r="11" spans="2:83" x14ac:dyDescent="0.4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59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11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36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1">
        <v>2</v>
      </c>
      <c r="AY11" s="1">
        <v>1</v>
      </c>
      <c r="AZ11" s="1">
        <v>2</v>
      </c>
      <c r="BA11" s="1">
        <v>3</v>
      </c>
      <c r="BB11" s="1">
        <v>4</v>
      </c>
      <c r="BC11" s="1">
        <v>5</v>
      </c>
      <c r="BD11" s="33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7</v>
      </c>
      <c r="BK11" s="3" t="s">
        <v>37</v>
      </c>
    </row>
    <row r="12" spans="2:83" ht="16.05" customHeight="1" x14ac:dyDescent="0.4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59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11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36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1">
        <v>2</v>
      </c>
      <c r="BA12" s="1">
        <v>3</v>
      </c>
      <c r="BB12" s="1">
        <v>4</v>
      </c>
      <c r="BC12" s="1">
        <v>5</v>
      </c>
      <c r="BD12" s="1">
        <v>6</v>
      </c>
      <c r="BE12" s="33">
        <v>7</v>
      </c>
      <c r="BF12" s="1">
        <v>8</v>
      </c>
      <c r="BG12" s="12">
        <v>9</v>
      </c>
      <c r="BH12" s="12" t="s">
        <v>12</v>
      </c>
      <c r="BJ12" s="3">
        <v>9</v>
      </c>
      <c r="BK12" s="3" t="s">
        <v>32</v>
      </c>
    </row>
    <row r="13" spans="2:83" x14ac:dyDescent="0.4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59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17" t="s">
        <v>4</v>
      </c>
      <c r="W13" s="11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36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1">
        <v>3</v>
      </c>
      <c r="AX13" s="1">
        <v>2</v>
      </c>
      <c r="AY13" s="1">
        <v>1</v>
      </c>
      <c r="AZ13" s="1">
        <v>2</v>
      </c>
      <c r="BA13" s="1">
        <v>3</v>
      </c>
      <c r="BB13" s="1">
        <v>4</v>
      </c>
      <c r="BC13" s="1">
        <v>5</v>
      </c>
      <c r="BD13" s="1">
        <v>6</v>
      </c>
      <c r="BE13" s="33">
        <v>7</v>
      </c>
      <c r="BF13" s="1">
        <v>8</v>
      </c>
      <c r="BG13" s="12">
        <v>9</v>
      </c>
      <c r="BH13" s="12" t="s">
        <v>13</v>
      </c>
      <c r="BJ13" s="3" t="s">
        <v>33</v>
      </c>
      <c r="BK13" s="3" t="s">
        <v>38</v>
      </c>
    </row>
    <row r="14" spans="2:83" x14ac:dyDescent="0.4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59">
        <v>7</v>
      </c>
      <c r="R14" s="1">
        <v>8</v>
      </c>
      <c r="S14" s="12">
        <v>9</v>
      </c>
      <c r="T14" s="12" t="s">
        <v>14</v>
      </c>
      <c r="V14" s="17" t="s">
        <v>4</v>
      </c>
      <c r="W14" s="38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12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1">
        <v>2</v>
      </c>
      <c r="BA14" s="33">
        <v>3</v>
      </c>
      <c r="BB14" s="1">
        <v>4</v>
      </c>
      <c r="BC14" s="1">
        <v>5</v>
      </c>
      <c r="BD14" s="1">
        <v>6</v>
      </c>
      <c r="BE14" s="1">
        <v>7</v>
      </c>
      <c r="BF14" s="1">
        <v>8</v>
      </c>
      <c r="BG14" s="12">
        <v>9</v>
      </c>
      <c r="BH14" s="12" t="s">
        <v>14</v>
      </c>
    </row>
    <row r="15" spans="2:83" x14ac:dyDescent="0.4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1">
        <v>1</v>
      </c>
      <c r="L15" s="1">
        <v>2</v>
      </c>
      <c r="M15" s="59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38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12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33">
        <v>3</v>
      </c>
      <c r="AX15" s="1">
        <v>2</v>
      </c>
      <c r="AY15" s="1">
        <v>1</v>
      </c>
      <c r="AZ15" s="1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4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42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59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11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36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1">
        <v>3</v>
      </c>
      <c r="AX16" s="1">
        <v>2</v>
      </c>
      <c r="AY16" s="1">
        <v>1</v>
      </c>
      <c r="AZ16" s="1">
        <v>2</v>
      </c>
      <c r="BA16" s="1">
        <v>3</v>
      </c>
      <c r="BB16" s="1">
        <v>4</v>
      </c>
      <c r="BC16" s="1">
        <v>5</v>
      </c>
      <c r="BD16" s="1">
        <v>6</v>
      </c>
      <c r="BE16" s="33">
        <v>7</v>
      </c>
      <c r="BF16" s="1">
        <v>8</v>
      </c>
      <c r="BG16" s="12">
        <v>9</v>
      </c>
      <c r="BH16" s="12" t="s">
        <v>16</v>
      </c>
    </row>
    <row r="17" spans="2:60" x14ac:dyDescent="0.4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1">
        <v>4</v>
      </c>
      <c r="O17" s="1">
        <v>5</v>
      </c>
      <c r="P17" s="59">
        <v>6</v>
      </c>
      <c r="Q17" s="1">
        <v>7</v>
      </c>
      <c r="R17" s="1">
        <v>8</v>
      </c>
      <c r="S17" s="12">
        <v>9</v>
      </c>
      <c r="T17" s="12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1">
        <v>4</v>
      </c>
      <c r="AW17" s="1">
        <v>3</v>
      </c>
      <c r="AX17" s="1">
        <v>2</v>
      </c>
      <c r="AY17" s="1">
        <v>1</v>
      </c>
      <c r="AZ17" s="1">
        <v>2</v>
      </c>
      <c r="BA17" s="1">
        <v>3</v>
      </c>
      <c r="BB17" s="1">
        <v>4</v>
      </c>
      <c r="BC17" s="1">
        <v>5</v>
      </c>
      <c r="BD17" s="1">
        <v>6</v>
      </c>
      <c r="BE17" s="33">
        <v>7</v>
      </c>
      <c r="BF17" s="1">
        <v>8</v>
      </c>
      <c r="BG17" s="12">
        <v>9</v>
      </c>
      <c r="BH17" s="12" t="s">
        <v>17</v>
      </c>
    </row>
    <row r="18" spans="2:60" x14ac:dyDescent="0.4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60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40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15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34">
        <v>3</v>
      </c>
      <c r="AX18" s="14">
        <v>2</v>
      </c>
      <c r="AY18" s="14">
        <v>1</v>
      </c>
      <c r="AZ18" s="14">
        <v>2</v>
      </c>
      <c r="BA18" s="1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4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1">
        <v>1</v>
      </c>
      <c r="L19" s="59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1">
        <v>4</v>
      </c>
      <c r="AW19" s="1">
        <v>3</v>
      </c>
      <c r="AX19" s="1">
        <v>2</v>
      </c>
      <c r="AY19" s="1">
        <v>1</v>
      </c>
      <c r="AZ19" s="1">
        <v>2</v>
      </c>
      <c r="BA19" s="33">
        <v>3</v>
      </c>
      <c r="BB19" s="1">
        <v>4</v>
      </c>
      <c r="BC19" s="1">
        <v>5</v>
      </c>
      <c r="BD19" s="1">
        <v>6</v>
      </c>
      <c r="BE19" s="1">
        <v>7</v>
      </c>
      <c r="BF19" s="1">
        <v>8</v>
      </c>
      <c r="BG19" s="12">
        <v>9</v>
      </c>
      <c r="BH19" s="12" t="s">
        <v>6</v>
      </c>
    </row>
    <row r="20" spans="2:60" x14ac:dyDescent="0.4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59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38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12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33">
        <v>6</v>
      </c>
      <c r="AU20" s="1">
        <v>5</v>
      </c>
      <c r="AV20" s="1">
        <v>4</v>
      </c>
      <c r="AW20" s="18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1">
        <v>8</v>
      </c>
      <c r="BG20" s="12">
        <v>9</v>
      </c>
      <c r="BH20" s="12" t="s">
        <v>7</v>
      </c>
    </row>
    <row r="21" spans="2:60" x14ac:dyDescent="0.4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59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38">
        <v>9</v>
      </c>
      <c r="AR21" s="1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1">
        <v>8</v>
      </c>
      <c r="BG21" s="12">
        <v>9</v>
      </c>
      <c r="BH21" s="12" t="s">
        <v>8</v>
      </c>
    </row>
    <row r="22" spans="2:60" x14ac:dyDescent="0.4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59">
        <v>3</v>
      </c>
      <c r="J22" s="1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38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12">
        <v>9</v>
      </c>
      <c r="AN22" s="12" t="s">
        <v>9</v>
      </c>
      <c r="AP22" s="17" t="s">
        <v>5</v>
      </c>
      <c r="AQ22" s="38">
        <v>9</v>
      </c>
      <c r="AR22" s="1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1">
        <v>8</v>
      </c>
      <c r="BG22" s="12">
        <v>9</v>
      </c>
      <c r="BH22" s="12" t="s">
        <v>9</v>
      </c>
    </row>
    <row r="23" spans="2:60" x14ac:dyDescent="0.4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59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1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1">
        <v>4</v>
      </c>
      <c r="BC23" s="1">
        <v>5</v>
      </c>
      <c r="BD23" s="1">
        <v>6</v>
      </c>
      <c r="BE23" s="64">
        <v>7</v>
      </c>
      <c r="BF23" s="33">
        <v>8</v>
      </c>
      <c r="BG23" s="12">
        <v>9</v>
      </c>
      <c r="BH23" s="12" t="s">
        <v>10</v>
      </c>
    </row>
    <row r="24" spans="2:60" x14ac:dyDescent="0.4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59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11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36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1">
        <v>5</v>
      </c>
      <c r="AV24" s="1">
        <v>4</v>
      </c>
      <c r="AW24" s="1">
        <v>3</v>
      </c>
      <c r="AX24" s="1">
        <v>2</v>
      </c>
      <c r="AY24" s="1">
        <v>1</v>
      </c>
      <c r="AZ24" s="1">
        <v>2</v>
      </c>
      <c r="BA24" s="1">
        <v>3</v>
      </c>
      <c r="BB24" s="1">
        <v>4</v>
      </c>
      <c r="BC24" s="33">
        <v>5</v>
      </c>
      <c r="BD24" s="1">
        <v>6</v>
      </c>
      <c r="BE24" s="1">
        <v>7</v>
      </c>
      <c r="BF24" s="1">
        <v>8</v>
      </c>
      <c r="BG24" s="12">
        <v>9</v>
      </c>
      <c r="BH24" s="12" t="s">
        <v>11</v>
      </c>
    </row>
    <row r="25" spans="2:60" x14ac:dyDescent="0.4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59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  <c r="V25" s="17" t="s">
        <v>5</v>
      </c>
      <c r="W25" s="11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36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1">
        <v>5</v>
      </c>
      <c r="AV25" s="1">
        <v>4</v>
      </c>
      <c r="AW25" s="1">
        <v>3</v>
      </c>
      <c r="AX25" s="1">
        <v>2</v>
      </c>
      <c r="AY25" s="1">
        <v>1</v>
      </c>
      <c r="AZ25" s="1">
        <v>2</v>
      </c>
      <c r="BA25" s="1">
        <v>3</v>
      </c>
      <c r="BB25" s="1">
        <v>4</v>
      </c>
      <c r="BC25" s="33">
        <v>5</v>
      </c>
      <c r="BD25" s="1">
        <v>6</v>
      </c>
      <c r="BE25" s="1">
        <v>7</v>
      </c>
      <c r="BF25" s="1">
        <v>8</v>
      </c>
      <c r="BG25" s="12">
        <v>9</v>
      </c>
      <c r="BH25" s="12" t="s">
        <v>12</v>
      </c>
    </row>
    <row r="26" spans="2:60" x14ac:dyDescent="0.4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59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  <c r="V26" s="17" t="s">
        <v>5</v>
      </c>
      <c r="W26" s="11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36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1">
        <v>3</v>
      </c>
      <c r="AX26" s="1">
        <v>2</v>
      </c>
      <c r="AY26" s="1">
        <v>1</v>
      </c>
      <c r="AZ26" s="1">
        <v>2</v>
      </c>
      <c r="BA26" s="1">
        <v>3</v>
      </c>
      <c r="BB26" s="1">
        <v>4</v>
      </c>
      <c r="BC26" s="1">
        <v>5</v>
      </c>
      <c r="BD26" s="33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4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59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  <c r="V27" s="17" t="s">
        <v>5</v>
      </c>
      <c r="W27" s="11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36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1">
        <v>3</v>
      </c>
      <c r="AX27" s="1">
        <v>2</v>
      </c>
      <c r="AY27" s="1">
        <v>1</v>
      </c>
      <c r="AZ27" s="1">
        <v>2</v>
      </c>
      <c r="BA27" s="1">
        <v>3</v>
      </c>
      <c r="BB27" s="33">
        <v>4</v>
      </c>
      <c r="BC27" s="1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4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59">
        <v>2</v>
      </c>
      <c r="K28" s="1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33">
        <v>6</v>
      </c>
      <c r="AU28" s="1">
        <v>5</v>
      </c>
      <c r="AV28" s="1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1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4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1">
        <v>3</v>
      </c>
      <c r="N29" s="59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1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1">
        <v>3</v>
      </c>
      <c r="BB29" s="1">
        <v>4</v>
      </c>
      <c r="BC29" s="33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4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1">
        <v>2</v>
      </c>
      <c r="M30" s="62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1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1">
        <v>4</v>
      </c>
      <c r="BC30" s="33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4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60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  <c r="V31" s="19" t="s">
        <v>5</v>
      </c>
      <c r="W31" s="13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37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34">
        <v>5</v>
      </c>
      <c r="AV31" s="1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1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4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59">
        <v>4</v>
      </c>
      <c r="I32" s="18">
        <v>3</v>
      </c>
      <c r="J32" s="18">
        <v>2</v>
      </c>
      <c r="K32" s="18">
        <v>1</v>
      </c>
      <c r="L32" s="18">
        <v>2</v>
      </c>
      <c r="M32" s="18">
        <v>3</v>
      </c>
      <c r="N32" s="18">
        <v>4</v>
      </c>
      <c r="O32" s="18">
        <v>5</v>
      </c>
      <c r="P32" s="18">
        <v>6</v>
      </c>
      <c r="Q32" s="18">
        <v>7</v>
      </c>
      <c r="R32" s="1">
        <v>8</v>
      </c>
      <c r="S32" s="12">
        <v>9</v>
      </c>
      <c r="T32" s="12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33">
        <v>5</v>
      </c>
      <c r="AV32" s="1">
        <v>4</v>
      </c>
      <c r="AW32" s="18">
        <v>3</v>
      </c>
      <c r="AX32" s="1">
        <v>2</v>
      </c>
      <c r="AY32" s="1">
        <v>1</v>
      </c>
      <c r="AZ32" s="1">
        <v>2</v>
      </c>
      <c r="BA32" s="1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45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59">
        <v>4</v>
      </c>
      <c r="I33" s="1">
        <v>3</v>
      </c>
      <c r="J33" s="18">
        <v>2</v>
      </c>
      <c r="K33" s="18">
        <v>1</v>
      </c>
      <c r="L33" s="18">
        <v>2</v>
      </c>
      <c r="M33" s="18">
        <v>3</v>
      </c>
      <c r="N33" s="18">
        <v>4</v>
      </c>
      <c r="O33" s="18">
        <v>5</v>
      </c>
      <c r="P33" s="18">
        <v>6</v>
      </c>
      <c r="Q33" s="18">
        <v>7</v>
      </c>
      <c r="R33" s="1">
        <v>8</v>
      </c>
      <c r="S33" s="12">
        <v>9</v>
      </c>
      <c r="T33" s="12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38">
        <v>9</v>
      </c>
      <c r="AR33" s="1">
        <v>8</v>
      </c>
      <c r="AS33" s="1">
        <v>7</v>
      </c>
      <c r="AT33" s="1">
        <v>6</v>
      </c>
      <c r="AU33" s="1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1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4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59">
        <v>3</v>
      </c>
      <c r="J34" s="18">
        <v>2</v>
      </c>
      <c r="K34" s="18">
        <v>1</v>
      </c>
      <c r="L34" s="18">
        <v>2</v>
      </c>
      <c r="M34" s="18">
        <v>3</v>
      </c>
      <c r="N34" s="18">
        <v>4</v>
      </c>
      <c r="O34" s="18">
        <v>5</v>
      </c>
      <c r="P34" s="18">
        <v>6</v>
      </c>
      <c r="Q34" s="18">
        <v>7</v>
      </c>
      <c r="R34" s="1">
        <v>8</v>
      </c>
      <c r="S34" s="12">
        <v>9</v>
      </c>
      <c r="T34" s="12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38">
        <v>9</v>
      </c>
      <c r="AR34" s="1">
        <v>8</v>
      </c>
      <c r="AS34" s="1">
        <v>7</v>
      </c>
      <c r="AT34" s="1">
        <v>6</v>
      </c>
      <c r="AU34" s="1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1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4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8">
        <v>2</v>
      </c>
      <c r="K35" s="18">
        <v>1</v>
      </c>
      <c r="L35" s="18">
        <v>2</v>
      </c>
      <c r="M35" s="59">
        <v>3</v>
      </c>
      <c r="N35" s="18">
        <v>4</v>
      </c>
      <c r="O35" s="18">
        <v>5</v>
      </c>
      <c r="P35" s="18">
        <v>6</v>
      </c>
      <c r="Q35" s="18">
        <v>7</v>
      </c>
      <c r="R35" s="1">
        <v>8</v>
      </c>
      <c r="S35" s="12">
        <v>9</v>
      </c>
      <c r="T35" s="12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1">
        <v>3</v>
      </c>
      <c r="AX35" s="1">
        <v>2</v>
      </c>
      <c r="AY35" s="1">
        <v>1</v>
      </c>
      <c r="AZ35" s="1">
        <v>2</v>
      </c>
      <c r="BA35" s="33">
        <v>3</v>
      </c>
      <c r="BB35" s="1">
        <v>4</v>
      </c>
      <c r="BC35" s="1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4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8">
        <v>2</v>
      </c>
      <c r="K36" s="59">
        <v>1</v>
      </c>
      <c r="L36" s="18">
        <v>2</v>
      </c>
      <c r="M36" s="18">
        <v>3</v>
      </c>
      <c r="N36" s="18">
        <v>4</v>
      </c>
      <c r="O36" s="18">
        <v>5</v>
      </c>
      <c r="P36" s="18">
        <v>6</v>
      </c>
      <c r="Q36" s="18">
        <v>7</v>
      </c>
      <c r="R36" s="1">
        <v>8</v>
      </c>
      <c r="S36" s="12">
        <v>9</v>
      </c>
      <c r="T36" s="12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33">
        <v>3</v>
      </c>
      <c r="AX36" s="1">
        <v>2</v>
      </c>
      <c r="AY36" s="1">
        <v>1</v>
      </c>
      <c r="AZ36" s="1">
        <v>2</v>
      </c>
      <c r="BA36" s="1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4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59">
        <v>3</v>
      </c>
      <c r="J37" s="18">
        <v>2</v>
      </c>
      <c r="K37" s="18">
        <v>1</v>
      </c>
      <c r="L37" s="18">
        <v>2</v>
      </c>
      <c r="M37" s="18">
        <v>3</v>
      </c>
      <c r="N37" s="18">
        <v>4</v>
      </c>
      <c r="O37" s="18">
        <v>5</v>
      </c>
      <c r="P37" s="18">
        <v>6</v>
      </c>
      <c r="Q37" s="18">
        <v>7</v>
      </c>
      <c r="R37" s="1">
        <v>8</v>
      </c>
      <c r="S37" s="12">
        <v>9</v>
      </c>
      <c r="T37" s="12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33">
        <v>3</v>
      </c>
      <c r="AX37" s="1">
        <v>2</v>
      </c>
      <c r="AY37" s="1">
        <v>1</v>
      </c>
      <c r="AZ37" s="1">
        <v>2</v>
      </c>
      <c r="BA37" s="1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4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8">
        <v>2</v>
      </c>
      <c r="K38" s="59">
        <v>1</v>
      </c>
      <c r="L38" s="18">
        <v>2</v>
      </c>
      <c r="M38" s="18">
        <v>3</v>
      </c>
      <c r="N38" s="18">
        <v>4</v>
      </c>
      <c r="O38" s="18">
        <v>5</v>
      </c>
      <c r="P38" s="18">
        <v>6</v>
      </c>
      <c r="Q38" s="18">
        <v>7</v>
      </c>
      <c r="R38" s="1">
        <v>8</v>
      </c>
      <c r="S38" s="12">
        <v>9</v>
      </c>
      <c r="T38" s="12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33">
        <v>1</v>
      </c>
      <c r="AZ38" s="1">
        <v>2</v>
      </c>
      <c r="BA38" s="1">
        <v>3</v>
      </c>
      <c r="BB38" s="1">
        <v>4</v>
      </c>
      <c r="BC38" s="1">
        <v>5</v>
      </c>
      <c r="BD38" s="1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4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8">
        <v>2</v>
      </c>
      <c r="K39" s="18">
        <v>1</v>
      </c>
      <c r="L39" s="18">
        <v>2</v>
      </c>
      <c r="M39" s="59">
        <v>3</v>
      </c>
      <c r="N39" s="18">
        <v>4</v>
      </c>
      <c r="O39" s="18">
        <v>5</v>
      </c>
      <c r="P39" s="18">
        <v>6</v>
      </c>
      <c r="Q39" s="18">
        <v>7</v>
      </c>
      <c r="R39" s="1">
        <v>8</v>
      </c>
      <c r="S39" s="12">
        <v>9</v>
      </c>
      <c r="T39" s="12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33">
        <v>3</v>
      </c>
      <c r="AX39" s="1">
        <v>2</v>
      </c>
      <c r="AY39" s="1">
        <v>1</v>
      </c>
      <c r="AZ39" s="1">
        <v>2</v>
      </c>
      <c r="BA39" s="1">
        <v>3</v>
      </c>
      <c r="BB39" s="1">
        <v>4</v>
      </c>
      <c r="BC39" s="1">
        <v>5</v>
      </c>
      <c r="BD39" s="1">
        <v>6</v>
      </c>
      <c r="BE39" s="1">
        <v>7</v>
      </c>
      <c r="BF39" s="1">
        <v>8</v>
      </c>
      <c r="BG39" s="12">
        <v>9</v>
      </c>
      <c r="BH39" s="12" t="s">
        <v>14</v>
      </c>
    </row>
    <row r="40" spans="2:60" x14ac:dyDescent="0.4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59">
        <v>2</v>
      </c>
      <c r="K40" s="18">
        <v>1</v>
      </c>
      <c r="L40" s="18">
        <v>2</v>
      </c>
      <c r="M40" s="18">
        <v>3</v>
      </c>
      <c r="N40" s="18">
        <v>4</v>
      </c>
      <c r="O40" s="18">
        <v>5</v>
      </c>
      <c r="P40" s="18">
        <v>6</v>
      </c>
      <c r="Q40" s="18">
        <v>7</v>
      </c>
      <c r="R40" s="1">
        <v>8</v>
      </c>
      <c r="S40" s="12">
        <v>9</v>
      </c>
      <c r="T40" s="12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33">
        <v>6</v>
      </c>
      <c r="AU40" s="1">
        <v>5</v>
      </c>
      <c r="AV40" s="1">
        <v>4</v>
      </c>
      <c r="AW40" s="1">
        <v>3</v>
      </c>
      <c r="AX40" s="1">
        <v>2</v>
      </c>
      <c r="AY40" s="1">
        <v>1</v>
      </c>
      <c r="AZ40" s="1">
        <v>2</v>
      </c>
      <c r="BA40" s="1">
        <v>3</v>
      </c>
      <c r="BB40" s="1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4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8">
        <v>2</v>
      </c>
      <c r="K41" s="59">
        <v>1</v>
      </c>
      <c r="L41" s="18">
        <v>2</v>
      </c>
      <c r="M41" s="18">
        <v>3</v>
      </c>
      <c r="N41" s="18">
        <v>4</v>
      </c>
      <c r="O41" s="18">
        <v>5</v>
      </c>
      <c r="P41" s="18">
        <v>6</v>
      </c>
      <c r="Q41" s="18">
        <v>7</v>
      </c>
      <c r="R41" s="1">
        <v>8</v>
      </c>
      <c r="S41" s="12">
        <v>9</v>
      </c>
      <c r="T41" s="12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33">
        <v>2</v>
      </c>
      <c r="BA41" s="1">
        <v>3</v>
      </c>
      <c r="BB41" s="1">
        <v>4</v>
      </c>
      <c r="BC41" s="1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4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8">
        <v>2</v>
      </c>
      <c r="K42" s="18">
        <v>1</v>
      </c>
      <c r="L42" s="18">
        <v>2</v>
      </c>
      <c r="M42" s="59">
        <v>3</v>
      </c>
      <c r="N42" s="18">
        <v>4</v>
      </c>
      <c r="O42" s="18">
        <v>5</v>
      </c>
      <c r="P42" s="18">
        <v>6</v>
      </c>
      <c r="Q42" s="18">
        <v>7</v>
      </c>
      <c r="R42" s="1">
        <v>8</v>
      </c>
      <c r="S42" s="12">
        <v>9</v>
      </c>
      <c r="T42" s="12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33">
        <v>2</v>
      </c>
      <c r="BA42" s="1">
        <v>3</v>
      </c>
      <c r="BB42" s="1">
        <v>4</v>
      </c>
      <c r="BC42" s="1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4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60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34">
        <v>7</v>
      </c>
      <c r="AT43" s="14">
        <v>6</v>
      </c>
      <c r="AU43" s="14">
        <v>5</v>
      </c>
      <c r="AV43" s="14">
        <v>4</v>
      </c>
      <c r="AW43" s="14">
        <v>3</v>
      </c>
      <c r="AX43" s="14">
        <v>2</v>
      </c>
      <c r="AY43" s="14">
        <v>1</v>
      </c>
      <c r="AZ43" s="14">
        <v>2</v>
      </c>
      <c r="BA43" s="14">
        <v>3</v>
      </c>
      <c r="BB43" s="1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4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59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  <c r="V44" s="16" t="s">
        <v>7</v>
      </c>
      <c r="W44" s="11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36">
        <v>9</v>
      </c>
      <c r="AN44" s="12" t="s">
        <v>8</v>
      </c>
      <c r="AP44" s="16" t="s">
        <v>7</v>
      </c>
      <c r="AQ44" s="38">
        <v>9</v>
      </c>
      <c r="AR44" s="1">
        <v>8</v>
      </c>
      <c r="AS44" s="1">
        <v>7</v>
      </c>
      <c r="AT44" s="1">
        <v>6</v>
      </c>
      <c r="AU44" s="1">
        <v>5</v>
      </c>
      <c r="AV44" s="1">
        <v>4</v>
      </c>
      <c r="AW44" s="1">
        <v>3</v>
      </c>
      <c r="AX44" s="1">
        <v>2</v>
      </c>
      <c r="AY44" s="1">
        <v>1</v>
      </c>
      <c r="AZ44" s="1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4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59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38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12">
        <v>9</v>
      </c>
      <c r="AN45" s="12" t="s">
        <v>9</v>
      </c>
      <c r="AP45" s="17" t="s">
        <v>7</v>
      </c>
      <c r="AQ45" s="38">
        <v>9</v>
      </c>
      <c r="AR45" s="1">
        <v>8</v>
      </c>
      <c r="AS45" s="1">
        <v>7</v>
      </c>
      <c r="AT45" s="1">
        <v>6</v>
      </c>
      <c r="AU45" s="1">
        <v>5</v>
      </c>
      <c r="AV45" s="1">
        <v>4</v>
      </c>
      <c r="AW45" s="1">
        <v>3</v>
      </c>
      <c r="AX45" s="1">
        <v>2</v>
      </c>
      <c r="AY45" s="1">
        <v>1</v>
      </c>
      <c r="AZ45" s="1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4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1">
        <v>2</v>
      </c>
      <c r="M46" s="59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11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36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1">
        <v>4</v>
      </c>
      <c r="AW46" s="1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1">
        <v>5</v>
      </c>
      <c r="BD46" s="1">
        <v>6</v>
      </c>
      <c r="BE46" s="1">
        <v>7</v>
      </c>
      <c r="BF46" s="33">
        <v>8</v>
      </c>
      <c r="BG46" s="12">
        <v>9</v>
      </c>
      <c r="BH46" s="12" t="s">
        <v>10</v>
      </c>
    </row>
    <row r="47" spans="2:60" x14ac:dyDescent="0.4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1">
        <v>1</v>
      </c>
      <c r="L47" s="1">
        <v>2</v>
      </c>
      <c r="M47" s="1">
        <v>3</v>
      </c>
      <c r="N47" s="59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11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36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1">
        <v>3</v>
      </c>
      <c r="AX47" s="1">
        <v>2</v>
      </c>
      <c r="AY47" s="1">
        <v>1</v>
      </c>
      <c r="AZ47" s="1">
        <v>2</v>
      </c>
      <c r="BA47" s="1">
        <v>3</v>
      </c>
      <c r="BB47" s="1">
        <v>4</v>
      </c>
      <c r="BC47" s="33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4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59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11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36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1">
        <v>3</v>
      </c>
      <c r="AX48" s="1">
        <v>2</v>
      </c>
      <c r="AY48" s="1">
        <v>1</v>
      </c>
      <c r="AZ48" s="1">
        <v>2</v>
      </c>
      <c r="BA48" s="1">
        <v>3</v>
      </c>
      <c r="BB48" s="1">
        <v>4</v>
      </c>
      <c r="BC48" s="33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4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59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11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36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1">
        <v>5</v>
      </c>
      <c r="AV49" s="1">
        <v>4</v>
      </c>
      <c r="AW49" s="1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1">
        <v>5</v>
      </c>
      <c r="BD49" s="1">
        <v>6</v>
      </c>
      <c r="BE49" s="33">
        <v>7</v>
      </c>
      <c r="BF49" s="1">
        <v>8</v>
      </c>
      <c r="BG49" s="12">
        <v>9</v>
      </c>
      <c r="BH49" s="12" t="s">
        <v>13</v>
      </c>
    </row>
    <row r="50" spans="2:60" x14ac:dyDescent="0.4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59">
        <v>7</v>
      </c>
      <c r="R50" s="1">
        <v>8</v>
      </c>
      <c r="S50" s="12">
        <v>9</v>
      </c>
      <c r="T50" s="12" t="s">
        <v>14</v>
      </c>
      <c r="V50" s="17" t="s">
        <v>7</v>
      </c>
      <c r="W50" s="11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36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1">
        <v>2</v>
      </c>
      <c r="AY50" s="1">
        <v>1</v>
      </c>
      <c r="AZ50" s="1">
        <v>2</v>
      </c>
      <c r="BA50" s="1">
        <v>3</v>
      </c>
      <c r="BB50" s="33">
        <v>4</v>
      </c>
      <c r="BC50" s="1">
        <v>5</v>
      </c>
      <c r="BD50" s="1">
        <v>6</v>
      </c>
      <c r="BE50" s="1">
        <v>7</v>
      </c>
      <c r="BF50" s="1">
        <v>8</v>
      </c>
      <c r="BG50" s="12">
        <v>9</v>
      </c>
      <c r="BH50" s="12" t="s">
        <v>14</v>
      </c>
    </row>
    <row r="51" spans="2:60" x14ac:dyDescent="0.4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1">
        <v>2</v>
      </c>
      <c r="M51" s="59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11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36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33">
        <v>3</v>
      </c>
      <c r="AX51" s="1">
        <v>2</v>
      </c>
      <c r="AY51" s="1">
        <v>1</v>
      </c>
      <c r="AZ51" s="1">
        <v>2</v>
      </c>
      <c r="BA51" s="1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4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59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11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36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1">
        <v>2</v>
      </c>
      <c r="BA52" s="1">
        <v>3</v>
      </c>
      <c r="BB52" s="1">
        <v>4</v>
      </c>
      <c r="BC52" s="1">
        <v>5</v>
      </c>
      <c r="BD52" s="33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4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62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1">
        <v>2</v>
      </c>
      <c r="BA53" s="1">
        <v>3</v>
      </c>
      <c r="BB53" s="1">
        <v>4</v>
      </c>
      <c r="BC53" s="1">
        <v>5</v>
      </c>
      <c r="BD53" s="33">
        <v>6</v>
      </c>
      <c r="BE53" s="1">
        <v>7</v>
      </c>
      <c r="BF53" s="1">
        <v>8</v>
      </c>
      <c r="BG53" s="12">
        <v>9</v>
      </c>
      <c r="BH53" s="12" t="s">
        <v>17</v>
      </c>
    </row>
    <row r="54" spans="2:60" x14ac:dyDescent="0.4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60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13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37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14">
        <v>2</v>
      </c>
      <c r="AY54" s="14">
        <v>1</v>
      </c>
      <c r="AZ54" s="14">
        <v>2</v>
      </c>
      <c r="BA54" s="1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4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59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38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12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4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59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11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36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1">
        <v>5</v>
      </c>
      <c r="BD56" s="1">
        <v>6</v>
      </c>
      <c r="BE56" s="1">
        <v>7</v>
      </c>
      <c r="BF56" s="1">
        <v>8</v>
      </c>
      <c r="BG56" s="36">
        <v>9</v>
      </c>
      <c r="BH56" s="12" t="s">
        <v>10</v>
      </c>
    </row>
    <row r="57" spans="2:60" x14ac:dyDescent="0.4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59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11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36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1">
        <v>3</v>
      </c>
      <c r="AX57" s="1">
        <v>2</v>
      </c>
      <c r="AY57" s="1">
        <v>1</v>
      </c>
      <c r="AZ57" s="1">
        <v>2</v>
      </c>
      <c r="BA57" s="1">
        <v>3</v>
      </c>
      <c r="BB57" s="1">
        <v>4</v>
      </c>
      <c r="BC57" s="1">
        <v>5</v>
      </c>
      <c r="BD57" s="1">
        <v>6</v>
      </c>
      <c r="BE57" s="1">
        <v>7</v>
      </c>
      <c r="BF57" s="1">
        <v>8</v>
      </c>
      <c r="BG57" s="36">
        <v>9</v>
      </c>
      <c r="BH57" s="12" t="s">
        <v>11</v>
      </c>
    </row>
    <row r="58" spans="2:60" x14ac:dyDescent="0.4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1">
        <v>2</v>
      </c>
      <c r="M58" s="1">
        <v>3</v>
      </c>
      <c r="N58" s="1">
        <v>4</v>
      </c>
      <c r="O58" s="59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11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36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1">
        <v>2</v>
      </c>
      <c r="AY58" s="1">
        <v>1</v>
      </c>
      <c r="AZ58" s="1">
        <v>2</v>
      </c>
      <c r="BA58" s="1">
        <v>3</v>
      </c>
      <c r="BB58" s="1">
        <v>4</v>
      </c>
      <c r="BC58" s="1">
        <v>5</v>
      </c>
      <c r="BD58" s="1">
        <v>6</v>
      </c>
      <c r="BE58" s="1">
        <v>7</v>
      </c>
      <c r="BF58" s="1">
        <v>8</v>
      </c>
      <c r="BG58" s="36">
        <v>9</v>
      </c>
      <c r="BH58" s="12" t="s">
        <v>12</v>
      </c>
    </row>
    <row r="59" spans="2:60" x14ac:dyDescent="0.4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59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11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36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1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1">
        <v>4</v>
      </c>
      <c r="BC59" s="1">
        <v>5</v>
      </c>
      <c r="BD59" s="1">
        <v>6</v>
      </c>
      <c r="BE59" s="1">
        <v>7</v>
      </c>
      <c r="BF59" s="1">
        <v>8</v>
      </c>
      <c r="BG59" s="36">
        <v>9</v>
      </c>
      <c r="BH59" s="12" t="s">
        <v>13</v>
      </c>
    </row>
    <row r="60" spans="2:60" x14ac:dyDescent="0.4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59">
        <v>7</v>
      </c>
      <c r="R60" s="1">
        <v>8</v>
      </c>
      <c r="S60" s="12">
        <v>9</v>
      </c>
      <c r="T60" s="12" t="s">
        <v>14</v>
      </c>
      <c r="V60" s="17" t="s">
        <v>8</v>
      </c>
      <c r="W60" s="11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36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1">
        <v>4</v>
      </c>
      <c r="AW60" s="1">
        <v>3</v>
      </c>
      <c r="AX60" s="1">
        <v>2</v>
      </c>
      <c r="AY60" s="1">
        <v>1</v>
      </c>
      <c r="AZ60" s="1">
        <v>2</v>
      </c>
      <c r="BA60" s="1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36">
        <v>9</v>
      </c>
      <c r="BH60" s="12" t="s">
        <v>14</v>
      </c>
    </row>
    <row r="61" spans="2:60" x14ac:dyDescent="0.4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56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11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36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1">
        <v>3</v>
      </c>
      <c r="AX61" s="1">
        <v>2</v>
      </c>
      <c r="AY61" s="1">
        <v>1</v>
      </c>
      <c r="AZ61" s="1">
        <v>2</v>
      </c>
      <c r="BA61" s="1">
        <v>3</v>
      </c>
      <c r="BB61" s="1">
        <v>4</v>
      </c>
      <c r="BC61" s="1">
        <v>5</v>
      </c>
      <c r="BD61" s="1">
        <v>6</v>
      </c>
      <c r="BE61" s="1">
        <v>7</v>
      </c>
      <c r="BF61" s="1">
        <v>8</v>
      </c>
      <c r="BG61" s="36">
        <v>9</v>
      </c>
      <c r="BH61" s="12" t="s">
        <v>15</v>
      </c>
    </row>
    <row r="62" spans="2:60" x14ac:dyDescent="0.4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56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11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36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1">
        <v>3</v>
      </c>
      <c r="BB62" s="1">
        <v>4</v>
      </c>
      <c r="BC62" s="1">
        <v>5</v>
      </c>
      <c r="BD62" s="1">
        <v>6</v>
      </c>
      <c r="BE62" s="1">
        <v>7</v>
      </c>
      <c r="BF62" s="1">
        <v>8</v>
      </c>
      <c r="BG62" s="36">
        <v>9</v>
      </c>
      <c r="BH62" s="12" t="s">
        <v>16</v>
      </c>
    </row>
    <row r="63" spans="2:60" x14ac:dyDescent="0.45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59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1">
        <v>3</v>
      </c>
      <c r="BB63" s="1">
        <v>4</v>
      </c>
      <c r="BC63" s="1">
        <v>5</v>
      </c>
      <c r="BD63" s="1">
        <v>6</v>
      </c>
      <c r="BE63" s="1">
        <v>7</v>
      </c>
      <c r="BF63" s="1">
        <v>8</v>
      </c>
      <c r="BG63" s="36">
        <v>9</v>
      </c>
      <c r="BH63" s="12" t="s">
        <v>17</v>
      </c>
    </row>
    <row r="64" spans="2:60" x14ac:dyDescent="0.4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57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13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37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14">
        <v>3</v>
      </c>
      <c r="AX64" s="14">
        <v>2</v>
      </c>
      <c r="AY64" s="14">
        <v>1</v>
      </c>
      <c r="AZ64" s="14">
        <v>2</v>
      </c>
      <c r="BA64" s="14">
        <v>3</v>
      </c>
      <c r="BB64" s="14">
        <v>4</v>
      </c>
      <c r="BC64" s="14">
        <v>5</v>
      </c>
      <c r="BD64" s="14">
        <v>6</v>
      </c>
      <c r="BE64" s="14">
        <v>7</v>
      </c>
      <c r="BF64" s="14">
        <v>8</v>
      </c>
      <c r="BG64" s="37">
        <v>9</v>
      </c>
      <c r="BH64" s="15" t="s">
        <v>18</v>
      </c>
    </row>
    <row r="65" spans="2:60" x14ac:dyDescent="0.4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59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11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36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1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1">
        <v>5</v>
      </c>
      <c r="BD65" s="1">
        <v>6</v>
      </c>
      <c r="BE65" s="1">
        <v>7</v>
      </c>
      <c r="BF65" s="1">
        <v>8</v>
      </c>
      <c r="BG65" s="36">
        <v>9</v>
      </c>
      <c r="BH65" s="12" t="s">
        <v>10</v>
      </c>
    </row>
    <row r="66" spans="2:60" x14ac:dyDescent="0.4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1">
        <v>2</v>
      </c>
      <c r="M66" s="1">
        <v>3</v>
      </c>
      <c r="N66" s="1">
        <v>4</v>
      </c>
      <c r="O66" s="59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11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36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1">
        <v>3</v>
      </c>
      <c r="AX66" s="1">
        <v>2</v>
      </c>
      <c r="AY66" s="1">
        <v>1</v>
      </c>
      <c r="AZ66" s="1">
        <v>2</v>
      </c>
      <c r="BA66" s="1">
        <v>3</v>
      </c>
      <c r="BB66" s="1">
        <v>4</v>
      </c>
      <c r="BC66" s="1">
        <v>5</v>
      </c>
      <c r="BD66" s="1">
        <v>6</v>
      </c>
      <c r="BE66" s="1">
        <v>7</v>
      </c>
      <c r="BF66" s="1">
        <v>8</v>
      </c>
      <c r="BG66" s="36">
        <v>9</v>
      </c>
      <c r="BH66" s="12" t="s">
        <v>11</v>
      </c>
    </row>
    <row r="67" spans="2:60" x14ac:dyDescent="0.4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59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  <c r="V67" s="17" t="s">
        <v>9</v>
      </c>
      <c r="W67" s="11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36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1">
        <v>2</v>
      </c>
      <c r="AY67" s="1">
        <v>1</v>
      </c>
      <c r="AZ67" s="1">
        <v>2</v>
      </c>
      <c r="BA67" s="1">
        <v>3</v>
      </c>
      <c r="BB67" s="1">
        <v>4</v>
      </c>
      <c r="BC67" s="1">
        <v>5</v>
      </c>
      <c r="BD67" s="1">
        <v>6</v>
      </c>
      <c r="BE67" s="1">
        <v>7</v>
      </c>
      <c r="BF67" s="1">
        <v>8</v>
      </c>
      <c r="BG67" s="36">
        <v>9</v>
      </c>
      <c r="BH67" s="12" t="s">
        <v>12</v>
      </c>
    </row>
    <row r="68" spans="2:60" x14ac:dyDescent="0.4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59">
        <v>7</v>
      </c>
      <c r="R68" s="1">
        <v>8</v>
      </c>
      <c r="S68" s="12">
        <v>9</v>
      </c>
      <c r="T68" s="12" t="s">
        <v>13</v>
      </c>
      <c r="V68" s="17" t="s">
        <v>9</v>
      </c>
      <c r="W68" s="11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36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1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1">
        <v>4</v>
      </c>
      <c r="BC68" s="1">
        <v>5</v>
      </c>
      <c r="BD68" s="1">
        <v>6</v>
      </c>
      <c r="BE68" s="1">
        <v>7</v>
      </c>
      <c r="BF68" s="1">
        <v>8</v>
      </c>
      <c r="BG68" s="36">
        <v>9</v>
      </c>
      <c r="BH68" s="12" t="s">
        <v>13</v>
      </c>
    </row>
    <row r="69" spans="2:60" x14ac:dyDescent="0.4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59">
        <v>8</v>
      </c>
      <c r="S69" s="12">
        <v>9</v>
      </c>
      <c r="T69" s="12" t="s">
        <v>14</v>
      </c>
      <c r="V69" s="17" t="s">
        <v>9</v>
      </c>
      <c r="W69" s="11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36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1">
        <v>4</v>
      </c>
      <c r="AW69" s="1">
        <v>3</v>
      </c>
      <c r="AX69" s="1">
        <v>2</v>
      </c>
      <c r="AY69" s="1">
        <v>1</v>
      </c>
      <c r="AZ69" s="1">
        <v>2</v>
      </c>
      <c r="BA69" s="1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36">
        <v>9</v>
      </c>
      <c r="BH69" s="12" t="s">
        <v>14</v>
      </c>
    </row>
    <row r="70" spans="2:60" x14ac:dyDescent="0.4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1">
        <v>3</v>
      </c>
      <c r="N70" s="1">
        <v>4</v>
      </c>
      <c r="O70" s="59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1">
        <v>3</v>
      </c>
      <c r="AX70" s="1">
        <v>2</v>
      </c>
      <c r="AY70" s="1">
        <v>1</v>
      </c>
      <c r="AZ70" s="1">
        <v>2</v>
      </c>
      <c r="BA70" s="1">
        <v>3</v>
      </c>
      <c r="BB70" s="1">
        <v>4</v>
      </c>
      <c r="BC70" s="1">
        <v>5</v>
      </c>
      <c r="BD70" s="1">
        <v>6</v>
      </c>
      <c r="BE70" s="1">
        <v>7</v>
      </c>
      <c r="BF70" s="1">
        <v>8</v>
      </c>
      <c r="BG70" s="36">
        <v>9</v>
      </c>
      <c r="BH70" s="12" t="s">
        <v>15</v>
      </c>
    </row>
    <row r="71" spans="2:60" x14ac:dyDescent="0.4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59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1">
        <v>3</v>
      </c>
      <c r="BB71" s="1">
        <v>4</v>
      </c>
      <c r="BC71" s="1">
        <v>5</v>
      </c>
      <c r="BD71" s="1">
        <v>6</v>
      </c>
      <c r="BE71" s="1">
        <v>7</v>
      </c>
      <c r="BF71" s="1">
        <v>8</v>
      </c>
      <c r="BG71" s="36">
        <v>9</v>
      </c>
      <c r="BH71" s="12" t="s">
        <v>16</v>
      </c>
    </row>
    <row r="72" spans="2:60" x14ac:dyDescent="0.4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59">
        <v>7</v>
      </c>
      <c r="R72" s="1">
        <v>8</v>
      </c>
      <c r="S72" s="12">
        <v>9</v>
      </c>
      <c r="T72" s="12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1">
        <v>3</v>
      </c>
      <c r="BB72" s="1">
        <v>4</v>
      </c>
      <c r="BC72" s="1">
        <v>5</v>
      </c>
      <c r="BD72" s="1">
        <v>6</v>
      </c>
      <c r="BE72" s="1">
        <v>7</v>
      </c>
      <c r="BF72" s="1">
        <v>8</v>
      </c>
      <c r="BG72" s="36">
        <v>9</v>
      </c>
      <c r="BH72" s="12" t="s">
        <v>17</v>
      </c>
    </row>
    <row r="73" spans="2:60" x14ac:dyDescent="0.4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60">
        <v>7</v>
      </c>
      <c r="R73" s="14">
        <v>8</v>
      </c>
      <c r="S73" s="15">
        <v>9</v>
      </c>
      <c r="T73" s="15" t="s">
        <v>18</v>
      </c>
      <c r="V73" s="19" t="s">
        <v>9</v>
      </c>
      <c r="W73" s="13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37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14">
        <v>3</v>
      </c>
      <c r="AX73" s="14">
        <v>2</v>
      </c>
      <c r="AY73" s="14">
        <v>1</v>
      </c>
      <c r="AZ73" s="14">
        <v>2</v>
      </c>
      <c r="BA73" s="14">
        <v>3</v>
      </c>
      <c r="BB73" s="14">
        <v>4</v>
      </c>
      <c r="BC73" s="14">
        <v>5</v>
      </c>
      <c r="BD73" s="14">
        <v>6</v>
      </c>
      <c r="BE73" s="14">
        <v>7</v>
      </c>
      <c r="BF73" s="14">
        <v>8</v>
      </c>
      <c r="BG73" s="37">
        <v>9</v>
      </c>
      <c r="BH73" s="15" t="s">
        <v>18</v>
      </c>
    </row>
    <row r="74" spans="2:60" x14ac:dyDescent="0.4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59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11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36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33">
        <v>7</v>
      </c>
      <c r="AT74" s="1">
        <v>6</v>
      </c>
      <c r="AU74" s="1">
        <v>5</v>
      </c>
      <c r="AV74" s="1">
        <v>4</v>
      </c>
      <c r="AW74" s="1">
        <v>3</v>
      </c>
      <c r="AX74" s="1">
        <v>2</v>
      </c>
      <c r="AY74" s="1">
        <v>1</v>
      </c>
      <c r="AZ74" s="1">
        <v>2</v>
      </c>
      <c r="BA74" s="1">
        <v>3</v>
      </c>
      <c r="BB74" s="1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4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59">
        <v>6</v>
      </c>
      <c r="Q75" s="1">
        <v>7</v>
      </c>
      <c r="R75" s="1">
        <v>8</v>
      </c>
      <c r="S75" s="12">
        <v>9</v>
      </c>
      <c r="T75" s="12" t="s">
        <v>12</v>
      </c>
      <c r="V75" s="17" t="s">
        <v>10</v>
      </c>
      <c r="W75" s="11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36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33">
        <v>7</v>
      </c>
      <c r="AT75" s="1">
        <v>6</v>
      </c>
      <c r="AU75" s="1">
        <v>5</v>
      </c>
      <c r="AV75" s="1">
        <v>4</v>
      </c>
      <c r="AW75" s="1">
        <v>3</v>
      </c>
      <c r="AX75" s="1">
        <v>2</v>
      </c>
      <c r="AY75" s="1">
        <v>1</v>
      </c>
      <c r="AZ75" s="1">
        <v>2</v>
      </c>
      <c r="BA75" s="1">
        <v>3</v>
      </c>
      <c r="BB75" s="1">
        <v>4</v>
      </c>
      <c r="BC75" s="1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4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59">
        <v>6</v>
      </c>
      <c r="Q76" s="1">
        <v>7</v>
      </c>
      <c r="R76" s="1">
        <v>8</v>
      </c>
      <c r="S76" s="12">
        <v>9</v>
      </c>
      <c r="T76" s="12" t="s">
        <v>13</v>
      </c>
      <c r="V76" s="17" t="s">
        <v>10</v>
      </c>
      <c r="W76" s="11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36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33">
        <v>2</v>
      </c>
      <c r="AY76" s="1">
        <v>1</v>
      </c>
      <c r="AZ76" s="1">
        <v>2</v>
      </c>
      <c r="BA76" s="1">
        <v>3</v>
      </c>
      <c r="BB76" s="1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4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59">
        <v>7</v>
      </c>
      <c r="R77" s="1">
        <v>8</v>
      </c>
      <c r="S77" s="12">
        <v>9</v>
      </c>
      <c r="T77" s="12" t="s">
        <v>14</v>
      </c>
      <c r="V77" s="17" t="s">
        <v>10</v>
      </c>
      <c r="W77" s="38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12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33">
        <v>5</v>
      </c>
      <c r="AV77" s="1">
        <v>4</v>
      </c>
      <c r="AW77" s="1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1">
        <v>5</v>
      </c>
      <c r="BD77" s="1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4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59">
        <v>3</v>
      </c>
      <c r="J78" s="1">
        <v>2</v>
      </c>
      <c r="K78" s="1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38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12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33">
        <v>7</v>
      </c>
      <c r="AT78" s="1">
        <v>6</v>
      </c>
      <c r="AU78" s="1">
        <v>5</v>
      </c>
      <c r="AV78" s="1">
        <v>4</v>
      </c>
      <c r="AW78" s="1">
        <v>3</v>
      </c>
      <c r="AX78" s="1">
        <v>2</v>
      </c>
      <c r="AY78" s="1">
        <v>1</v>
      </c>
      <c r="AZ78" s="1">
        <v>2</v>
      </c>
      <c r="BA78" s="1">
        <v>3</v>
      </c>
      <c r="BB78" s="1">
        <v>4</v>
      </c>
      <c r="BC78" s="1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4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1">
        <v>2</v>
      </c>
      <c r="M79" s="1">
        <v>3</v>
      </c>
      <c r="N79" s="1">
        <v>4</v>
      </c>
      <c r="O79" s="1">
        <v>5</v>
      </c>
      <c r="P79" s="59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33">
        <v>3</v>
      </c>
      <c r="AX79" s="1">
        <v>2</v>
      </c>
      <c r="AY79" s="1">
        <v>1</v>
      </c>
      <c r="AZ79" s="1">
        <v>2</v>
      </c>
      <c r="BA79" s="1">
        <v>3</v>
      </c>
      <c r="BB79" s="1">
        <v>4</v>
      </c>
      <c r="BC79" s="1">
        <v>5</v>
      </c>
      <c r="BD79" s="1">
        <v>6</v>
      </c>
      <c r="BE79" s="1">
        <v>7</v>
      </c>
      <c r="BF79" s="1">
        <v>8</v>
      </c>
      <c r="BG79" s="12">
        <v>9</v>
      </c>
      <c r="BH79" s="12" t="s">
        <v>16</v>
      </c>
    </row>
    <row r="80" spans="2:60" x14ac:dyDescent="0.4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1">
        <v>2</v>
      </c>
      <c r="M80" s="62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33">
        <v>3</v>
      </c>
      <c r="AX80" s="1">
        <v>2</v>
      </c>
      <c r="AY80" s="1">
        <v>1</v>
      </c>
      <c r="AZ80" s="1">
        <v>2</v>
      </c>
      <c r="BA80" s="1">
        <v>3</v>
      </c>
      <c r="BB80" s="1">
        <v>4</v>
      </c>
      <c r="BC80" s="1">
        <v>5</v>
      </c>
      <c r="BD80" s="1">
        <v>6</v>
      </c>
      <c r="BE80" s="1">
        <v>7</v>
      </c>
      <c r="BF80" s="1">
        <v>8</v>
      </c>
      <c r="BG80" s="12">
        <v>9</v>
      </c>
      <c r="BH80" s="12" t="s">
        <v>17</v>
      </c>
    </row>
    <row r="81" spans="2:60" x14ac:dyDescent="0.4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60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  <c r="V81" s="19" t="s">
        <v>10</v>
      </c>
      <c r="W81" s="40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15">
        <v>9</v>
      </c>
      <c r="AN81" s="15" t="s">
        <v>18</v>
      </c>
      <c r="AP81" s="19" t="s">
        <v>10</v>
      </c>
      <c r="AQ81" s="13">
        <v>9</v>
      </c>
      <c r="AR81" s="3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14">
        <v>3</v>
      </c>
      <c r="BB81" s="14">
        <v>4</v>
      </c>
      <c r="BC81" s="1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4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59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  <c r="V82" s="16" t="s">
        <v>11</v>
      </c>
      <c r="W82" s="38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12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33">
        <v>1</v>
      </c>
      <c r="AZ82" s="1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4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59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1">
        <v>3</v>
      </c>
      <c r="AX83" s="1">
        <v>2</v>
      </c>
      <c r="AY83" s="1">
        <v>1</v>
      </c>
      <c r="AZ83" s="1">
        <v>2</v>
      </c>
      <c r="BA83" s="1">
        <v>3</v>
      </c>
      <c r="BB83" s="1">
        <v>4</v>
      </c>
      <c r="BC83" s="1">
        <v>5</v>
      </c>
      <c r="BD83" s="33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4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59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38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12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1">
        <v>2</v>
      </c>
      <c r="BA84" s="33">
        <v>3</v>
      </c>
      <c r="BB84" s="1">
        <v>4</v>
      </c>
      <c r="BC84" s="1">
        <v>5</v>
      </c>
      <c r="BD84" s="1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4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59">
        <v>2</v>
      </c>
      <c r="K85" s="1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38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12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33">
        <v>2</v>
      </c>
      <c r="AY85" s="1">
        <v>1</v>
      </c>
      <c r="AZ85" s="1">
        <v>2</v>
      </c>
      <c r="BA85" s="1">
        <v>3</v>
      </c>
      <c r="BB85" s="1">
        <v>4</v>
      </c>
      <c r="BC85" s="1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4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1">
        <v>2</v>
      </c>
      <c r="M86" s="1">
        <v>3</v>
      </c>
      <c r="N86" s="59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38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12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1">
        <v>1</v>
      </c>
      <c r="AZ86" s="1">
        <v>2</v>
      </c>
      <c r="BA86" s="1">
        <v>3</v>
      </c>
      <c r="BB86" s="1">
        <v>4</v>
      </c>
      <c r="BC86" s="33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4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59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1">
        <v>3</v>
      </c>
      <c r="BB87" s="1">
        <v>4</v>
      </c>
      <c r="BC87" s="33">
        <v>5</v>
      </c>
      <c r="BD87" s="1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4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60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  <c r="V88" s="19" t="s">
        <v>11</v>
      </c>
      <c r="W88" s="40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15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34">
        <v>3</v>
      </c>
      <c r="BB88" s="14">
        <v>4</v>
      </c>
      <c r="BC88" s="14">
        <v>5</v>
      </c>
      <c r="BD88" s="14">
        <v>6</v>
      </c>
      <c r="BE88" s="14">
        <v>7</v>
      </c>
      <c r="BF88" s="14">
        <v>8</v>
      </c>
      <c r="BG88" s="15">
        <v>9</v>
      </c>
      <c r="BH88" s="15" t="s">
        <v>18</v>
      </c>
    </row>
    <row r="89" spans="2:60" x14ac:dyDescent="0.4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59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  <c r="V89" s="16" t="s">
        <v>12</v>
      </c>
      <c r="W89" s="11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36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1">
        <v>4</v>
      </c>
      <c r="AW89" s="1">
        <v>3</v>
      </c>
      <c r="AX89" s="1">
        <v>2</v>
      </c>
      <c r="AY89" s="1">
        <v>1</v>
      </c>
      <c r="AZ89" s="1">
        <v>2</v>
      </c>
      <c r="BA89" s="1">
        <v>3</v>
      </c>
      <c r="BB89" s="1">
        <v>4</v>
      </c>
      <c r="BC89" s="33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4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1">
        <v>2</v>
      </c>
      <c r="M90" s="1">
        <v>3</v>
      </c>
      <c r="N90" s="59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38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12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1">
        <v>3</v>
      </c>
      <c r="AX90" s="1">
        <v>2</v>
      </c>
      <c r="AY90" s="1">
        <v>1</v>
      </c>
      <c r="AZ90" s="1">
        <v>2</v>
      </c>
      <c r="BA90" s="33">
        <v>3</v>
      </c>
      <c r="BB90" s="1">
        <v>4</v>
      </c>
      <c r="BC90" s="1">
        <v>5</v>
      </c>
      <c r="BD90" s="1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4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59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38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12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33">
        <v>4</v>
      </c>
      <c r="AW91" s="1">
        <v>3</v>
      </c>
      <c r="AX91" s="1">
        <v>2</v>
      </c>
      <c r="AY91" s="1">
        <v>1</v>
      </c>
      <c r="AZ91" s="1">
        <v>2</v>
      </c>
      <c r="BA91" s="1">
        <v>3</v>
      </c>
      <c r="BB91" s="1">
        <v>4</v>
      </c>
      <c r="BC91" s="1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4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59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11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36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1">
        <v>1</v>
      </c>
      <c r="AZ92" s="33">
        <v>2</v>
      </c>
      <c r="BA92" s="1">
        <v>3</v>
      </c>
      <c r="BB92" s="1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4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1">
        <v>3</v>
      </c>
      <c r="N93" s="59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33">
        <v>2</v>
      </c>
      <c r="BA93" s="1">
        <v>3</v>
      </c>
      <c r="BB93" s="1">
        <v>4</v>
      </c>
      <c r="BC93" s="1">
        <v>5</v>
      </c>
      <c r="BD93" s="1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4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60">
        <v>3</v>
      </c>
      <c r="J94" s="14">
        <v>2</v>
      </c>
      <c r="K94" s="1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40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15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3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14">
        <v>5</v>
      </c>
      <c r="BD94" s="14">
        <v>6</v>
      </c>
      <c r="BE94" s="14">
        <v>7</v>
      </c>
      <c r="BF94" s="14">
        <v>8</v>
      </c>
      <c r="BG94" s="15">
        <v>9</v>
      </c>
      <c r="BH94" s="15" t="s">
        <v>18</v>
      </c>
    </row>
    <row r="95" spans="2:60" x14ac:dyDescent="0.4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59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38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12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33">
        <v>5</v>
      </c>
      <c r="AV95" s="1">
        <v>4</v>
      </c>
      <c r="AW95" s="1">
        <v>3</v>
      </c>
      <c r="AX95" s="1">
        <v>2</v>
      </c>
      <c r="AY95" s="1">
        <v>1</v>
      </c>
      <c r="AZ95" s="1">
        <v>2</v>
      </c>
      <c r="BA95" s="1">
        <v>3</v>
      </c>
      <c r="BB95" s="1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4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59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38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12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33">
        <v>7</v>
      </c>
      <c r="AT96" s="1">
        <v>6</v>
      </c>
      <c r="AU96" s="1">
        <v>5</v>
      </c>
      <c r="AV96" s="1">
        <v>4</v>
      </c>
      <c r="AW96" s="1">
        <v>3</v>
      </c>
      <c r="AX96" s="1">
        <v>2</v>
      </c>
      <c r="AY96" s="1">
        <v>1</v>
      </c>
      <c r="AZ96" s="1">
        <v>2</v>
      </c>
      <c r="BA96" s="1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4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59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38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12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1">
        <v>4</v>
      </c>
      <c r="AW97" s="33">
        <v>3</v>
      </c>
      <c r="AX97" s="1">
        <v>2</v>
      </c>
      <c r="AY97" s="1">
        <v>1</v>
      </c>
      <c r="AZ97" s="1">
        <v>2</v>
      </c>
      <c r="BA97" s="1">
        <v>3</v>
      </c>
      <c r="BB97" s="1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4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1">
        <v>1</v>
      </c>
      <c r="L98" s="59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1">
        <v>4</v>
      </c>
      <c r="AW98" s="33">
        <v>3</v>
      </c>
      <c r="AX98" s="1">
        <v>2</v>
      </c>
      <c r="AY98" s="1">
        <v>1</v>
      </c>
      <c r="AZ98" s="1">
        <v>2</v>
      </c>
      <c r="BA98" s="1">
        <v>3</v>
      </c>
      <c r="BB98" s="1">
        <v>4</v>
      </c>
      <c r="BC98" s="1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4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59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  <c r="V99" s="17" t="s">
        <v>13</v>
      </c>
      <c r="W99" s="38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12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33">
        <v>5</v>
      </c>
      <c r="AV99" s="1">
        <v>4</v>
      </c>
      <c r="AW99" s="1">
        <v>3</v>
      </c>
      <c r="AX99" s="1">
        <v>2</v>
      </c>
      <c r="AY99" s="1">
        <v>1</v>
      </c>
      <c r="AZ99" s="1">
        <v>2</v>
      </c>
      <c r="BA99" s="1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4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8">
        <v>5</v>
      </c>
      <c r="H100" s="5">
        <v>4</v>
      </c>
      <c r="I100" s="5">
        <v>3</v>
      </c>
      <c r="J100" s="5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4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41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5">
        <v>6</v>
      </c>
      <c r="AU100" s="5">
        <v>5</v>
      </c>
      <c r="AV100" s="5">
        <v>4</v>
      </c>
      <c r="AW100" s="6">
        <v>3</v>
      </c>
      <c r="AX100" s="5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4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59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11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36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1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1">
        <v>2</v>
      </c>
      <c r="BA101" s="1">
        <v>3</v>
      </c>
      <c r="BB101" s="1">
        <v>4</v>
      </c>
      <c r="BC101" s="33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4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59">
        <v>7</v>
      </c>
      <c r="R102" s="1">
        <v>8</v>
      </c>
      <c r="S102" s="12">
        <v>9</v>
      </c>
      <c r="T102" s="12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1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1">
        <v>2</v>
      </c>
      <c r="BA102" s="1">
        <v>3</v>
      </c>
      <c r="BB102" s="1">
        <v>4</v>
      </c>
      <c r="BC102" s="33">
        <v>5</v>
      </c>
      <c r="BD102" s="1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45">
      <c r="B103" s="13" t="s">
        <v>14</v>
      </c>
      <c r="C103" s="13">
        <v>9</v>
      </c>
      <c r="D103" s="14">
        <v>8</v>
      </c>
      <c r="E103" s="14">
        <v>7</v>
      </c>
      <c r="F103" s="60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13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37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14">
        <v>6</v>
      </c>
      <c r="AU103" s="34">
        <v>5</v>
      </c>
      <c r="AV103" s="14">
        <v>4</v>
      </c>
      <c r="AW103" s="14">
        <v>3</v>
      </c>
      <c r="AX103" s="1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4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59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11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36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1">
        <v>2</v>
      </c>
      <c r="AY104" s="1">
        <v>1</v>
      </c>
      <c r="AZ104" s="1">
        <v>2</v>
      </c>
      <c r="BA104" s="1">
        <v>3</v>
      </c>
      <c r="BB104" s="1">
        <v>4</v>
      </c>
      <c r="BC104" s="1">
        <v>5</v>
      </c>
      <c r="BD104" s="33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4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1">
        <v>3</v>
      </c>
      <c r="N105" s="59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1">
        <v>2</v>
      </c>
      <c r="AY105" s="1">
        <v>1</v>
      </c>
      <c r="AZ105" s="1">
        <v>2</v>
      </c>
      <c r="BA105" s="1">
        <v>3</v>
      </c>
      <c r="BB105" s="1">
        <v>4</v>
      </c>
      <c r="BC105" s="1">
        <v>5</v>
      </c>
      <c r="BD105" s="33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4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61">
        <v>3</v>
      </c>
      <c r="J106" s="14">
        <v>2</v>
      </c>
      <c r="K106" s="60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13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37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34">
        <v>2</v>
      </c>
      <c r="AY106" s="1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4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59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33">
        <v>1</v>
      </c>
      <c r="AZ107" s="1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45">
      <c r="B108" s="19" t="s">
        <v>16</v>
      </c>
      <c r="C108" s="13">
        <v>9</v>
      </c>
      <c r="D108" s="14">
        <v>8</v>
      </c>
      <c r="E108" s="14">
        <v>7</v>
      </c>
      <c r="F108" s="60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40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15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34">
        <v>7</v>
      </c>
      <c r="AT108" s="14">
        <v>6</v>
      </c>
      <c r="AU108" s="14">
        <v>5</v>
      </c>
      <c r="AV108" s="14">
        <v>4</v>
      </c>
      <c r="AW108" s="14">
        <v>3</v>
      </c>
      <c r="AX108" s="14">
        <v>2</v>
      </c>
      <c r="AY108" s="14">
        <v>1</v>
      </c>
      <c r="AZ108" s="1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4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60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34">
        <v>7</v>
      </c>
      <c r="AT109" s="14">
        <v>6</v>
      </c>
      <c r="AU109" s="14">
        <v>5</v>
      </c>
      <c r="AV109" s="14">
        <v>4</v>
      </c>
      <c r="AW109" s="14">
        <v>3</v>
      </c>
      <c r="AX109" s="14">
        <v>2</v>
      </c>
      <c r="AY109" s="14">
        <v>1</v>
      </c>
      <c r="AZ109" s="14">
        <v>2</v>
      </c>
      <c r="BA109" s="14">
        <v>3</v>
      </c>
      <c r="BB109" s="14">
        <v>4</v>
      </c>
      <c r="BC109" s="1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J6:BK6"/>
    <mergeCell ref="BN6:BU6"/>
    <mergeCell ref="BW6:CD6"/>
    <mergeCell ref="AP1:BH1"/>
    <mergeCell ref="AP2:BH2"/>
    <mergeCell ref="AP3:AP4"/>
    <mergeCell ref="AQ3:BG3"/>
    <mergeCell ref="BH3:BH4"/>
    <mergeCell ref="V1:AN1"/>
    <mergeCell ref="V2:AN2"/>
    <mergeCell ref="V3:V4"/>
    <mergeCell ref="W3:AM3"/>
    <mergeCell ref="AN3:AN4"/>
    <mergeCell ref="B1:T1"/>
    <mergeCell ref="B3:B4"/>
    <mergeCell ref="C3:S3"/>
    <mergeCell ref="T3:T4"/>
    <mergeCell ref="B2:T2"/>
  </mergeCells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CA5E-1DD1-4646-AE8D-6A325FBDC105}">
  <dimension ref="B1:CE109"/>
  <sheetViews>
    <sheetView topLeftCell="U82" zoomScale="75" workbookViewId="0">
      <selection activeCell="AP1" sqref="AP1:BH109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27.1875" bestFit="1" customWidth="1"/>
    <col min="23" max="39" width="2.1875" bestFit="1" customWidth="1"/>
    <col min="40" max="40" width="27.1875" bestFit="1" customWidth="1"/>
    <col min="42" max="42" width="27.1875" bestFit="1" customWidth="1"/>
    <col min="43" max="59" width="2.1875" bestFit="1" customWidth="1"/>
    <col min="60" max="60" width="27.1875" bestFit="1" customWidth="1"/>
    <col min="62" max="62" width="26.6875" bestFit="1" customWidth="1"/>
    <col min="63" max="63" width="68" bestFit="1" customWidth="1"/>
    <col min="65" max="65" width="11.3125" bestFit="1" customWidth="1"/>
    <col min="66" max="73" width="2.1875" bestFit="1" customWidth="1"/>
    <col min="74" max="74" width="9.6875" bestFit="1" customWidth="1"/>
    <col min="75" max="82" width="2.1875" bestFit="1" customWidth="1"/>
    <col min="83" max="83" width="11.1875" bestFit="1" customWidth="1"/>
  </cols>
  <sheetData>
    <row r="1" spans="2:83" x14ac:dyDescent="0.5">
      <c r="B1" s="90" t="s">
        <v>19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  <c r="U1" s="23"/>
      <c r="V1" s="90" t="s">
        <v>19</v>
      </c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2"/>
      <c r="AP1" s="82" t="s">
        <v>19</v>
      </c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4"/>
    </row>
    <row r="2" spans="2:83" x14ac:dyDescent="0.5">
      <c r="B2" s="85" t="s">
        <v>22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93"/>
      <c r="U2" s="23"/>
      <c r="V2" s="85" t="s">
        <v>23</v>
      </c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93"/>
      <c r="AP2" s="85" t="s">
        <v>28</v>
      </c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7"/>
    </row>
    <row r="3" spans="2:83" x14ac:dyDescent="0.5">
      <c r="B3" s="94" t="s">
        <v>1</v>
      </c>
      <c r="C3" s="90" t="s">
        <v>2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6"/>
      <c r="T3" s="94" t="s">
        <v>3</v>
      </c>
      <c r="U3" s="23"/>
      <c r="V3" s="94" t="s">
        <v>1</v>
      </c>
      <c r="W3" s="90" t="s">
        <v>2</v>
      </c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6"/>
      <c r="AN3" s="94" t="s">
        <v>3</v>
      </c>
      <c r="AP3" s="80" t="s">
        <v>1</v>
      </c>
      <c r="AQ3" s="81" t="s">
        <v>2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0" t="s">
        <v>3</v>
      </c>
    </row>
    <row r="4" spans="2:83" x14ac:dyDescent="0.5">
      <c r="B4" s="95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5"/>
      <c r="U4" s="23"/>
      <c r="V4" s="95"/>
      <c r="W4" s="24">
        <v>9</v>
      </c>
      <c r="X4" s="24">
        <v>8</v>
      </c>
      <c r="Y4" s="24">
        <v>7</v>
      </c>
      <c r="Z4" s="24">
        <v>6</v>
      </c>
      <c r="AA4" s="24">
        <v>5</v>
      </c>
      <c r="AB4" s="24">
        <v>4</v>
      </c>
      <c r="AC4" s="24">
        <v>3</v>
      </c>
      <c r="AD4" s="24">
        <v>2</v>
      </c>
      <c r="AE4" s="24">
        <v>1</v>
      </c>
      <c r="AF4" s="24">
        <v>2</v>
      </c>
      <c r="AG4" s="24">
        <v>3</v>
      </c>
      <c r="AH4" s="24">
        <v>4</v>
      </c>
      <c r="AI4" s="24">
        <v>5</v>
      </c>
      <c r="AJ4" s="24">
        <v>6</v>
      </c>
      <c r="AK4" s="24">
        <v>7</v>
      </c>
      <c r="AL4" s="24">
        <v>8</v>
      </c>
      <c r="AM4" s="24">
        <v>9</v>
      </c>
      <c r="AN4" s="95"/>
      <c r="AP4" s="80"/>
      <c r="AQ4" s="3">
        <v>9</v>
      </c>
      <c r="AR4" s="3">
        <v>8</v>
      </c>
      <c r="AS4" s="3">
        <v>7</v>
      </c>
      <c r="AT4" s="3">
        <v>6</v>
      </c>
      <c r="AU4" s="3">
        <v>5</v>
      </c>
      <c r="AV4" s="3">
        <v>4</v>
      </c>
      <c r="AW4" s="3">
        <v>3</v>
      </c>
      <c r="AX4" s="3">
        <v>2</v>
      </c>
      <c r="AY4" s="3">
        <v>1</v>
      </c>
      <c r="AZ4" s="3">
        <v>2</v>
      </c>
      <c r="BA4" s="3">
        <v>3</v>
      </c>
      <c r="BB4" s="3">
        <v>4</v>
      </c>
      <c r="BC4" s="3">
        <v>5</v>
      </c>
      <c r="BD4" s="3">
        <v>6</v>
      </c>
      <c r="BE4" s="3">
        <v>7</v>
      </c>
      <c r="BF4" s="3">
        <v>8</v>
      </c>
      <c r="BG4" s="3">
        <v>9</v>
      </c>
      <c r="BH4" s="80"/>
    </row>
    <row r="5" spans="2:83" x14ac:dyDescent="0.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6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5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5">
        <v>6</v>
      </c>
      <c r="BE5" s="6">
        <v>7</v>
      </c>
      <c r="BF5" s="5">
        <v>8</v>
      </c>
      <c r="BG5" s="7">
        <v>9</v>
      </c>
      <c r="BH5" s="7" t="s">
        <v>5</v>
      </c>
      <c r="BJ5" s="88" t="s">
        <v>34</v>
      </c>
      <c r="BK5" s="88"/>
      <c r="BM5" s="1"/>
      <c r="BN5" s="89" t="s">
        <v>41</v>
      </c>
      <c r="BO5" s="89"/>
      <c r="BP5" s="89"/>
      <c r="BQ5" s="89"/>
      <c r="BR5" s="89"/>
      <c r="BS5" s="89"/>
      <c r="BT5" s="89"/>
      <c r="BU5" s="89"/>
      <c r="BV5" s="46" t="s">
        <v>42</v>
      </c>
      <c r="BW5" s="89" t="s">
        <v>43</v>
      </c>
      <c r="BX5" s="89"/>
      <c r="BY5" s="89"/>
      <c r="BZ5" s="89"/>
      <c r="CA5" s="89"/>
      <c r="CB5" s="89"/>
      <c r="CC5" s="89"/>
      <c r="CD5" s="89"/>
      <c r="CE5" s="1"/>
    </row>
    <row r="6" spans="2:83" x14ac:dyDescent="0.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33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33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6</v>
      </c>
      <c r="BJ6" s="2" t="s">
        <v>29</v>
      </c>
      <c r="BK6" s="2" t="s">
        <v>30</v>
      </c>
      <c r="BM6" s="45" t="s">
        <v>39</v>
      </c>
      <c r="BN6" s="3">
        <v>9</v>
      </c>
      <c r="BO6" s="3">
        <v>8</v>
      </c>
      <c r="BP6" s="3">
        <v>7</v>
      </c>
      <c r="BQ6" s="3">
        <v>6</v>
      </c>
      <c r="BR6" s="3">
        <v>5</v>
      </c>
      <c r="BS6" s="3">
        <v>4</v>
      </c>
      <c r="BT6" s="3">
        <v>3</v>
      </c>
      <c r="BU6" s="3">
        <v>2</v>
      </c>
      <c r="BV6" s="3">
        <v>1</v>
      </c>
      <c r="BW6" s="3">
        <v>2</v>
      </c>
      <c r="BX6" s="3">
        <v>3</v>
      </c>
      <c r="BY6" s="3">
        <v>4</v>
      </c>
      <c r="BZ6" s="3">
        <v>5</v>
      </c>
      <c r="CA6" s="3">
        <v>6</v>
      </c>
      <c r="CB6" s="3">
        <v>7</v>
      </c>
      <c r="CC6" s="3">
        <v>8</v>
      </c>
      <c r="CD6" s="3">
        <v>9</v>
      </c>
      <c r="CE6" s="45" t="s">
        <v>40</v>
      </c>
    </row>
    <row r="7" spans="2:83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8">
        <v>3</v>
      </c>
      <c r="J7" s="1">
        <v>2</v>
      </c>
      <c r="K7" s="33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11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36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1">
        <v>4</v>
      </c>
      <c r="AW7" s="18">
        <v>3</v>
      </c>
      <c r="AX7" s="1">
        <v>2</v>
      </c>
      <c r="AY7" s="1">
        <v>1</v>
      </c>
      <c r="AZ7" s="1">
        <v>2</v>
      </c>
      <c r="BA7" s="33">
        <v>3</v>
      </c>
      <c r="BB7" s="1">
        <v>4</v>
      </c>
      <c r="BC7" s="1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3">
        <v>1</v>
      </c>
      <c r="BK7" s="3" t="s">
        <v>31</v>
      </c>
    </row>
    <row r="8" spans="2:83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33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17" t="s">
        <v>4</v>
      </c>
      <c r="W8" s="11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36">
        <v>9</v>
      </c>
      <c r="AN8" s="12" t="s">
        <v>8</v>
      </c>
      <c r="AP8" s="17" t="s">
        <v>4</v>
      </c>
      <c r="AQ8" s="11">
        <v>9</v>
      </c>
      <c r="AR8" s="1">
        <v>8</v>
      </c>
      <c r="AS8" s="1">
        <v>7</v>
      </c>
      <c r="AT8" s="1">
        <v>6</v>
      </c>
      <c r="AU8" s="1">
        <v>5</v>
      </c>
      <c r="AV8" s="1">
        <v>4</v>
      </c>
      <c r="AW8" s="1">
        <v>3</v>
      </c>
      <c r="AX8" s="33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3</v>
      </c>
      <c r="BK8" s="3" t="s">
        <v>35</v>
      </c>
    </row>
    <row r="9" spans="2:83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1">
        <v>2</v>
      </c>
      <c r="K9" s="33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11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36">
        <v>9</v>
      </c>
      <c r="AN9" s="12" t="s">
        <v>9</v>
      </c>
      <c r="AP9" s="17" t="s">
        <v>4</v>
      </c>
      <c r="AQ9" s="11">
        <v>9</v>
      </c>
      <c r="AR9" s="1">
        <v>8</v>
      </c>
      <c r="AS9" s="1">
        <v>7</v>
      </c>
      <c r="AT9" s="1">
        <v>6</v>
      </c>
      <c r="AU9" s="1">
        <v>5</v>
      </c>
      <c r="AV9" s="1">
        <v>4</v>
      </c>
      <c r="AW9" s="1">
        <v>3</v>
      </c>
      <c r="AX9" s="33">
        <v>2</v>
      </c>
      <c r="AY9" s="1">
        <v>1</v>
      </c>
      <c r="AZ9" s="1">
        <v>2</v>
      </c>
      <c r="BA9" s="1">
        <v>3</v>
      </c>
      <c r="BB9" s="1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5</v>
      </c>
      <c r="BK9" s="3" t="s">
        <v>36</v>
      </c>
    </row>
    <row r="10" spans="2:83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33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11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36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1">
        <v>4</v>
      </c>
      <c r="AW10" s="1">
        <v>3</v>
      </c>
      <c r="AX10" s="1">
        <v>2</v>
      </c>
      <c r="AY10" s="1">
        <v>1</v>
      </c>
      <c r="AZ10" s="1">
        <v>2</v>
      </c>
      <c r="BA10" s="33">
        <v>3</v>
      </c>
      <c r="BB10" s="1">
        <v>4</v>
      </c>
      <c r="BC10" s="1">
        <v>5</v>
      </c>
      <c r="BD10" s="1">
        <v>6</v>
      </c>
      <c r="BE10" s="1">
        <v>7</v>
      </c>
      <c r="BF10" s="1">
        <v>8</v>
      </c>
      <c r="BG10" s="12">
        <v>9</v>
      </c>
      <c r="BH10" s="12" t="s">
        <v>10</v>
      </c>
      <c r="BJ10" s="3">
        <v>7</v>
      </c>
      <c r="BK10" s="3" t="s">
        <v>37</v>
      </c>
    </row>
    <row r="11" spans="2:83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33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38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12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1">
        <v>2</v>
      </c>
      <c r="AY11" s="1">
        <v>1</v>
      </c>
      <c r="AZ11" s="33">
        <v>2</v>
      </c>
      <c r="BA11" s="1">
        <v>3</v>
      </c>
      <c r="BB11" s="1">
        <v>4</v>
      </c>
      <c r="BC11" s="1">
        <v>5</v>
      </c>
      <c r="BD11" s="1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9</v>
      </c>
      <c r="BK11" s="3" t="s">
        <v>32</v>
      </c>
    </row>
    <row r="12" spans="2:83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33">
        <v>1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38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12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33">
        <v>2</v>
      </c>
      <c r="BA12" s="1">
        <v>3</v>
      </c>
      <c r="BB12" s="1">
        <v>4</v>
      </c>
      <c r="BC12" s="1">
        <v>5</v>
      </c>
      <c r="BD12" s="1">
        <v>6</v>
      </c>
      <c r="BE12" s="1">
        <v>7</v>
      </c>
      <c r="BF12" s="1">
        <v>8</v>
      </c>
      <c r="BG12" s="12">
        <v>9</v>
      </c>
      <c r="BH12" s="12" t="s">
        <v>12</v>
      </c>
      <c r="BJ12" s="3" t="s">
        <v>33</v>
      </c>
      <c r="BK12" s="3" t="s">
        <v>38</v>
      </c>
    </row>
    <row r="13" spans="2:83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33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17" t="s">
        <v>4</v>
      </c>
      <c r="W13" s="38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12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1">
        <v>3</v>
      </c>
      <c r="AX13" s="1">
        <v>2</v>
      </c>
      <c r="AY13" s="1">
        <v>1</v>
      </c>
      <c r="AZ13" s="1">
        <v>2</v>
      </c>
      <c r="BA13" s="1">
        <v>3</v>
      </c>
      <c r="BB13" s="1">
        <v>4</v>
      </c>
      <c r="BC13" s="1">
        <v>5</v>
      </c>
      <c r="BD13" s="33">
        <v>6</v>
      </c>
      <c r="BE13" s="1">
        <v>7</v>
      </c>
      <c r="BF13" s="1">
        <v>8</v>
      </c>
      <c r="BG13" s="12">
        <v>9</v>
      </c>
      <c r="BH13" s="12" t="s">
        <v>13</v>
      </c>
    </row>
    <row r="14" spans="2:83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33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17" t="s">
        <v>4</v>
      </c>
      <c r="W14" s="38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12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1">
        <v>2</v>
      </c>
      <c r="BA14" s="1">
        <v>3</v>
      </c>
      <c r="BB14" s="1">
        <v>4</v>
      </c>
      <c r="BC14" s="1">
        <v>5</v>
      </c>
      <c r="BD14" s="1">
        <v>6</v>
      </c>
      <c r="BE14" s="1">
        <v>7</v>
      </c>
      <c r="BF14" s="1">
        <v>8</v>
      </c>
      <c r="BG14" s="36">
        <v>9</v>
      </c>
      <c r="BH14" s="12" t="s">
        <v>14</v>
      </c>
    </row>
    <row r="15" spans="2:83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33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11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36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1">
        <v>3</v>
      </c>
      <c r="AX15" s="1">
        <v>2</v>
      </c>
      <c r="AY15" s="1">
        <v>1</v>
      </c>
      <c r="AZ15" s="33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33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38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12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1">
        <v>3</v>
      </c>
      <c r="AX16" s="1">
        <v>2</v>
      </c>
      <c r="AY16" s="1">
        <v>1</v>
      </c>
      <c r="AZ16" s="1">
        <v>2</v>
      </c>
      <c r="BA16" s="33">
        <v>3</v>
      </c>
      <c r="BB16" s="1">
        <v>4</v>
      </c>
      <c r="BC16" s="1">
        <v>5</v>
      </c>
      <c r="BD16" s="1">
        <v>6</v>
      </c>
      <c r="BE16" s="1">
        <v>7</v>
      </c>
      <c r="BF16" s="1">
        <v>8</v>
      </c>
      <c r="BG16" s="12">
        <v>9</v>
      </c>
      <c r="BH16" s="12" t="s">
        <v>16</v>
      </c>
    </row>
    <row r="17" spans="2:60" x14ac:dyDescent="0.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33">
        <v>1</v>
      </c>
      <c r="L17" s="1">
        <v>2</v>
      </c>
      <c r="M17" s="1">
        <v>3</v>
      </c>
      <c r="N17" s="1">
        <v>4</v>
      </c>
      <c r="O17" s="1">
        <v>5</v>
      </c>
      <c r="P17" s="1">
        <v>6</v>
      </c>
      <c r="Q17" s="1">
        <v>7</v>
      </c>
      <c r="R17" s="1">
        <v>8</v>
      </c>
      <c r="S17" s="12">
        <v>9</v>
      </c>
      <c r="T17" s="12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1">
        <v>4</v>
      </c>
      <c r="AW17" s="1">
        <v>3</v>
      </c>
      <c r="AX17" s="1">
        <v>2</v>
      </c>
      <c r="AY17" s="1">
        <v>1</v>
      </c>
      <c r="AZ17" s="1">
        <v>2</v>
      </c>
      <c r="BA17" s="33">
        <v>3</v>
      </c>
      <c r="BB17" s="1">
        <v>4</v>
      </c>
      <c r="BC17" s="1">
        <v>5</v>
      </c>
      <c r="BD17" s="1">
        <v>6</v>
      </c>
      <c r="BE17" s="1">
        <v>7</v>
      </c>
      <c r="BF17" s="1">
        <v>8</v>
      </c>
      <c r="BG17" s="12">
        <v>9</v>
      </c>
      <c r="BH17" s="12" t="s">
        <v>17</v>
      </c>
    </row>
    <row r="18" spans="2:60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3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13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37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14">
        <v>3</v>
      </c>
      <c r="AX18" s="14">
        <v>2</v>
      </c>
      <c r="AY18" s="14">
        <v>1</v>
      </c>
      <c r="AZ18" s="34">
        <v>2</v>
      </c>
      <c r="BA18" s="1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33">
        <v>1</v>
      </c>
      <c r="L19" s="1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1">
        <v>4</v>
      </c>
      <c r="AW19" s="33">
        <v>3</v>
      </c>
      <c r="AX19" s="1">
        <v>2</v>
      </c>
      <c r="AY19" s="1">
        <v>1</v>
      </c>
      <c r="AZ19" s="1">
        <v>2</v>
      </c>
      <c r="BA19" s="1">
        <v>3</v>
      </c>
      <c r="BB19" s="1">
        <v>4</v>
      </c>
      <c r="BC19" s="1">
        <v>5</v>
      </c>
      <c r="BD19" s="1">
        <v>6</v>
      </c>
      <c r="BE19" s="1">
        <v>7</v>
      </c>
      <c r="BF19" s="1">
        <v>8</v>
      </c>
      <c r="BG19" s="12">
        <v>9</v>
      </c>
      <c r="BH19" s="12" t="s">
        <v>6</v>
      </c>
    </row>
    <row r="20" spans="2:60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33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11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36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1">
        <v>6</v>
      </c>
      <c r="AU20" s="1">
        <v>5</v>
      </c>
      <c r="AV20" s="1">
        <v>4</v>
      </c>
      <c r="AW20" s="32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1">
        <v>8</v>
      </c>
      <c r="BG20" s="12">
        <v>9</v>
      </c>
      <c r="BH20" s="12" t="s">
        <v>7</v>
      </c>
    </row>
    <row r="21" spans="2:60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33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38">
        <v>9</v>
      </c>
      <c r="AR21" s="1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1">
        <v>8</v>
      </c>
      <c r="BG21" s="12">
        <v>9</v>
      </c>
      <c r="BH21" s="12" t="s">
        <v>8</v>
      </c>
    </row>
    <row r="22" spans="2:60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1">
        <v>2</v>
      </c>
      <c r="K22" s="33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11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36">
        <v>9</v>
      </c>
      <c r="AN22" s="12" t="s">
        <v>9</v>
      </c>
      <c r="AP22" s="17" t="s">
        <v>5</v>
      </c>
      <c r="AQ22" s="38">
        <v>9</v>
      </c>
      <c r="AR22" s="1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1">
        <v>8</v>
      </c>
      <c r="BG22" s="12">
        <v>9</v>
      </c>
      <c r="BH22" s="12" t="s">
        <v>9</v>
      </c>
    </row>
    <row r="23" spans="2:60" x14ac:dyDescent="0.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33">
        <v>1</v>
      </c>
      <c r="L23" s="1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33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1">
        <v>4</v>
      </c>
      <c r="BC23" s="1">
        <v>5</v>
      </c>
      <c r="BD23" s="1">
        <v>6</v>
      </c>
      <c r="BE23" s="1">
        <v>7</v>
      </c>
      <c r="BF23" s="1">
        <v>8</v>
      </c>
      <c r="BG23" s="12">
        <v>9</v>
      </c>
      <c r="BH23" s="12" t="s">
        <v>10</v>
      </c>
    </row>
    <row r="24" spans="2:60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33">
        <v>1</v>
      </c>
      <c r="L24" s="1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38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12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33">
        <v>5</v>
      </c>
      <c r="AV24" s="1">
        <v>4</v>
      </c>
      <c r="AW24" s="1">
        <v>3</v>
      </c>
      <c r="AX24" s="1">
        <v>2</v>
      </c>
      <c r="AY24" s="1">
        <v>1</v>
      </c>
      <c r="AZ24" s="1">
        <v>2</v>
      </c>
      <c r="BA24" s="1">
        <v>3</v>
      </c>
      <c r="BB24" s="1">
        <v>4</v>
      </c>
      <c r="BC24" s="1">
        <v>5</v>
      </c>
      <c r="BD24" s="1">
        <v>6</v>
      </c>
      <c r="BE24" s="1">
        <v>7</v>
      </c>
      <c r="BF24" s="1">
        <v>8</v>
      </c>
      <c r="BG24" s="12">
        <v>9</v>
      </c>
      <c r="BH24" s="12" t="s">
        <v>11</v>
      </c>
    </row>
    <row r="25" spans="2:60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33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  <c r="V25" s="17" t="s">
        <v>5</v>
      </c>
      <c r="W25" s="38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12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33">
        <v>5</v>
      </c>
      <c r="AV25" s="1">
        <v>4</v>
      </c>
      <c r="AW25" s="1">
        <v>3</v>
      </c>
      <c r="AX25" s="1">
        <v>2</v>
      </c>
      <c r="AY25" s="1">
        <v>1</v>
      </c>
      <c r="AZ25" s="1">
        <v>2</v>
      </c>
      <c r="BA25" s="1">
        <v>3</v>
      </c>
      <c r="BB25" s="1">
        <v>4</v>
      </c>
      <c r="BC25" s="1">
        <v>5</v>
      </c>
      <c r="BD25" s="1">
        <v>6</v>
      </c>
      <c r="BE25" s="1">
        <v>7</v>
      </c>
      <c r="BF25" s="1">
        <v>8</v>
      </c>
      <c r="BG25" s="12">
        <v>9</v>
      </c>
      <c r="BH25" s="12" t="s">
        <v>12</v>
      </c>
    </row>
    <row r="26" spans="2:60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33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  <c r="V26" s="17" t="s">
        <v>5</v>
      </c>
      <c r="W26" s="38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12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33">
        <v>3</v>
      </c>
      <c r="AX26" s="1">
        <v>2</v>
      </c>
      <c r="AY26" s="1">
        <v>1</v>
      </c>
      <c r="AZ26" s="1">
        <v>2</v>
      </c>
      <c r="BA26" s="1">
        <v>3</v>
      </c>
      <c r="BB26" s="1">
        <v>4</v>
      </c>
      <c r="BC26" s="1">
        <v>5</v>
      </c>
      <c r="BD26" s="1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33">
        <v>1</v>
      </c>
      <c r="L27" s="1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  <c r="V27" s="17" t="s">
        <v>5</v>
      </c>
      <c r="W27" s="38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12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1">
        <v>3</v>
      </c>
      <c r="AX27" s="1">
        <v>2</v>
      </c>
      <c r="AY27" s="1">
        <v>1</v>
      </c>
      <c r="AZ27" s="1">
        <v>2</v>
      </c>
      <c r="BA27" s="33">
        <v>3</v>
      </c>
      <c r="BB27" s="1">
        <v>4</v>
      </c>
      <c r="BC27" s="1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33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1">
        <v>6</v>
      </c>
      <c r="AU28" s="1">
        <v>5</v>
      </c>
      <c r="AV28" s="33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1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33">
        <v>1</v>
      </c>
      <c r="L29" s="1">
        <v>2</v>
      </c>
      <c r="M29" s="1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33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1">
        <v>3</v>
      </c>
      <c r="BB29" s="1">
        <v>4</v>
      </c>
      <c r="BC29" s="1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33">
        <v>1</v>
      </c>
      <c r="L30" s="1">
        <v>2</v>
      </c>
      <c r="M30" s="1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33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1">
        <v>4</v>
      </c>
      <c r="BC30" s="1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3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  <c r="V31" s="19" t="s">
        <v>5</v>
      </c>
      <c r="W31" s="40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15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14">
        <v>5</v>
      </c>
      <c r="AV31" s="3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1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1">
        <v>4</v>
      </c>
      <c r="I32" s="18">
        <v>3</v>
      </c>
      <c r="J32" s="1">
        <v>2</v>
      </c>
      <c r="K32" s="33">
        <v>1</v>
      </c>
      <c r="L32" s="1">
        <v>2</v>
      </c>
      <c r="M32" s="1">
        <v>3</v>
      </c>
      <c r="N32" s="1">
        <v>4</v>
      </c>
      <c r="O32" s="1">
        <v>5</v>
      </c>
      <c r="P32" s="1">
        <v>6</v>
      </c>
      <c r="Q32" s="1">
        <v>7</v>
      </c>
      <c r="R32" s="1">
        <v>8</v>
      </c>
      <c r="S32" s="12">
        <v>9</v>
      </c>
      <c r="T32" s="12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1">
        <v>5</v>
      </c>
      <c r="AV32" s="1">
        <v>4</v>
      </c>
      <c r="AW32" s="18">
        <v>3</v>
      </c>
      <c r="AX32" s="1">
        <v>2</v>
      </c>
      <c r="AY32" s="33">
        <v>1</v>
      </c>
      <c r="AZ32" s="1">
        <v>2</v>
      </c>
      <c r="BA32" s="1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5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1">
        <v>4</v>
      </c>
      <c r="I33" s="1">
        <v>3</v>
      </c>
      <c r="J33" s="1">
        <v>2</v>
      </c>
      <c r="K33" s="33">
        <v>1</v>
      </c>
      <c r="L33" s="1">
        <v>2</v>
      </c>
      <c r="M33" s="1">
        <v>3</v>
      </c>
      <c r="N33" s="1">
        <v>4</v>
      </c>
      <c r="O33" s="1">
        <v>5</v>
      </c>
      <c r="P33" s="1">
        <v>6</v>
      </c>
      <c r="Q33" s="1">
        <v>7</v>
      </c>
      <c r="R33" s="1">
        <v>8</v>
      </c>
      <c r="S33" s="12">
        <v>9</v>
      </c>
      <c r="T33" s="12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11">
        <v>9</v>
      </c>
      <c r="AR33" s="1">
        <v>8</v>
      </c>
      <c r="AS33" s="1">
        <v>7</v>
      </c>
      <c r="AT33" s="1">
        <v>6</v>
      </c>
      <c r="AU33" s="33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1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1">
        <v>3</v>
      </c>
      <c r="J34" s="1">
        <v>2</v>
      </c>
      <c r="K34" s="33">
        <v>1</v>
      </c>
      <c r="L34" s="1">
        <v>2</v>
      </c>
      <c r="M34" s="1">
        <v>3</v>
      </c>
      <c r="N34" s="1">
        <v>4</v>
      </c>
      <c r="O34" s="1">
        <v>5</v>
      </c>
      <c r="P34" s="1">
        <v>6</v>
      </c>
      <c r="Q34" s="1">
        <v>7</v>
      </c>
      <c r="R34" s="1">
        <v>8</v>
      </c>
      <c r="S34" s="12">
        <v>9</v>
      </c>
      <c r="T34" s="12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11">
        <v>9</v>
      </c>
      <c r="AR34" s="1">
        <v>8</v>
      </c>
      <c r="AS34" s="1">
        <v>7</v>
      </c>
      <c r="AT34" s="1">
        <v>6</v>
      </c>
      <c r="AU34" s="33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1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">
        <v>2</v>
      </c>
      <c r="K35" s="33">
        <v>1</v>
      </c>
      <c r="L35" s="1">
        <v>2</v>
      </c>
      <c r="M35" s="1">
        <v>3</v>
      </c>
      <c r="N35" s="1">
        <v>4</v>
      </c>
      <c r="O35" s="1">
        <v>5</v>
      </c>
      <c r="P35" s="1">
        <v>6</v>
      </c>
      <c r="Q35" s="1">
        <v>7</v>
      </c>
      <c r="R35" s="1">
        <v>8</v>
      </c>
      <c r="S35" s="12">
        <v>9</v>
      </c>
      <c r="T35" s="12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33">
        <v>3</v>
      </c>
      <c r="AX35" s="1">
        <v>2</v>
      </c>
      <c r="AY35" s="1">
        <v>1</v>
      </c>
      <c r="AZ35" s="1">
        <v>2</v>
      </c>
      <c r="BA35" s="1">
        <v>3</v>
      </c>
      <c r="BB35" s="1">
        <v>4</v>
      </c>
      <c r="BC35" s="1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">
        <v>2</v>
      </c>
      <c r="K36" s="33">
        <v>1</v>
      </c>
      <c r="L36" s="1">
        <v>2</v>
      </c>
      <c r="M36" s="1">
        <v>3</v>
      </c>
      <c r="N36" s="1">
        <v>4</v>
      </c>
      <c r="O36" s="1">
        <v>5</v>
      </c>
      <c r="P36" s="1">
        <v>6</v>
      </c>
      <c r="Q36" s="1">
        <v>7</v>
      </c>
      <c r="R36" s="1">
        <v>8</v>
      </c>
      <c r="S36" s="12">
        <v>9</v>
      </c>
      <c r="T36" s="12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33">
        <v>3</v>
      </c>
      <c r="AX36" s="1">
        <v>2</v>
      </c>
      <c r="AY36" s="1">
        <v>1</v>
      </c>
      <c r="AZ36" s="1">
        <v>2</v>
      </c>
      <c r="BA36" s="1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1">
        <v>3</v>
      </c>
      <c r="J37" s="1">
        <v>2</v>
      </c>
      <c r="K37" s="33">
        <v>1</v>
      </c>
      <c r="L37" s="1">
        <v>2</v>
      </c>
      <c r="M37" s="1">
        <v>3</v>
      </c>
      <c r="N37" s="1">
        <v>4</v>
      </c>
      <c r="O37" s="1">
        <v>5</v>
      </c>
      <c r="P37" s="1">
        <v>6</v>
      </c>
      <c r="Q37" s="1">
        <v>7</v>
      </c>
      <c r="R37" s="1">
        <v>8</v>
      </c>
      <c r="S37" s="12">
        <v>9</v>
      </c>
      <c r="T37" s="12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33">
        <v>3</v>
      </c>
      <c r="AX37" s="1">
        <v>2</v>
      </c>
      <c r="AY37" s="1">
        <v>1</v>
      </c>
      <c r="AZ37" s="1">
        <v>2</v>
      </c>
      <c r="BA37" s="1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">
        <v>2</v>
      </c>
      <c r="K38" s="33">
        <v>1</v>
      </c>
      <c r="L38" s="1">
        <v>2</v>
      </c>
      <c r="M38" s="1">
        <v>3</v>
      </c>
      <c r="N38" s="1">
        <v>4</v>
      </c>
      <c r="O38" s="1">
        <v>5</v>
      </c>
      <c r="P38" s="1">
        <v>6</v>
      </c>
      <c r="Q38" s="1">
        <v>7</v>
      </c>
      <c r="R38" s="1">
        <v>8</v>
      </c>
      <c r="S38" s="12">
        <v>9</v>
      </c>
      <c r="T38" s="12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1">
        <v>1</v>
      </c>
      <c r="AZ38" s="1">
        <v>2</v>
      </c>
      <c r="BA38" s="1">
        <v>3</v>
      </c>
      <c r="BB38" s="1">
        <v>4</v>
      </c>
      <c r="BC38" s="1">
        <v>5</v>
      </c>
      <c r="BD38" s="33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">
        <v>2</v>
      </c>
      <c r="K39" s="33">
        <v>1</v>
      </c>
      <c r="L39" s="1">
        <v>2</v>
      </c>
      <c r="M39" s="1">
        <v>3</v>
      </c>
      <c r="N39" s="1">
        <v>4</v>
      </c>
      <c r="O39" s="1">
        <v>5</v>
      </c>
      <c r="P39" s="1">
        <v>6</v>
      </c>
      <c r="Q39" s="1">
        <v>7</v>
      </c>
      <c r="R39" s="1">
        <v>8</v>
      </c>
      <c r="S39" s="12">
        <v>9</v>
      </c>
      <c r="T39" s="12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1">
        <v>3</v>
      </c>
      <c r="AX39" s="1">
        <v>2</v>
      </c>
      <c r="AY39" s="1">
        <v>1</v>
      </c>
      <c r="AZ39" s="1">
        <v>2</v>
      </c>
      <c r="BA39" s="1">
        <v>3</v>
      </c>
      <c r="BB39" s="1">
        <v>4</v>
      </c>
      <c r="BC39" s="1">
        <v>5</v>
      </c>
      <c r="BD39" s="1">
        <v>6</v>
      </c>
      <c r="BE39" s="1">
        <v>7</v>
      </c>
      <c r="BF39" s="33">
        <v>8</v>
      </c>
      <c r="BG39" s="12">
        <v>9</v>
      </c>
      <c r="BH39" s="12" t="s">
        <v>14</v>
      </c>
    </row>
    <row r="40" spans="2:60" x14ac:dyDescent="0.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1">
        <v>2</v>
      </c>
      <c r="K40" s="33">
        <v>1</v>
      </c>
      <c r="L40" s="1">
        <v>2</v>
      </c>
      <c r="M40" s="1">
        <v>3</v>
      </c>
      <c r="N40" s="1">
        <v>4</v>
      </c>
      <c r="O40" s="1">
        <v>5</v>
      </c>
      <c r="P40" s="1">
        <v>6</v>
      </c>
      <c r="Q40" s="1">
        <v>7</v>
      </c>
      <c r="R40" s="1">
        <v>8</v>
      </c>
      <c r="S40" s="12">
        <v>9</v>
      </c>
      <c r="T40" s="12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1">
        <v>6</v>
      </c>
      <c r="AU40" s="1">
        <v>5</v>
      </c>
      <c r="AV40" s="1">
        <v>4</v>
      </c>
      <c r="AW40" s="1">
        <v>3</v>
      </c>
      <c r="AX40" s="1">
        <v>2</v>
      </c>
      <c r="AY40" s="1">
        <v>1</v>
      </c>
      <c r="AZ40" s="1">
        <v>2</v>
      </c>
      <c r="BA40" s="33">
        <v>3</v>
      </c>
      <c r="BB40" s="1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">
        <v>2</v>
      </c>
      <c r="K41" s="33">
        <v>1</v>
      </c>
      <c r="L41" s="1">
        <v>2</v>
      </c>
      <c r="M41" s="1">
        <v>3</v>
      </c>
      <c r="N41" s="1">
        <v>4</v>
      </c>
      <c r="O41" s="1">
        <v>5</v>
      </c>
      <c r="P41" s="1">
        <v>6</v>
      </c>
      <c r="Q41" s="1">
        <v>7</v>
      </c>
      <c r="R41" s="1">
        <v>8</v>
      </c>
      <c r="S41" s="12">
        <v>9</v>
      </c>
      <c r="T41" s="12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33">
        <v>2</v>
      </c>
      <c r="BA41" s="1">
        <v>3</v>
      </c>
      <c r="BB41" s="1">
        <v>4</v>
      </c>
      <c r="BC41" s="1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">
        <v>2</v>
      </c>
      <c r="K42" s="33">
        <v>1</v>
      </c>
      <c r="L42" s="1">
        <v>2</v>
      </c>
      <c r="M42" s="1">
        <v>3</v>
      </c>
      <c r="N42" s="1">
        <v>4</v>
      </c>
      <c r="O42" s="1">
        <v>5</v>
      </c>
      <c r="P42" s="1">
        <v>6</v>
      </c>
      <c r="Q42" s="1">
        <v>7</v>
      </c>
      <c r="R42" s="1">
        <v>8</v>
      </c>
      <c r="S42" s="12">
        <v>9</v>
      </c>
      <c r="T42" s="12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33">
        <v>2</v>
      </c>
      <c r="BA42" s="1">
        <v>3</v>
      </c>
      <c r="BB42" s="1">
        <v>4</v>
      </c>
      <c r="BC42" s="1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34">
        <v>1</v>
      </c>
      <c r="L43" s="14">
        <v>2</v>
      </c>
      <c r="M43" s="14">
        <v>3</v>
      </c>
      <c r="N43" s="14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14">
        <v>7</v>
      </c>
      <c r="AT43" s="14">
        <v>6</v>
      </c>
      <c r="AU43" s="14">
        <v>5</v>
      </c>
      <c r="AV43" s="14">
        <v>4</v>
      </c>
      <c r="AW43" s="14">
        <v>3</v>
      </c>
      <c r="AX43" s="14">
        <v>2</v>
      </c>
      <c r="AY43" s="14">
        <v>1</v>
      </c>
      <c r="AZ43" s="14">
        <v>2</v>
      </c>
      <c r="BA43" s="34">
        <v>3</v>
      </c>
      <c r="BB43" s="1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1">
        <v>2</v>
      </c>
      <c r="K44" s="33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  <c r="V44" s="16" t="s">
        <v>7</v>
      </c>
      <c r="W44" s="38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12">
        <v>9</v>
      </c>
      <c r="AN44" s="12" t="s">
        <v>8</v>
      </c>
      <c r="AP44" s="16" t="s">
        <v>7</v>
      </c>
      <c r="AQ44" s="11">
        <v>9</v>
      </c>
      <c r="AR44" s="1">
        <v>8</v>
      </c>
      <c r="AS44" s="1">
        <v>7</v>
      </c>
      <c r="AT44" s="1">
        <v>6</v>
      </c>
      <c r="AU44" s="33">
        <v>5</v>
      </c>
      <c r="AV44" s="1">
        <v>4</v>
      </c>
      <c r="AW44" s="1">
        <v>3</v>
      </c>
      <c r="AX44" s="1">
        <v>2</v>
      </c>
      <c r="AY44" s="1">
        <v>1</v>
      </c>
      <c r="AZ44" s="1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1">
        <v>2</v>
      </c>
      <c r="K45" s="33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11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36">
        <v>9</v>
      </c>
      <c r="AN45" s="12" t="s">
        <v>9</v>
      </c>
      <c r="AP45" s="17" t="s">
        <v>7</v>
      </c>
      <c r="AQ45" s="11">
        <v>9</v>
      </c>
      <c r="AR45" s="1">
        <v>8</v>
      </c>
      <c r="AS45" s="1">
        <v>7</v>
      </c>
      <c r="AT45" s="1">
        <v>6</v>
      </c>
      <c r="AU45" s="33">
        <v>5</v>
      </c>
      <c r="AV45" s="1">
        <v>4</v>
      </c>
      <c r="AW45" s="1">
        <v>3</v>
      </c>
      <c r="AX45" s="1">
        <v>2</v>
      </c>
      <c r="AY45" s="1">
        <v>1</v>
      </c>
      <c r="AZ45" s="1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33">
        <v>1</v>
      </c>
      <c r="L46" s="1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38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12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1">
        <v>4</v>
      </c>
      <c r="AW46" s="33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1">
        <v>5</v>
      </c>
      <c r="BD46" s="1">
        <v>6</v>
      </c>
      <c r="BE46" s="1">
        <v>7</v>
      </c>
      <c r="BF46" s="1">
        <v>8</v>
      </c>
      <c r="BG46" s="12">
        <v>9</v>
      </c>
      <c r="BH46" s="12" t="s">
        <v>10</v>
      </c>
    </row>
    <row r="47" spans="2:6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33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38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12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33">
        <v>3</v>
      </c>
      <c r="AX47" s="1">
        <v>2</v>
      </c>
      <c r="AY47" s="1">
        <v>1</v>
      </c>
      <c r="AZ47" s="1">
        <v>2</v>
      </c>
      <c r="BA47" s="1">
        <v>3</v>
      </c>
      <c r="BB47" s="1">
        <v>4</v>
      </c>
      <c r="BC47" s="1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33">
        <v>1</v>
      </c>
      <c r="L48" s="1">
        <v>2</v>
      </c>
      <c r="M48" s="1">
        <v>3</v>
      </c>
      <c r="N48" s="1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38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12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33">
        <v>3</v>
      </c>
      <c r="AX48" s="1">
        <v>2</v>
      </c>
      <c r="AY48" s="1">
        <v>1</v>
      </c>
      <c r="AZ48" s="1">
        <v>2</v>
      </c>
      <c r="BA48" s="1">
        <v>3</v>
      </c>
      <c r="BB48" s="1">
        <v>4</v>
      </c>
      <c r="BC48" s="1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33">
        <v>1</v>
      </c>
      <c r="L49" s="1">
        <v>2</v>
      </c>
      <c r="M49" s="1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38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12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1">
        <v>5</v>
      </c>
      <c r="AV49" s="1">
        <v>4</v>
      </c>
      <c r="AW49" s="64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1">
        <v>5</v>
      </c>
      <c r="BD49" s="33">
        <v>6</v>
      </c>
      <c r="BE49" s="1">
        <v>7</v>
      </c>
      <c r="BF49" s="1">
        <v>8</v>
      </c>
      <c r="BG49" s="12">
        <v>9</v>
      </c>
      <c r="BH49" s="12" t="s">
        <v>13</v>
      </c>
    </row>
    <row r="50" spans="2:6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33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  <c r="V50" s="17" t="s">
        <v>7</v>
      </c>
      <c r="W50" s="38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12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1">
        <v>2</v>
      </c>
      <c r="AY50" s="1">
        <v>1</v>
      </c>
      <c r="AZ50" s="1">
        <v>2</v>
      </c>
      <c r="BA50" s="1">
        <v>3</v>
      </c>
      <c r="BB50" s="1">
        <v>4</v>
      </c>
      <c r="BC50" s="1">
        <v>5</v>
      </c>
      <c r="BD50" s="1">
        <v>6</v>
      </c>
      <c r="BE50" s="1">
        <v>7</v>
      </c>
      <c r="BF50" s="33">
        <v>8</v>
      </c>
      <c r="BG50" s="12">
        <v>9</v>
      </c>
      <c r="BH50" s="12" t="s">
        <v>14</v>
      </c>
    </row>
    <row r="51" spans="2:6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33">
        <v>1</v>
      </c>
      <c r="L51" s="1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11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36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1">
        <v>3</v>
      </c>
      <c r="AX51" s="1">
        <v>2</v>
      </c>
      <c r="AY51" s="1">
        <v>1</v>
      </c>
      <c r="AZ51" s="1">
        <v>2</v>
      </c>
      <c r="BA51" s="33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33">
        <v>1</v>
      </c>
      <c r="L52" s="1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11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36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33">
        <v>2</v>
      </c>
      <c r="BA52" s="1">
        <v>3</v>
      </c>
      <c r="BB52" s="1">
        <v>4</v>
      </c>
      <c r="BC52" s="1">
        <v>5</v>
      </c>
      <c r="BD52" s="1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33">
        <v>1</v>
      </c>
      <c r="L53" s="1">
        <v>2</v>
      </c>
      <c r="M53" s="1">
        <v>3</v>
      </c>
      <c r="N53" s="1">
        <v>4</v>
      </c>
      <c r="O53" s="1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33">
        <v>2</v>
      </c>
      <c r="BA53" s="1">
        <v>3</v>
      </c>
      <c r="BB53" s="1">
        <v>4</v>
      </c>
      <c r="BC53" s="1">
        <v>5</v>
      </c>
      <c r="BD53" s="1">
        <v>6</v>
      </c>
      <c r="BE53" s="1">
        <v>7</v>
      </c>
      <c r="BF53" s="1">
        <v>8</v>
      </c>
      <c r="BG53" s="12">
        <v>9</v>
      </c>
      <c r="BH53" s="12" t="s">
        <v>17</v>
      </c>
    </row>
    <row r="54" spans="2:6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34">
        <v>1</v>
      </c>
      <c r="L54" s="14">
        <v>2</v>
      </c>
      <c r="M54" s="1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40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15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14">
        <v>2</v>
      </c>
      <c r="AY54" s="14">
        <v>1</v>
      </c>
      <c r="AZ54" s="14">
        <v>2</v>
      </c>
      <c r="BA54" s="3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33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11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36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33">
        <v>1</v>
      </c>
      <c r="L56" s="1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38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12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33">
        <v>5</v>
      </c>
      <c r="BD56" s="1">
        <v>6</v>
      </c>
      <c r="BE56" s="1">
        <v>7</v>
      </c>
      <c r="BF56" s="1">
        <v>8</v>
      </c>
      <c r="BG56" s="12">
        <v>9</v>
      </c>
      <c r="BH56" s="12" t="s">
        <v>10</v>
      </c>
    </row>
    <row r="57" spans="2:60" x14ac:dyDescent="0.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33">
        <v>1</v>
      </c>
      <c r="L57" s="1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38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12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1">
        <v>3</v>
      </c>
      <c r="AX57" s="1">
        <v>2</v>
      </c>
      <c r="AY57" s="1">
        <v>1</v>
      </c>
      <c r="AZ57" s="1">
        <v>2</v>
      </c>
      <c r="BA57" s="1">
        <v>3</v>
      </c>
      <c r="BB57" s="1">
        <v>4</v>
      </c>
      <c r="BC57" s="33">
        <v>5</v>
      </c>
      <c r="BD57" s="1">
        <v>6</v>
      </c>
      <c r="BE57" s="1">
        <v>7</v>
      </c>
      <c r="BF57" s="1">
        <v>8</v>
      </c>
      <c r="BG57" s="12">
        <v>9</v>
      </c>
      <c r="BH57" s="12" t="s">
        <v>11</v>
      </c>
    </row>
    <row r="58" spans="2:6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33">
        <v>1</v>
      </c>
      <c r="L58" s="1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38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12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1">
        <v>2</v>
      </c>
      <c r="AY58" s="1">
        <v>1</v>
      </c>
      <c r="AZ58" s="1">
        <v>2</v>
      </c>
      <c r="BA58" s="1">
        <v>3</v>
      </c>
      <c r="BB58" s="1">
        <v>4</v>
      </c>
      <c r="BC58" s="33">
        <v>5</v>
      </c>
      <c r="BD58" s="1">
        <v>6</v>
      </c>
      <c r="BE58" s="1">
        <v>7</v>
      </c>
      <c r="BF58" s="1">
        <v>8</v>
      </c>
      <c r="BG58" s="12">
        <v>9</v>
      </c>
      <c r="BH58" s="12" t="s">
        <v>12</v>
      </c>
    </row>
    <row r="59" spans="2:60" x14ac:dyDescent="0.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33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38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12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1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1">
        <v>4</v>
      </c>
      <c r="BC59" s="1">
        <v>5</v>
      </c>
      <c r="BD59" s="1">
        <v>6</v>
      </c>
      <c r="BE59" s="33">
        <v>7</v>
      </c>
      <c r="BF59" s="1">
        <v>8</v>
      </c>
      <c r="BG59" s="12">
        <v>9</v>
      </c>
      <c r="BH59" s="12" t="s">
        <v>13</v>
      </c>
    </row>
    <row r="60" spans="2:60" x14ac:dyDescent="0.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33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  <c r="V60" s="17" t="s">
        <v>8</v>
      </c>
      <c r="W60" s="38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12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1">
        <v>4</v>
      </c>
      <c r="AW60" s="1">
        <v>3</v>
      </c>
      <c r="AX60" s="1">
        <v>2</v>
      </c>
      <c r="AY60" s="1">
        <v>1</v>
      </c>
      <c r="AZ60" s="1">
        <v>2</v>
      </c>
      <c r="BA60" s="1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36">
        <v>9</v>
      </c>
      <c r="BH60" s="12" t="s">
        <v>14</v>
      </c>
    </row>
    <row r="61" spans="2:60" x14ac:dyDescent="0.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33">
        <v>1</v>
      </c>
      <c r="L61" s="1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11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36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1">
        <v>3</v>
      </c>
      <c r="AX61" s="1">
        <v>2</v>
      </c>
      <c r="AY61" s="1">
        <v>1</v>
      </c>
      <c r="AZ61" s="1">
        <v>2</v>
      </c>
      <c r="BA61" s="1">
        <v>3</v>
      </c>
      <c r="BB61" s="1">
        <v>4</v>
      </c>
      <c r="BC61" s="1">
        <v>5</v>
      </c>
      <c r="BD61" s="33">
        <v>6</v>
      </c>
      <c r="BE61" s="1">
        <v>7</v>
      </c>
      <c r="BF61" s="1">
        <v>8</v>
      </c>
      <c r="BG61" s="12">
        <v>9</v>
      </c>
      <c r="BH61" s="12" t="s">
        <v>15</v>
      </c>
    </row>
    <row r="62" spans="2:60" x14ac:dyDescent="0.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33">
        <v>1</v>
      </c>
      <c r="L62" s="1">
        <v>2</v>
      </c>
      <c r="M62" s="1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11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36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1">
        <v>3</v>
      </c>
      <c r="BB62" s="33">
        <v>4</v>
      </c>
      <c r="BC62" s="1">
        <v>5</v>
      </c>
      <c r="BD62" s="1">
        <v>6</v>
      </c>
      <c r="BE62" s="1">
        <v>7</v>
      </c>
      <c r="BF62" s="1">
        <v>8</v>
      </c>
      <c r="BG62" s="12">
        <v>9</v>
      </c>
      <c r="BH62" s="12" t="s">
        <v>16</v>
      </c>
    </row>
    <row r="63" spans="2:60" x14ac:dyDescent="0.5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33">
        <v>1</v>
      </c>
      <c r="L63" s="1">
        <v>2</v>
      </c>
      <c r="M63" s="1">
        <v>3</v>
      </c>
      <c r="N63" s="1">
        <v>4</v>
      </c>
      <c r="O63" s="1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1">
        <v>3</v>
      </c>
      <c r="BB63" s="33">
        <v>4</v>
      </c>
      <c r="BC63" s="1">
        <v>5</v>
      </c>
      <c r="BD63" s="1">
        <v>6</v>
      </c>
      <c r="BE63" s="1">
        <v>7</v>
      </c>
      <c r="BF63" s="1">
        <v>8</v>
      </c>
      <c r="BG63" s="12">
        <v>9</v>
      </c>
      <c r="BH63" s="12" t="s">
        <v>17</v>
      </c>
    </row>
    <row r="64" spans="2:6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34">
        <v>1</v>
      </c>
      <c r="L64" s="14">
        <v>2</v>
      </c>
      <c r="M64" s="1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40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15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14">
        <v>3</v>
      </c>
      <c r="AX64" s="14">
        <v>2</v>
      </c>
      <c r="AY64" s="14">
        <v>1</v>
      </c>
      <c r="AZ64" s="14">
        <v>2</v>
      </c>
      <c r="BA64" s="14">
        <v>3</v>
      </c>
      <c r="BB64" s="14">
        <v>4</v>
      </c>
      <c r="BC64" s="14">
        <v>5</v>
      </c>
      <c r="BD64" s="34">
        <v>6</v>
      </c>
      <c r="BE64" s="14">
        <v>7</v>
      </c>
      <c r="BF64" s="14">
        <v>8</v>
      </c>
      <c r="BG64" s="15">
        <v>9</v>
      </c>
      <c r="BH64" s="15" t="s">
        <v>18</v>
      </c>
    </row>
    <row r="65" spans="2:6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33">
        <v>1</v>
      </c>
      <c r="L65" s="1">
        <v>2</v>
      </c>
      <c r="M65" s="1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38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12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1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33">
        <v>5</v>
      </c>
      <c r="BD65" s="1">
        <v>6</v>
      </c>
      <c r="BE65" s="1">
        <v>7</v>
      </c>
      <c r="BF65" s="1">
        <v>8</v>
      </c>
      <c r="BG65" s="12">
        <v>9</v>
      </c>
      <c r="BH65" s="12" t="s">
        <v>10</v>
      </c>
    </row>
    <row r="66" spans="2:6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33">
        <v>1</v>
      </c>
      <c r="L66" s="1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38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12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1">
        <v>3</v>
      </c>
      <c r="AX66" s="1">
        <v>2</v>
      </c>
      <c r="AY66" s="1">
        <v>1</v>
      </c>
      <c r="AZ66" s="1">
        <v>2</v>
      </c>
      <c r="BA66" s="1">
        <v>3</v>
      </c>
      <c r="BB66" s="1">
        <v>4</v>
      </c>
      <c r="BC66" s="33">
        <v>5</v>
      </c>
      <c r="BD66" s="1">
        <v>6</v>
      </c>
      <c r="BE66" s="1">
        <v>7</v>
      </c>
      <c r="BF66" s="1">
        <v>8</v>
      </c>
      <c r="BG66" s="12">
        <v>9</v>
      </c>
      <c r="BH66" s="12" t="s">
        <v>11</v>
      </c>
    </row>
    <row r="67" spans="2:6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33">
        <v>1</v>
      </c>
      <c r="L67" s="1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  <c r="V67" s="17" t="s">
        <v>9</v>
      </c>
      <c r="W67" s="38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12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1">
        <v>2</v>
      </c>
      <c r="AY67" s="1">
        <v>1</v>
      </c>
      <c r="AZ67" s="1">
        <v>2</v>
      </c>
      <c r="BA67" s="1">
        <v>3</v>
      </c>
      <c r="BB67" s="1">
        <v>4</v>
      </c>
      <c r="BC67" s="33">
        <v>5</v>
      </c>
      <c r="BD67" s="1">
        <v>6</v>
      </c>
      <c r="BE67" s="1">
        <v>7</v>
      </c>
      <c r="BF67" s="1">
        <v>8</v>
      </c>
      <c r="BG67" s="12">
        <v>9</v>
      </c>
      <c r="BH67" s="12" t="s">
        <v>12</v>
      </c>
    </row>
    <row r="68" spans="2:6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33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2">
        <v>9</v>
      </c>
      <c r="T68" s="12" t="s">
        <v>13</v>
      </c>
      <c r="V68" s="17" t="s">
        <v>9</v>
      </c>
      <c r="W68" s="38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12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1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1">
        <v>4</v>
      </c>
      <c r="BC68" s="1">
        <v>5</v>
      </c>
      <c r="BD68" s="1">
        <v>6</v>
      </c>
      <c r="BE68" s="33">
        <v>7</v>
      </c>
      <c r="BF68" s="1">
        <v>8</v>
      </c>
      <c r="BG68" s="12">
        <v>9</v>
      </c>
      <c r="BH68" s="12" t="s">
        <v>13</v>
      </c>
    </row>
    <row r="69" spans="2:6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33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  <c r="V69" s="17" t="s">
        <v>9</v>
      </c>
      <c r="W69" s="38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12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1">
        <v>4</v>
      </c>
      <c r="AW69" s="1">
        <v>3</v>
      </c>
      <c r="AX69" s="1">
        <v>2</v>
      </c>
      <c r="AY69" s="1">
        <v>1</v>
      </c>
      <c r="AZ69" s="1">
        <v>2</v>
      </c>
      <c r="BA69" s="1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36">
        <v>9</v>
      </c>
      <c r="BH69" s="12" t="s">
        <v>14</v>
      </c>
    </row>
    <row r="70" spans="2:6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33">
        <v>1</v>
      </c>
      <c r="L70" s="1">
        <v>2</v>
      </c>
      <c r="M70" s="1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1">
        <v>3</v>
      </c>
      <c r="AX70" s="1">
        <v>2</v>
      </c>
      <c r="AY70" s="1">
        <v>1</v>
      </c>
      <c r="AZ70" s="1">
        <v>2</v>
      </c>
      <c r="BA70" s="1">
        <v>3</v>
      </c>
      <c r="BB70" s="1">
        <v>4</v>
      </c>
      <c r="BC70" s="1">
        <v>5</v>
      </c>
      <c r="BD70" s="33">
        <v>6</v>
      </c>
      <c r="BE70" s="1">
        <v>7</v>
      </c>
      <c r="BF70" s="1">
        <v>8</v>
      </c>
      <c r="BG70" s="12">
        <v>9</v>
      </c>
      <c r="BH70" s="12" t="s">
        <v>15</v>
      </c>
    </row>
    <row r="71" spans="2:6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33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1">
        <v>3</v>
      </c>
      <c r="BB71" s="33">
        <v>4</v>
      </c>
      <c r="BC71" s="1">
        <v>5</v>
      </c>
      <c r="BD71" s="1">
        <v>6</v>
      </c>
      <c r="BE71" s="1">
        <v>7</v>
      </c>
      <c r="BF71" s="1">
        <v>8</v>
      </c>
      <c r="BG71" s="12">
        <v>9</v>
      </c>
      <c r="BH71" s="12" t="s">
        <v>16</v>
      </c>
    </row>
    <row r="72" spans="2:60" x14ac:dyDescent="0.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33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1">
        <v>7</v>
      </c>
      <c r="R72" s="1">
        <v>8</v>
      </c>
      <c r="S72" s="12">
        <v>9</v>
      </c>
      <c r="T72" s="12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1">
        <v>3</v>
      </c>
      <c r="BB72" s="33">
        <v>4</v>
      </c>
      <c r="BC72" s="1">
        <v>5</v>
      </c>
      <c r="BD72" s="1">
        <v>6</v>
      </c>
      <c r="BE72" s="1">
        <v>7</v>
      </c>
      <c r="BF72" s="1">
        <v>8</v>
      </c>
      <c r="BG72" s="12">
        <v>9</v>
      </c>
      <c r="BH72" s="12" t="s">
        <v>17</v>
      </c>
    </row>
    <row r="73" spans="2:6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3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14">
        <v>7</v>
      </c>
      <c r="R73" s="14">
        <v>8</v>
      </c>
      <c r="S73" s="15">
        <v>9</v>
      </c>
      <c r="T73" s="15" t="s">
        <v>18</v>
      </c>
      <c r="V73" s="19" t="s">
        <v>9</v>
      </c>
      <c r="W73" s="40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15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14">
        <v>3</v>
      </c>
      <c r="AX73" s="14">
        <v>2</v>
      </c>
      <c r="AY73" s="14">
        <v>1</v>
      </c>
      <c r="AZ73" s="14">
        <v>2</v>
      </c>
      <c r="BA73" s="14">
        <v>3</v>
      </c>
      <c r="BB73" s="14">
        <v>4</v>
      </c>
      <c r="BC73" s="14">
        <v>5</v>
      </c>
      <c r="BD73" s="34">
        <v>6</v>
      </c>
      <c r="BE73" s="14">
        <v>7</v>
      </c>
      <c r="BF73" s="14">
        <v>8</v>
      </c>
      <c r="BG73" s="15">
        <v>9</v>
      </c>
      <c r="BH73" s="15" t="s">
        <v>18</v>
      </c>
    </row>
    <row r="74" spans="2:6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33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38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12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1">
        <v>7</v>
      </c>
      <c r="AT74" s="1">
        <v>6</v>
      </c>
      <c r="AU74" s="1">
        <v>5</v>
      </c>
      <c r="AV74" s="1">
        <v>4</v>
      </c>
      <c r="AW74" s="1">
        <v>3</v>
      </c>
      <c r="AX74" s="1">
        <v>2</v>
      </c>
      <c r="AY74" s="33">
        <v>1</v>
      </c>
      <c r="AZ74" s="1">
        <v>2</v>
      </c>
      <c r="BA74" s="1">
        <v>3</v>
      </c>
      <c r="BB74" s="1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33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  <c r="V75" s="17" t="s">
        <v>10</v>
      </c>
      <c r="W75" s="38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12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1">
        <v>7</v>
      </c>
      <c r="AT75" s="1">
        <v>6</v>
      </c>
      <c r="AU75" s="1">
        <v>5</v>
      </c>
      <c r="AV75" s="1">
        <v>4</v>
      </c>
      <c r="AW75" s="1">
        <v>3</v>
      </c>
      <c r="AX75" s="1">
        <v>2</v>
      </c>
      <c r="AY75" s="33">
        <v>1</v>
      </c>
      <c r="AZ75" s="1">
        <v>2</v>
      </c>
      <c r="BA75" s="1">
        <v>3</v>
      </c>
      <c r="BB75" s="1">
        <v>4</v>
      </c>
      <c r="BC75" s="1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33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  <c r="V76" s="17" t="s">
        <v>10</v>
      </c>
      <c r="W76" s="38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12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1">
        <v>2</v>
      </c>
      <c r="AY76" s="1">
        <v>1</v>
      </c>
      <c r="AZ76" s="1">
        <v>2</v>
      </c>
      <c r="BA76" s="1">
        <v>3</v>
      </c>
      <c r="BB76" s="33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33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  <c r="V77" s="17" t="s">
        <v>10</v>
      </c>
      <c r="W77" s="38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12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1">
        <v>5</v>
      </c>
      <c r="AV77" s="1">
        <v>4</v>
      </c>
      <c r="AW77" s="1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1">
        <v>5</v>
      </c>
      <c r="BD77" s="33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33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11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36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1">
        <v>7</v>
      </c>
      <c r="AT78" s="1">
        <v>6</v>
      </c>
      <c r="AU78" s="1">
        <v>5</v>
      </c>
      <c r="AV78" s="1">
        <v>4</v>
      </c>
      <c r="AW78" s="1">
        <v>3</v>
      </c>
      <c r="AX78" s="1">
        <v>2</v>
      </c>
      <c r="AY78" s="1">
        <v>1</v>
      </c>
      <c r="AZ78" s="1">
        <v>2</v>
      </c>
      <c r="BA78" s="1">
        <v>3</v>
      </c>
      <c r="BB78" s="1">
        <v>4</v>
      </c>
      <c r="BC78" s="33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33">
        <v>1</v>
      </c>
      <c r="L79" s="1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1">
        <v>3</v>
      </c>
      <c r="AX79" s="1">
        <v>2</v>
      </c>
      <c r="AY79" s="1">
        <v>1</v>
      </c>
      <c r="AZ79" s="1">
        <v>2</v>
      </c>
      <c r="BA79" s="1">
        <v>3</v>
      </c>
      <c r="BB79" s="33">
        <v>4</v>
      </c>
      <c r="BC79" s="1">
        <v>5</v>
      </c>
      <c r="BD79" s="1">
        <v>6</v>
      </c>
      <c r="BE79" s="1">
        <v>7</v>
      </c>
      <c r="BF79" s="1">
        <v>8</v>
      </c>
      <c r="BG79" s="12">
        <v>9</v>
      </c>
      <c r="BH79" s="12" t="s">
        <v>16</v>
      </c>
    </row>
    <row r="80" spans="2:60" x14ac:dyDescent="0.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33">
        <v>1</v>
      </c>
      <c r="L80" s="1">
        <v>2</v>
      </c>
      <c r="M80" s="1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X80" s="1">
        <v>2</v>
      </c>
      <c r="AY80" s="1">
        <v>1</v>
      </c>
      <c r="AZ80" s="1">
        <v>2</v>
      </c>
      <c r="BA80" s="1">
        <v>3</v>
      </c>
      <c r="BB80" s="33">
        <v>4</v>
      </c>
      <c r="BC80" s="1">
        <v>5</v>
      </c>
      <c r="BD80" s="1">
        <v>6</v>
      </c>
      <c r="BE80" s="1">
        <v>7</v>
      </c>
      <c r="BF80" s="1">
        <v>8</v>
      </c>
      <c r="BG80" s="12">
        <v>9</v>
      </c>
      <c r="BH80" s="12" t="s">
        <v>17</v>
      </c>
    </row>
    <row r="81" spans="2:6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3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  <c r="V81" s="19" t="s">
        <v>10</v>
      </c>
      <c r="W81" s="40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15">
        <v>9</v>
      </c>
      <c r="AN81" s="15" t="s">
        <v>18</v>
      </c>
      <c r="AP81" s="19" t="s">
        <v>10</v>
      </c>
      <c r="AQ81" s="13">
        <v>9</v>
      </c>
      <c r="AR81" s="1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14">
        <v>3</v>
      </c>
      <c r="BB81" s="14">
        <v>4</v>
      </c>
      <c r="BC81" s="3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33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  <c r="V82" s="16" t="s">
        <v>11</v>
      </c>
      <c r="W82" s="38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12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33">
        <v>1</v>
      </c>
      <c r="AZ82" s="1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33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1">
        <v>3</v>
      </c>
      <c r="AX83" s="1">
        <v>2</v>
      </c>
      <c r="AY83" s="1">
        <v>1</v>
      </c>
      <c r="AZ83" s="1">
        <v>2</v>
      </c>
      <c r="BA83" s="1">
        <v>3</v>
      </c>
      <c r="BB83" s="33">
        <v>4</v>
      </c>
      <c r="BC83" s="1">
        <v>5</v>
      </c>
      <c r="BD83" s="1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33">
        <v>1</v>
      </c>
      <c r="L84" s="1">
        <v>2</v>
      </c>
      <c r="M84" s="1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11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36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1">
        <v>2</v>
      </c>
      <c r="BA84" s="1">
        <v>3</v>
      </c>
      <c r="BB84" s="1">
        <v>4</v>
      </c>
      <c r="BC84" s="1">
        <v>5</v>
      </c>
      <c r="BD84" s="33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33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11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36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1">
        <v>2</v>
      </c>
      <c r="AY85" s="1">
        <v>1</v>
      </c>
      <c r="AZ85" s="1">
        <v>2</v>
      </c>
      <c r="BA85" s="1">
        <v>3</v>
      </c>
      <c r="BB85" s="1">
        <v>4</v>
      </c>
      <c r="BC85" s="33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33">
        <v>1</v>
      </c>
      <c r="L86" s="1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11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36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1">
        <v>1</v>
      </c>
      <c r="AZ86" s="1">
        <v>2</v>
      </c>
      <c r="BA86" s="1">
        <v>3</v>
      </c>
      <c r="BB86" s="33">
        <v>4</v>
      </c>
      <c r="BC86" s="1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33">
        <v>1</v>
      </c>
      <c r="L87" s="1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1">
        <v>3</v>
      </c>
      <c r="BB87" s="33">
        <v>4</v>
      </c>
      <c r="BC87" s="1">
        <v>5</v>
      </c>
      <c r="BD87" s="1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3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  <c r="V88" s="19" t="s">
        <v>11</v>
      </c>
      <c r="W88" s="13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37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14">
        <v>3</v>
      </c>
      <c r="BB88" s="14">
        <v>4</v>
      </c>
      <c r="BC88" s="34">
        <v>5</v>
      </c>
      <c r="BD88" s="14">
        <v>6</v>
      </c>
      <c r="BE88" s="14">
        <v>7</v>
      </c>
      <c r="BF88" s="14">
        <v>8</v>
      </c>
      <c r="BG88" s="15">
        <v>9</v>
      </c>
      <c r="BH88" s="15" t="s">
        <v>18</v>
      </c>
    </row>
    <row r="89" spans="2:60" x14ac:dyDescent="0.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33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  <c r="V89" s="16" t="s">
        <v>12</v>
      </c>
      <c r="W89" s="11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36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1">
        <v>4</v>
      </c>
      <c r="AW89" s="1">
        <v>3</v>
      </c>
      <c r="AX89" s="1">
        <v>2</v>
      </c>
      <c r="AY89" s="1">
        <v>1</v>
      </c>
      <c r="AZ89" s="1">
        <v>2</v>
      </c>
      <c r="BA89" s="1">
        <v>3</v>
      </c>
      <c r="BB89" s="33">
        <v>4</v>
      </c>
      <c r="BC89" s="1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33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11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36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1">
        <v>3</v>
      </c>
      <c r="AX90" s="1">
        <v>2</v>
      </c>
      <c r="AY90" s="1">
        <v>1</v>
      </c>
      <c r="AZ90" s="1">
        <v>2</v>
      </c>
      <c r="BA90" s="1">
        <v>3</v>
      </c>
      <c r="BB90" s="1">
        <v>4</v>
      </c>
      <c r="BC90" s="1">
        <v>5</v>
      </c>
      <c r="BD90" s="33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33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11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36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1">
        <v>4</v>
      </c>
      <c r="AW91" s="1">
        <v>3</v>
      </c>
      <c r="AX91" s="1">
        <v>2</v>
      </c>
      <c r="AY91" s="1">
        <v>1</v>
      </c>
      <c r="AZ91" s="1">
        <v>2</v>
      </c>
      <c r="BA91" s="1">
        <v>3</v>
      </c>
      <c r="BB91" s="1">
        <v>4</v>
      </c>
      <c r="BC91" s="33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33">
        <v>1</v>
      </c>
      <c r="L92" s="1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11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36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1">
        <v>1</v>
      </c>
      <c r="AZ92" s="1">
        <v>2</v>
      </c>
      <c r="BA92" s="1">
        <v>3</v>
      </c>
      <c r="BB92" s="33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33">
        <v>1</v>
      </c>
      <c r="L93" s="1">
        <v>2</v>
      </c>
      <c r="M93" s="1">
        <v>3</v>
      </c>
      <c r="N93" s="1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1">
        <v>2</v>
      </c>
      <c r="BA93" s="1">
        <v>3</v>
      </c>
      <c r="BB93" s="33">
        <v>4</v>
      </c>
      <c r="BC93" s="1">
        <v>5</v>
      </c>
      <c r="BD93" s="1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3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13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37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1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34">
        <v>5</v>
      </c>
      <c r="BD94" s="14">
        <v>6</v>
      </c>
      <c r="BE94" s="14">
        <v>7</v>
      </c>
      <c r="BF94" s="14">
        <v>8</v>
      </c>
      <c r="BG94" s="15">
        <v>9</v>
      </c>
      <c r="BH94" s="15" t="s">
        <v>18</v>
      </c>
    </row>
    <row r="95" spans="2:60" x14ac:dyDescent="0.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33">
        <v>1</v>
      </c>
      <c r="L95" s="1">
        <v>2</v>
      </c>
      <c r="M95" s="1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38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12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1">
        <v>5</v>
      </c>
      <c r="AV95" s="1">
        <v>4</v>
      </c>
      <c r="AW95" s="1">
        <v>3</v>
      </c>
      <c r="AX95" s="1">
        <v>2</v>
      </c>
      <c r="AY95" s="1">
        <v>1</v>
      </c>
      <c r="AZ95" s="1">
        <v>2</v>
      </c>
      <c r="BA95" s="33">
        <v>3</v>
      </c>
      <c r="BB95" s="1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33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11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36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1">
        <v>7</v>
      </c>
      <c r="AT96" s="1">
        <v>6</v>
      </c>
      <c r="AU96" s="1">
        <v>5</v>
      </c>
      <c r="AV96" s="1">
        <v>4</v>
      </c>
      <c r="AW96" s="33">
        <v>3</v>
      </c>
      <c r="AX96" s="1">
        <v>2</v>
      </c>
      <c r="AY96" s="1">
        <v>1</v>
      </c>
      <c r="AZ96" s="1">
        <v>2</v>
      </c>
      <c r="BA96" s="1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33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11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36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32">
        <v>4</v>
      </c>
      <c r="AW97" s="1">
        <v>3</v>
      </c>
      <c r="AX97" s="1">
        <v>2</v>
      </c>
      <c r="AY97" s="1">
        <v>1</v>
      </c>
      <c r="AZ97" s="1">
        <v>2</v>
      </c>
      <c r="BA97" s="1">
        <v>3</v>
      </c>
      <c r="BB97" s="1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33">
        <v>1</v>
      </c>
      <c r="L98" s="1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32">
        <v>4</v>
      </c>
      <c r="AW98" s="1">
        <v>3</v>
      </c>
      <c r="AX98" s="1">
        <v>2</v>
      </c>
      <c r="AY98" s="1">
        <v>1</v>
      </c>
      <c r="AZ98" s="1">
        <v>2</v>
      </c>
      <c r="BA98" s="1">
        <v>3</v>
      </c>
      <c r="BB98" s="1">
        <v>4</v>
      </c>
      <c r="BC98" s="1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33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  <c r="V99" s="17" t="s">
        <v>13</v>
      </c>
      <c r="W99" s="38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12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1">
        <v>5</v>
      </c>
      <c r="AV99" s="1">
        <v>4</v>
      </c>
      <c r="AW99" s="33">
        <v>3</v>
      </c>
      <c r="AX99" s="1">
        <v>2</v>
      </c>
      <c r="AY99" s="1">
        <v>1</v>
      </c>
      <c r="AZ99" s="1">
        <v>2</v>
      </c>
      <c r="BA99" s="1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6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4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41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6">
        <v>6</v>
      </c>
      <c r="AU100" s="5">
        <v>5</v>
      </c>
      <c r="AV100" s="5">
        <v>4</v>
      </c>
      <c r="AW100" s="5">
        <v>3</v>
      </c>
      <c r="AX100" s="5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1">
        <v>2</v>
      </c>
      <c r="K101" s="33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11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36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33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1">
        <v>2</v>
      </c>
      <c r="BA101" s="1">
        <v>3</v>
      </c>
      <c r="BB101" s="1">
        <v>4</v>
      </c>
      <c r="BC101" s="1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33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1">
        <v>7</v>
      </c>
      <c r="R102" s="1">
        <v>8</v>
      </c>
      <c r="S102" s="12">
        <v>9</v>
      </c>
      <c r="T102" s="12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33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1">
        <v>2</v>
      </c>
      <c r="BA102" s="1">
        <v>3</v>
      </c>
      <c r="BB102" s="1">
        <v>4</v>
      </c>
      <c r="BC102" s="1">
        <v>5</v>
      </c>
      <c r="BD102" s="1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3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40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15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34">
        <v>6</v>
      </c>
      <c r="AU103" s="14">
        <v>5</v>
      </c>
      <c r="AV103" s="14">
        <v>4</v>
      </c>
      <c r="AW103" s="14">
        <v>3</v>
      </c>
      <c r="AX103" s="1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33">
        <v>1</v>
      </c>
      <c r="L104" s="1">
        <v>2</v>
      </c>
      <c r="M104" s="1">
        <v>3</v>
      </c>
      <c r="N104" s="1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11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36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33">
        <v>2</v>
      </c>
      <c r="AY104" s="1">
        <v>1</v>
      </c>
      <c r="AZ104" s="1">
        <v>2</v>
      </c>
      <c r="BA104" s="1">
        <v>3</v>
      </c>
      <c r="BB104" s="1">
        <v>4</v>
      </c>
      <c r="BC104" s="1">
        <v>5</v>
      </c>
      <c r="BD104" s="1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33">
        <v>1</v>
      </c>
      <c r="L105" s="1">
        <v>2</v>
      </c>
      <c r="M105" s="1">
        <v>3</v>
      </c>
      <c r="N105" s="1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33">
        <v>2</v>
      </c>
      <c r="AY105" s="1">
        <v>1</v>
      </c>
      <c r="AZ105" s="1">
        <v>2</v>
      </c>
      <c r="BA105" s="1">
        <v>3</v>
      </c>
      <c r="BB105" s="1">
        <v>4</v>
      </c>
      <c r="BC105" s="1">
        <v>5</v>
      </c>
      <c r="BD105" s="1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3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40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15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14">
        <v>2</v>
      </c>
      <c r="AY106" s="3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33">
        <v>1</v>
      </c>
      <c r="L107" s="1">
        <v>2</v>
      </c>
      <c r="M107" s="1">
        <v>3</v>
      </c>
      <c r="N107" s="1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33">
        <v>1</v>
      </c>
      <c r="AZ107" s="1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3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40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15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14">
        <v>7</v>
      </c>
      <c r="AT108" s="14">
        <v>6</v>
      </c>
      <c r="AU108" s="14">
        <v>5</v>
      </c>
      <c r="AV108" s="14">
        <v>4</v>
      </c>
      <c r="AW108" s="14">
        <v>3</v>
      </c>
      <c r="AX108" s="14">
        <v>2</v>
      </c>
      <c r="AY108" s="14">
        <v>1</v>
      </c>
      <c r="AZ108" s="3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3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14">
        <v>7</v>
      </c>
      <c r="AT109" s="14">
        <v>6</v>
      </c>
      <c r="AU109" s="14">
        <v>5</v>
      </c>
      <c r="AV109" s="14">
        <v>4</v>
      </c>
      <c r="AW109" s="14">
        <v>3</v>
      </c>
      <c r="AX109" s="14">
        <v>2</v>
      </c>
      <c r="AY109" s="14">
        <v>1</v>
      </c>
      <c r="AZ109" s="34">
        <v>2</v>
      </c>
      <c r="BA109" s="14">
        <v>3</v>
      </c>
      <c r="BB109" s="14">
        <v>4</v>
      </c>
      <c r="BC109" s="1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J5:BK5"/>
    <mergeCell ref="BN5:BU5"/>
    <mergeCell ref="BW5:CD5"/>
    <mergeCell ref="AP1:BH1"/>
    <mergeCell ref="AP2:BH2"/>
    <mergeCell ref="AP3:AP4"/>
    <mergeCell ref="AQ3:BG3"/>
    <mergeCell ref="BH3:BH4"/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B581-4C6F-694F-8894-9FFC25AF0824}">
  <dimension ref="B1:CE109"/>
  <sheetViews>
    <sheetView topLeftCell="AP82" zoomScale="76" workbookViewId="0">
      <selection activeCell="AP1" sqref="AP1:BH109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27.1875" bestFit="1" customWidth="1"/>
    <col min="23" max="39" width="2.1875" bestFit="1" customWidth="1"/>
    <col min="40" max="40" width="27.1875" bestFit="1" customWidth="1"/>
    <col min="42" max="42" width="27.1875" bestFit="1" customWidth="1"/>
    <col min="43" max="59" width="2.5" bestFit="1" customWidth="1"/>
    <col min="60" max="60" width="27.1875" bestFit="1" customWidth="1"/>
    <col min="62" max="62" width="26.8125" bestFit="1" customWidth="1"/>
    <col min="63" max="63" width="68.1875" bestFit="1" customWidth="1"/>
    <col min="65" max="65" width="11.3125" bestFit="1" customWidth="1"/>
    <col min="66" max="73" width="2.5" bestFit="1" customWidth="1"/>
    <col min="74" max="74" width="9.6875" bestFit="1" customWidth="1"/>
    <col min="75" max="82" width="2.5" bestFit="1" customWidth="1"/>
    <col min="83" max="83" width="11.1875" bestFit="1" customWidth="1"/>
  </cols>
  <sheetData>
    <row r="1" spans="2:83" x14ac:dyDescent="0.5">
      <c r="B1" s="90" t="s">
        <v>20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  <c r="U1" s="23"/>
      <c r="V1" s="90" t="s">
        <v>20</v>
      </c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2"/>
      <c r="AP1" s="90" t="s">
        <v>20</v>
      </c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2"/>
    </row>
    <row r="2" spans="2:83" x14ac:dyDescent="0.5">
      <c r="B2" s="85" t="s">
        <v>22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93"/>
      <c r="U2" s="23"/>
      <c r="V2" s="85" t="s">
        <v>23</v>
      </c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93"/>
      <c r="AP2" s="85" t="s">
        <v>28</v>
      </c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7"/>
    </row>
    <row r="3" spans="2:83" x14ac:dyDescent="0.5">
      <c r="B3" s="94" t="s">
        <v>1</v>
      </c>
      <c r="C3" s="90" t="s">
        <v>2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6"/>
      <c r="T3" s="94" t="s">
        <v>3</v>
      </c>
      <c r="U3" s="23"/>
      <c r="V3" s="94" t="s">
        <v>1</v>
      </c>
      <c r="W3" s="90" t="s">
        <v>2</v>
      </c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6"/>
      <c r="AN3" s="94" t="s">
        <v>3</v>
      </c>
      <c r="AP3" s="94" t="s">
        <v>1</v>
      </c>
      <c r="AQ3" s="90" t="s">
        <v>2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6"/>
      <c r="BH3" s="94" t="s">
        <v>3</v>
      </c>
    </row>
    <row r="4" spans="2:83" x14ac:dyDescent="0.5">
      <c r="B4" s="95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5"/>
      <c r="U4" s="23"/>
      <c r="V4" s="95"/>
      <c r="W4" s="24">
        <v>9</v>
      </c>
      <c r="X4" s="24">
        <v>8</v>
      </c>
      <c r="Y4" s="24">
        <v>7</v>
      </c>
      <c r="Z4" s="24">
        <v>6</v>
      </c>
      <c r="AA4" s="24">
        <v>5</v>
      </c>
      <c r="AB4" s="24">
        <v>4</v>
      </c>
      <c r="AC4" s="24">
        <v>3</v>
      </c>
      <c r="AD4" s="24">
        <v>2</v>
      </c>
      <c r="AE4" s="24">
        <v>1</v>
      </c>
      <c r="AF4" s="24">
        <v>2</v>
      </c>
      <c r="AG4" s="24">
        <v>3</v>
      </c>
      <c r="AH4" s="24">
        <v>4</v>
      </c>
      <c r="AI4" s="24">
        <v>5</v>
      </c>
      <c r="AJ4" s="24">
        <v>6</v>
      </c>
      <c r="AK4" s="24">
        <v>7</v>
      </c>
      <c r="AL4" s="24">
        <v>8</v>
      </c>
      <c r="AM4" s="24">
        <v>9</v>
      </c>
      <c r="AN4" s="95"/>
      <c r="AP4" s="95"/>
      <c r="AQ4" s="24">
        <v>9</v>
      </c>
      <c r="AR4" s="24">
        <v>8</v>
      </c>
      <c r="AS4" s="24">
        <v>7</v>
      </c>
      <c r="AT4" s="24">
        <v>6</v>
      </c>
      <c r="AU4" s="24">
        <v>5</v>
      </c>
      <c r="AV4" s="24">
        <v>4</v>
      </c>
      <c r="AW4" s="24">
        <v>3</v>
      </c>
      <c r="AX4" s="24">
        <v>2</v>
      </c>
      <c r="AY4" s="24">
        <v>1</v>
      </c>
      <c r="AZ4" s="24">
        <v>2</v>
      </c>
      <c r="BA4" s="24">
        <v>3</v>
      </c>
      <c r="BB4" s="24">
        <v>4</v>
      </c>
      <c r="BC4" s="24">
        <v>5</v>
      </c>
      <c r="BD4" s="24">
        <v>6</v>
      </c>
      <c r="BE4" s="24">
        <v>7</v>
      </c>
      <c r="BF4" s="24">
        <v>8</v>
      </c>
      <c r="BG4" s="24">
        <v>9</v>
      </c>
      <c r="BH4" s="95"/>
    </row>
    <row r="5" spans="2:83" x14ac:dyDescent="0.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6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5">
        <v>7</v>
      </c>
      <c r="AT5" s="5">
        <v>6</v>
      </c>
      <c r="AU5" s="5">
        <v>5</v>
      </c>
      <c r="AV5" s="5">
        <v>4</v>
      </c>
      <c r="AW5" s="6">
        <v>3</v>
      </c>
      <c r="AX5" s="5">
        <v>2</v>
      </c>
      <c r="AY5" s="5">
        <v>1</v>
      </c>
      <c r="AZ5" s="5">
        <v>2</v>
      </c>
      <c r="BA5" s="65">
        <v>3</v>
      </c>
      <c r="BB5" s="5">
        <v>4</v>
      </c>
      <c r="BC5" s="5">
        <v>5</v>
      </c>
      <c r="BD5" s="5">
        <v>6</v>
      </c>
      <c r="BE5" s="5">
        <v>7</v>
      </c>
      <c r="BF5" s="5">
        <v>8</v>
      </c>
      <c r="BG5" s="7">
        <v>9</v>
      </c>
      <c r="BH5" s="7" t="s">
        <v>5</v>
      </c>
      <c r="BJ5" s="88" t="s">
        <v>34</v>
      </c>
      <c r="BK5" s="88"/>
      <c r="BM5" s="1"/>
      <c r="BN5" s="89" t="s">
        <v>41</v>
      </c>
      <c r="BO5" s="89"/>
      <c r="BP5" s="89"/>
      <c r="BQ5" s="89"/>
      <c r="BR5" s="89"/>
      <c r="BS5" s="89"/>
      <c r="BT5" s="89"/>
      <c r="BU5" s="89"/>
      <c r="BV5" s="46" t="s">
        <v>42</v>
      </c>
      <c r="BW5" s="89" t="s">
        <v>43</v>
      </c>
      <c r="BX5" s="89"/>
      <c r="BY5" s="89"/>
      <c r="BZ5" s="89"/>
      <c r="CA5" s="89"/>
      <c r="CB5" s="89"/>
      <c r="CC5" s="89"/>
      <c r="CD5" s="89"/>
      <c r="CE5" s="1"/>
    </row>
    <row r="6" spans="2:83" x14ac:dyDescent="0.5">
      <c r="B6" s="8" t="s">
        <v>4</v>
      </c>
      <c r="C6" s="9">
        <v>9</v>
      </c>
      <c r="D6" s="26">
        <v>8</v>
      </c>
      <c r="E6" s="26">
        <v>7</v>
      </c>
      <c r="F6" s="26">
        <v>6</v>
      </c>
      <c r="G6" s="26">
        <v>5</v>
      </c>
      <c r="H6" s="26">
        <v>4</v>
      </c>
      <c r="I6" s="26">
        <v>3</v>
      </c>
      <c r="J6" s="26">
        <v>2</v>
      </c>
      <c r="K6" s="26">
        <v>1</v>
      </c>
      <c r="L6" s="26">
        <v>2</v>
      </c>
      <c r="M6" s="26">
        <v>3</v>
      </c>
      <c r="N6" s="26">
        <v>4</v>
      </c>
      <c r="O6" s="26">
        <v>5</v>
      </c>
      <c r="P6" s="26">
        <v>6</v>
      </c>
      <c r="Q6" s="26">
        <v>7</v>
      </c>
      <c r="R6" s="26">
        <v>8</v>
      </c>
      <c r="S6" s="10">
        <v>9</v>
      </c>
      <c r="T6" s="10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33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6</v>
      </c>
      <c r="BJ6" s="2" t="s">
        <v>29</v>
      </c>
      <c r="BK6" s="2" t="s">
        <v>30</v>
      </c>
      <c r="BM6" s="45" t="s">
        <v>39</v>
      </c>
      <c r="BN6" s="3">
        <v>9</v>
      </c>
      <c r="BO6" s="3">
        <v>8</v>
      </c>
      <c r="BP6" s="3">
        <v>7</v>
      </c>
      <c r="BQ6" s="3">
        <v>6</v>
      </c>
      <c r="BR6" s="3">
        <v>5</v>
      </c>
      <c r="BS6" s="3">
        <v>4</v>
      </c>
      <c r="BT6" s="3">
        <v>3</v>
      </c>
      <c r="BU6" s="3">
        <v>2</v>
      </c>
      <c r="BV6" s="3">
        <v>1</v>
      </c>
      <c r="BW6" s="3">
        <v>2</v>
      </c>
      <c r="BX6" s="3">
        <v>3</v>
      </c>
      <c r="BY6" s="3">
        <v>4</v>
      </c>
      <c r="BZ6" s="3">
        <v>5</v>
      </c>
      <c r="CA6" s="3">
        <v>6</v>
      </c>
      <c r="CB6" s="3">
        <v>7</v>
      </c>
      <c r="CC6" s="3">
        <v>8</v>
      </c>
      <c r="CD6" s="3">
        <v>9</v>
      </c>
      <c r="CE6" s="45" t="s">
        <v>40</v>
      </c>
    </row>
    <row r="7" spans="2:83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32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38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12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33">
        <v>4</v>
      </c>
      <c r="AW7" s="18">
        <v>3</v>
      </c>
      <c r="AX7" s="1">
        <v>2</v>
      </c>
      <c r="AY7" s="1">
        <v>1</v>
      </c>
      <c r="AZ7" s="1">
        <v>2</v>
      </c>
      <c r="BA7" s="1">
        <v>3</v>
      </c>
      <c r="BB7" s="1">
        <v>4</v>
      </c>
      <c r="BC7" s="1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3">
        <v>1</v>
      </c>
      <c r="BK7" s="3" t="s">
        <v>31</v>
      </c>
    </row>
    <row r="8" spans="2:83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33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17" t="s">
        <v>4</v>
      </c>
      <c r="W8" s="38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12">
        <v>9</v>
      </c>
      <c r="AN8" s="12" t="s">
        <v>8</v>
      </c>
      <c r="AP8" s="17" t="s">
        <v>4</v>
      </c>
      <c r="AQ8" s="11">
        <v>9</v>
      </c>
      <c r="AR8" s="1">
        <v>8</v>
      </c>
      <c r="AS8" s="1">
        <v>7</v>
      </c>
      <c r="AT8" s="33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3</v>
      </c>
      <c r="BK8" s="3" t="s">
        <v>35</v>
      </c>
    </row>
    <row r="9" spans="2:83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33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38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2">
        <v>9</v>
      </c>
      <c r="AN9" s="12" t="s">
        <v>9</v>
      </c>
      <c r="AP9" s="17" t="s">
        <v>4</v>
      </c>
      <c r="AQ9" s="11">
        <v>9</v>
      </c>
      <c r="AR9" s="1">
        <v>8</v>
      </c>
      <c r="AS9" s="1">
        <v>7</v>
      </c>
      <c r="AT9" s="33">
        <v>6</v>
      </c>
      <c r="AU9" s="1">
        <v>5</v>
      </c>
      <c r="AV9" s="1">
        <v>4</v>
      </c>
      <c r="AW9" s="1">
        <v>3</v>
      </c>
      <c r="AX9" s="1">
        <v>2</v>
      </c>
      <c r="AY9" s="1">
        <v>1</v>
      </c>
      <c r="AZ9" s="1">
        <v>2</v>
      </c>
      <c r="BA9" s="1">
        <v>3</v>
      </c>
      <c r="BB9" s="1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5</v>
      </c>
      <c r="BK9" s="3" t="s">
        <v>36</v>
      </c>
    </row>
    <row r="10" spans="2:83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33">
        <v>3</v>
      </c>
      <c r="J10" s="1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38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12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1">
        <v>4</v>
      </c>
      <c r="AW10" s="1">
        <v>3</v>
      </c>
      <c r="AX10" s="1">
        <v>2</v>
      </c>
      <c r="AY10" s="1">
        <v>1</v>
      </c>
      <c r="AZ10" s="1">
        <v>2</v>
      </c>
      <c r="BA10" s="1">
        <v>3</v>
      </c>
      <c r="BB10" s="1">
        <v>4</v>
      </c>
      <c r="BC10" s="33">
        <v>5</v>
      </c>
      <c r="BD10" s="1">
        <v>6</v>
      </c>
      <c r="BE10" s="1">
        <v>7</v>
      </c>
      <c r="BF10" s="1">
        <v>8</v>
      </c>
      <c r="BG10" s="12">
        <v>9</v>
      </c>
      <c r="BH10" s="12" t="s">
        <v>10</v>
      </c>
      <c r="BJ10" s="3">
        <v>7</v>
      </c>
      <c r="BK10" s="3" t="s">
        <v>37</v>
      </c>
    </row>
    <row r="11" spans="2:83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33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38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12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33">
        <v>2</v>
      </c>
      <c r="AY11" s="1">
        <v>1</v>
      </c>
      <c r="AZ11" s="1">
        <v>2</v>
      </c>
      <c r="BA11" s="1">
        <v>3</v>
      </c>
      <c r="BB11" s="1">
        <v>4</v>
      </c>
      <c r="BC11" s="1">
        <v>5</v>
      </c>
      <c r="BD11" s="1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9</v>
      </c>
      <c r="BK11" s="3" t="s">
        <v>32</v>
      </c>
    </row>
    <row r="12" spans="2:83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33">
        <v>1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38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12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33">
        <v>2</v>
      </c>
      <c r="BA12" s="1">
        <v>3</v>
      </c>
      <c r="BB12" s="1">
        <v>4</v>
      </c>
      <c r="BC12" s="1">
        <v>5</v>
      </c>
      <c r="BD12" s="1">
        <v>6</v>
      </c>
      <c r="BE12" s="1">
        <v>7</v>
      </c>
      <c r="BF12" s="1">
        <v>8</v>
      </c>
      <c r="BG12" s="12">
        <v>9</v>
      </c>
      <c r="BH12" s="12" t="s">
        <v>12</v>
      </c>
      <c r="BJ12" s="3" t="s">
        <v>33</v>
      </c>
      <c r="BK12" s="3" t="s">
        <v>38</v>
      </c>
    </row>
    <row r="13" spans="2:83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33">
        <v>8</v>
      </c>
      <c r="S13" s="12">
        <v>9</v>
      </c>
      <c r="T13" s="12" t="s">
        <v>13</v>
      </c>
      <c r="V13" s="17" t="s">
        <v>4</v>
      </c>
      <c r="W13" s="11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36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1">
        <v>3</v>
      </c>
      <c r="AX13" s="1">
        <v>2</v>
      </c>
      <c r="AY13" s="1">
        <v>1</v>
      </c>
      <c r="AZ13" s="1">
        <v>2</v>
      </c>
      <c r="BA13" s="1">
        <v>3</v>
      </c>
      <c r="BB13" s="32">
        <v>4</v>
      </c>
      <c r="BC13" s="1">
        <v>5</v>
      </c>
      <c r="BD13" s="1">
        <v>6</v>
      </c>
      <c r="BE13" s="1">
        <v>7</v>
      </c>
      <c r="BF13" s="1">
        <v>8</v>
      </c>
      <c r="BG13" s="12">
        <v>9</v>
      </c>
      <c r="BH13" s="12" t="s">
        <v>13</v>
      </c>
    </row>
    <row r="14" spans="2:83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33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17" t="s">
        <v>4</v>
      </c>
      <c r="W14" s="38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12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33">
        <v>2</v>
      </c>
      <c r="BA14" s="1">
        <v>3</v>
      </c>
      <c r="BB14" s="1">
        <v>4</v>
      </c>
      <c r="BC14" s="1">
        <v>5</v>
      </c>
      <c r="BD14" s="1">
        <v>6</v>
      </c>
      <c r="BE14" s="1">
        <v>7</v>
      </c>
      <c r="BF14" s="1">
        <v>8</v>
      </c>
      <c r="BG14" s="12">
        <v>9</v>
      </c>
      <c r="BH14" s="12" t="s">
        <v>14</v>
      </c>
    </row>
    <row r="15" spans="2:83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33">
        <v>3</v>
      </c>
      <c r="J15" s="1">
        <v>2</v>
      </c>
      <c r="K15" s="1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38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12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33">
        <v>3</v>
      </c>
      <c r="AX15" s="1">
        <v>2</v>
      </c>
      <c r="AY15" s="1">
        <v>1</v>
      </c>
      <c r="AZ15" s="1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33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38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12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1">
        <v>3</v>
      </c>
      <c r="AX16" s="1">
        <v>2</v>
      </c>
      <c r="AY16" s="1">
        <v>1</v>
      </c>
      <c r="AZ16" s="1">
        <v>2</v>
      </c>
      <c r="BA16" s="1">
        <v>3</v>
      </c>
      <c r="BB16" s="1">
        <v>4</v>
      </c>
      <c r="BC16" s="33">
        <v>5</v>
      </c>
      <c r="BD16" s="1">
        <v>6</v>
      </c>
      <c r="BE16" s="1">
        <v>7</v>
      </c>
      <c r="BF16" s="1">
        <v>8</v>
      </c>
      <c r="BG16" s="12">
        <v>9</v>
      </c>
      <c r="BH16" s="12" t="s">
        <v>16</v>
      </c>
    </row>
    <row r="17" spans="2:60" x14ac:dyDescent="0.5">
      <c r="B17" s="8" t="s">
        <v>4</v>
      </c>
      <c r="C17" s="9">
        <v>9</v>
      </c>
      <c r="D17" s="26">
        <v>8</v>
      </c>
      <c r="E17" s="26">
        <v>7</v>
      </c>
      <c r="F17" s="26">
        <v>6</v>
      </c>
      <c r="G17" s="26">
        <v>5</v>
      </c>
      <c r="H17" s="26">
        <v>4</v>
      </c>
      <c r="I17" s="26">
        <v>3</v>
      </c>
      <c r="J17" s="26">
        <v>2</v>
      </c>
      <c r="K17" s="26">
        <v>1</v>
      </c>
      <c r="L17" s="26">
        <v>2</v>
      </c>
      <c r="M17" s="26">
        <v>3</v>
      </c>
      <c r="N17" s="26">
        <v>4</v>
      </c>
      <c r="O17" s="26">
        <v>5</v>
      </c>
      <c r="P17" s="26">
        <v>6</v>
      </c>
      <c r="Q17" s="26">
        <v>7</v>
      </c>
      <c r="R17" s="26">
        <v>8</v>
      </c>
      <c r="S17" s="10">
        <v>9</v>
      </c>
      <c r="T17" s="10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1">
        <v>4</v>
      </c>
      <c r="AW17" s="1">
        <v>3</v>
      </c>
      <c r="AX17" s="1">
        <v>2</v>
      </c>
      <c r="AY17" s="1">
        <v>1</v>
      </c>
      <c r="AZ17" s="1">
        <v>2</v>
      </c>
      <c r="BA17" s="1">
        <v>3</v>
      </c>
      <c r="BB17" s="1">
        <v>4</v>
      </c>
      <c r="BC17" s="1">
        <v>5</v>
      </c>
      <c r="BD17" s="33">
        <v>6</v>
      </c>
      <c r="BE17" s="1">
        <v>7</v>
      </c>
      <c r="BF17" s="1">
        <v>8</v>
      </c>
      <c r="BG17" s="12">
        <v>9</v>
      </c>
      <c r="BH17" s="12" t="s">
        <v>17</v>
      </c>
    </row>
    <row r="18" spans="2:60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34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40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15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14">
        <v>3</v>
      </c>
      <c r="AX18" s="34">
        <v>2</v>
      </c>
      <c r="AY18" s="14">
        <v>1</v>
      </c>
      <c r="AZ18" s="14">
        <v>2</v>
      </c>
      <c r="BA18" s="1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5">
      <c r="B19" s="25" t="s">
        <v>5</v>
      </c>
      <c r="C19" s="9">
        <v>9</v>
      </c>
      <c r="D19" s="26">
        <v>8</v>
      </c>
      <c r="E19" s="26">
        <v>7</v>
      </c>
      <c r="F19" s="26">
        <v>6</v>
      </c>
      <c r="G19" s="26">
        <v>5</v>
      </c>
      <c r="H19" s="26">
        <v>4</v>
      </c>
      <c r="I19" s="26">
        <v>3</v>
      </c>
      <c r="J19" s="26">
        <v>2</v>
      </c>
      <c r="K19" s="26">
        <v>1</v>
      </c>
      <c r="L19" s="26">
        <v>2</v>
      </c>
      <c r="M19" s="26">
        <v>3</v>
      </c>
      <c r="N19" s="26">
        <v>4</v>
      </c>
      <c r="O19" s="26">
        <v>5</v>
      </c>
      <c r="P19" s="26">
        <v>6</v>
      </c>
      <c r="Q19" s="26">
        <v>7</v>
      </c>
      <c r="R19" s="26">
        <v>8</v>
      </c>
      <c r="S19" s="10">
        <v>9</v>
      </c>
      <c r="T19" s="10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33">
        <v>4</v>
      </c>
      <c r="AW19" s="1">
        <v>3</v>
      </c>
      <c r="AX19" s="1">
        <v>2</v>
      </c>
      <c r="AY19" s="1">
        <v>1</v>
      </c>
      <c r="AZ19" s="1">
        <v>2</v>
      </c>
      <c r="BA19" s="1">
        <v>3</v>
      </c>
      <c r="BB19" s="1">
        <v>4</v>
      </c>
      <c r="BC19" s="1">
        <v>5</v>
      </c>
      <c r="BD19" s="1">
        <v>6</v>
      </c>
      <c r="BE19" s="1">
        <v>7</v>
      </c>
      <c r="BF19" s="1">
        <v>8</v>
      </c>
      <c r="BG19" s="12">
        <v>9</v>
      </c>
      <c r="BH19" s="12" t="s">
        <v>6</v>
      </c>
    </row>
    <row r="20" spans="2:60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1">
        <v>1</v>
      </c>
      <c r="L20" s="33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11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36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1">
        <v>6</v>
      </c>
      <c r="AU20" s="33">
        <v>5</v>
      </c>
      <c r="AV20" s="1">
        <v>4</v>
      </c>
      <c r="AW20" s="18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1">
        <v>8</v>
      </c>
      <c r="BG20" s="12">
        <v>9</v>
      </c>
      <c r="BH20" s="12" t="s">
        <v>7</v>
      </c>
    </row>
    <row r="21" spans="2:60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33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11">
        <v>9</v>
      </c>
      <c r="AR21" s="33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1">
        <v>8</v>
      </c>
      <c r="BG21" s="12">
        <v>9</v>
      </c>
      <c r="BH21" s="12" t="s">
        <v>8</v>
      </c>
    </row>
    <row r="22" spans="2:60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33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38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12">
        <v>9</v>
      </c>
      <c r="AN22" s="12" t="s">
        <v>9</v>
      </c>
      <c r="AP22" s="17" t="s">
        <v>5</v>
      </c>
      <c r="AQ22" s="11">
        <v>9</v>
      </c>
      <c r="AR22" s="33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1">
        <v>8</v>
      </c>
      <c r="BG22" s="12">
        <v>9</v>
      </c>
      <c r="BH22" s="12" t="s">
        <v>9</v>
      </c>
    </row>
    <row r="23" spans="2:60" x14ac:dyDescent="0.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33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1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33">
        <v>4</v>
      </c>
      <c r="BC23" s="1">
        <v>5</v>
      </c>
      <c r="BD23" s="1">
        <v>6</v>
      </c>
      <c r="BE23" s="1">
        <v>7</v>
      </c>
      <c r="BF23" s="1">
        <v>8</v>
      </c>
      <c r="BG23" s="12">
        <v>9</v>
      </c>
      <c r="BH23" s="12" t="s">
        <v>10</v>
      </c>
    </row>
    <row r="24" spans="2:60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33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11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36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1">
        <v>5</v>
      </c>
      <c r="AV24" s="1">
        <v>4</v>
      </c>
      <c r="AW24" s="1">
        <v>3</v>
      </c>
      <c r="AX24" s="33">
        <v>2</v>
      </c>
      <c r="AY24" s="1">
        <v>1</v>
      </c>
      <c r="AZ24" s="1">
        <v>2</v>
      </c>
      <c r="BA24" s="1">
        <v>3</v>
      </c>
      <c r="BB24" s="1">
        <v>4</v>
      </c>
      <c r="BC24" s="1">
        <v>5</v>
      </c>
      <c r="BD24" s="1">
        <v>6</v>
      </c>
      <c r="BE24" s="1">
        <v>7</v>
      </c>
      <c r="BF24" s="1">
        <v>8</v>
      </c>
      <c r="BG24" s="12">
        <v>9</v>
      </c>
      <c r="BH24" s="12" t="s">
        <v>11</v>
      </c>
    </row>
    <row r="25" spans="2:60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33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  <c r="V25" s="17" t="s">
        <v>5</v>
      </c>
      <c r="W25" s="11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36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1">
        <v>5</v>
      </c>
      <c r="AV25" s="1">
        <v>4</v>
      </c>
      <c r="AW25" s="1">
        <v>3</v>
      </c>
      <c r="AX25" s="33">
        <v>2</v>
      </c>
      <c r="AY25" s="1">
        <v>1</v>
      </c>
      <c r="AZ25" s="1">
        <v>2</v>
      </c>
      <c r="BA25" s="1">
        <v>3</v>
      </c>
      <c r="BB25" s="1">
        <v>4</v>
      </c>
      <c r="BC25" s="1">
        <v>5</v>
      </c>
      <c r="BD25" s="1">
        <v>6</v>
      </c>
      <c r="BE25" s="1">
        <v>7</v>
      </c>
      <c r="BF25" s="1">
        <v>8</v>
      </c>
      <c r="BG25" s="12">
        <v>9</v>
      </c>
      <c r="BH25" s="12" t="s">
        <v>12</v>
      </c>
    </row>
    <row r="26" spans="2:60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33">
        <v>8</v>
      </c>
      <c r="S26" s="12">
        <v>9</v>
      </c>
      <c r="T26" s="12" t="s">
        <v>13</v>
      </c>
      <c r="V26" s="17" t="s">
        <v>5</v>
      </c>
      <c r="W26" s="11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36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1">
        <v>3</v>
      </c>
      <c r="AX26" s="1">
        <v>2</v>
      </c>
      <c r="AY26" s="1">
        <v>1</v>
      </c>
      <c r="AZ26" s="1">
        <v>2</v>
      </c>
      <c r="BA26" s="33">
        <v>3</v>
      </c>
      <c r="BB26" s="1">
        <v>4</v>
      </c>
      <c r="BC26" s="1">
        <v>5</v>
      </c>
      <c r="BD26" s="1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33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  <c r="V27" s="17" t="s">
        <v>5</v>
      </c>
      <c r="W27" s="11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36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33">
        <v>3</v>
      </c>
      <c r="AX27" s="1">
        <v>2</v>
      </c>
      <c r="AY27" s="1">
        <v>1</v>
      </c>
      <c r="AZ27" s="1">
        <v>2</v>
      </c>
      <c r="BA27" s="1">
        <v>3</v>
      </c>
      <c r="BB27" s="1">
        <v>4</v>
      </c>
      <c r="BC27" s="1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33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1">
        <v>6</v>
      </c>
      <c r="AU28" s="33">
        <v>5</v>
      </c>
      <c r="AV28" s="1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1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33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1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33">
        <v>3</v>
      </c>
      <c r="BB29" s="1">
        <v>4</v>
      </c>
      <c r="BC29" s="1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5">
      <c r="B30" s="8" t="s">
        <v>5</v>
      </c>
      <c r="C30" s="9">
        <v>9</v>
      </c>
      <c r="D30" s="26">
        <v>8</v>
      </c>
      <c r="E30" s="26">
        <v>7</v>
      </c>
      <c r="F30" s="26">
        <v>6</v>
      </c>
      <c r="G30" s="26">
        <v>5</v>
      </c>
      <c r="H30" s="26">
        <v>4</v>
      </c>
      <c r="I30" s="26">
        <v>3</v>
      </c>
      <c r="J30" s="26">
        <v>2</v>
      </c>
      <c r="K30" s="26">
        <v>1</v>
      </c>
      <c r="L30" s="26">
        <v>2</v>
      </c>
      <c r="M30" s="26">
        <v>3</v>
      </c>
      <c r="N30" s="26">
        <v>4</v>
      </c>
      <c r="O30" s="26">
        <v>5</v>
      </c>
      <c r="P30" s="26">
        <v>6</v>
      </c>
      <c r="Q30" s="26">
        <v>7</v>
      </c>
      <c r="R30" s="26">
        <v>8</v>
      </c>
      <c r="S30" s="10">
        <v>9</v>
      </c>
      <c r="T30" s="10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1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33">
        <v>4</v>
      </c>
      <c r="BC30" s="1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14">
        <v>3</v>
      </c>
      <c r="N31" s="3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  <c r="V31" s="19" t="s">
        <v>5</v>
      </c>
      <c r="W31" s="13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37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34">
        <v>5</v>
      </c>
      <c r="AV31" s="1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1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5">
      <c r="B32" s="25" t="s">
        <v>6</v>
      </c>
      <c r="C32" s="9">
        <v>9</v>
      </c>
      <c r="D32" s="26">
        <v>8</v>
      </c>
      <c r="E32" s="26">
        <v>7</v>
      </c>
      <c r="F32" s="26">
        <v>6</v>
      </c>
      <c r="G32" s="26">
        <v>5</v>
      </c>
      <c r="H32" s="26">
        <v>4</v>
      </c>
      <c r="I32" s="27">
        <v>3</v>
      </c>
      <c r="J32" s="26">
        <v>2</v>
      </c>
      <c r="K32" s="26">
        <v>1</v>
      </c>
      <c r="L32" s="26">
        <v>2</v>
      </c>
      <c r="M32" s="26">
        <v>3</v>
      </c>
      <c r="N32" s="26">
        <v>4</v>
      </c>
      <c r="O32" s="26">
        <v>5</v>
      </c>
      <c r="P32" s="26">
        <v>6</v>
      </c>
      <c r="Q32" s="26">
        <v>7</v>
      </c>
      <c r="R32" s="26">
        <v>8</v>
      </c>
      <c r="S32" s="10">
        <v>9</v>
      </c>
      <c r="T32" s="10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1">
        <v>5</v>
      </c>
      <c r="AV32" s="33">
        <v>4</v>
      </c>
      <c r="AW32" s="18">
        <v>3</v>
      </c>
      <c r="AX32" s="1">
        <v>2</v>
      </c>
      <c r="AY32" s="1">
        <v>1</v>
      </c>
      <c r="AZ32" s="1">
        <v>2</v>
      </c>
      <c r="BA32" s="1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5">
      <c r="B33" s="8" t="s">
        <v>6</v>
      </c>
      <c r="C33" s="9">
        <v>9</v>
      </c>
      <c r="D33" s="26">
        <v>8</v>
      </c>
      <c r="E33" s="26">
        <v>7</v>
      </c>
      <c r="F33" s="26">
        <v>6</v>
      </c>
      <c r="G33" s="26">
        <v>5</v>
      </c>
      <c r="H33" s="26">
        <v>4</v>
      </c>
      <c r="I33" s="26">
        <v>3</v>
      </c>
      <c r="J33" s="26">
        <v>2</v>
      </c>
      <c r="K33" s="26">
        <v>1</v>
      </c>
      <c r="L33" s="26">
        <v>2</v>
      </c>
      <c r="M33" s="26">
        <v>3</v>
      </c>
      <c r="N33" s="26">
        <v>4</v>
      </c>
      <c r="O33" s="26">
        <v>5</v>
      </c>
      <c r="P33" s="26">
        <v>6</v>
      </c>
      <c r="Q33" s="26">
        <v>7</v>
      </c>
      <c r="R33" s="26">
        <v>8</v>
      </c>
      <c r="S33" s="10">
        <v>9</v>
      </c>
      <c r="T33" s="10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11">
        <v>9</v>
      </c>
      <c r="AR33" s="33">
        <v>8</v>
      </c>
      <c r="AS33" s="1">
        <v>7</v>
      </c>
      <c r="AT33" s="1">
        <v>6</v>
      </c>
      <c r="AU33" s="1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1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5">
      <c r="B34" s="8" t="s">
        <v>6</v>
      </c>
      <c r="C34" s="9">
        <v>9</v>
      </c>
      <c r="D34" s="26">
        <v>8</v>
      </c>
      <c r="E34" s="26">
        <v>7</v>
      </c>
      <c r="F34" s="26">
        <v>6</v>
      </c>
      <c r="G34" s="26">
        <v>5</v>
      </c>
      <c r="H34" s="26">
        <v>4</v>
      </c>
      <c r="I34" s="26">
        <v>3</v>
      </c>
      <c r="J34" s="26">
        <v>2</v>
      </c>
      <c r="K34" s="26">
        <v>1</v>
      </c>
      <c r="L34" s="26">
        <v>2</v>
      </c>
      <c r="M34" s="26">
        <v>3</v>
      </c>
      <c r="N34" s="26">
        <v>4</v>
      </c>
      <c r="O34" s="26">
        <v>5</v>
      </c>
      <c r="P34" s="26">
        <v>6</v>
      </c>
      <c r="Q34" s="26">
        <v>7</v>
      </c>
      <c r="R34" s="26">
        <v>8</v>
      </c>
      <c r="S34" s="10">
        <v>9</v>
      </c>
      <c r="T34" s="10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11">
        <v>9</v>
      </c>
      <c r="AR34" s="33">
        <v>8</v>
      </c>
      <c r="AS34" s="1">
        <v>7</v>
      </c>
      <c r="AT34" s="1">
        <v>6</v>
      </c>
      <c r="AU34" s="1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1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5">
      <c r="B35" s="8" t="s">
        <v>6</v>
      </c>
      <c r="C35" s="9">
        <v>9</v>
      </c>
      <c r="D35" s="26">
        <v>8</v>
      </c>
      <c r="E35" s="26">
        <v>7</v>
      </c>
      <c r="F35" s="26">
        <v>6</v>
      </c>
      <c r="G35" s="26">
        <v>5</v>
      </c>
      <c r="H35" s="26">
        <v>4</v>
      </c>
      <c r="I35" s="26">
        <v>3</v>
      </c>
      <c r="J35" s="26">
        <v>2</v>
      </c>
      <c r="K35" s="26">
        <v>1</v>
      </c>
      <c r="L35" s="26">
        <v>2</v>
      </c>
      <c r="M35" s="26">
        <v>3</v>
      </c>
      <c r="N35" s="26">
        <v>4</v>
      </c>
      <c r="O35" s="26">
        <v>5</v>
      </c>
      <c r="P35" s="26">
        <v>6</v>
      </c>
      <c r="Q35" s="26">
        <v>7</v>
      </c>
      <c r="R35" s="26">
        <v>8</v>
      </c>
      <c r="S35" s="10">
        <v>9</v>
      </c>
      <c r="T35" s="10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1">
        <v>3</v>
      </c>
      <c r="AX35" s="1">
        <v>2</v>
      </c>
      <c r="AY35" s="1">
        <v>1</v>
      </c>
      <c r="AZ35" s="1">
        <v>2</v>
      </c>
      <c r="BA35" s="1">
        <v>3</v>
      </c>
      <c r="BB35" s="1">
        <v>4</v>
      </c>
      <c r="BC35" s="33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5">
      <c r="B36" s="8" t="s">
        <v>6</v>
      </c>
      <c r="C36" s="9">
        <v>9</v>
      </c>
      <c r="D36" s="26">
        <v>8</v>
      </c>
      <c r="E36" s="26">
        <v>7</v>
      </c>
      <c r="F36" s="26">
        <v>6</v>
      </c>
      <c r="G36" s="26">
        <v>5</v>
      </c>
      <c r="H36" s="26">
        <v>4</v>
      </c>
      <c r="I36" s="26">
        <v>3</v>
      </c>
      <c r="J36" s="26">
        <v>2</v>
      </c>
      <c r="K36" s="26">
        <v>1</v>
      </c>
      <c r="L36" s="26">
        <v>2</v>
      </c>
      <c r="M36" s="26">
        <v>3</v>
      </c>
      <c r="N36" s="26">
        <v>4</v>
      </c>
      <c r="O36" s="26">
        <v>5</v>
      </c>
      <c r="P36" s="26">
        <v>6</v>
      </c>
      <c r="Q36" s="26">
        <v>7</v>
      </c>
      <c r="R36" s="26">
        <v>8</v>
      </c>
      <c r="S36" s="10">
        <v>9</v>
      </c>
      <c r="T36" s="10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33">
        <v>3</v>
      </c>
      <c r="AX36" s="1">
        <v>2</v>
      </c>
      <c r="AY36" s="1">
        <v>1</v>
      </c>
      <c r="AZ36" s="1">
        <v>2</v>
      </c>
      <c r="BA36" s="1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5">
      <c r="B37" s="8" t="s">
        <v>6</v>
      </c>
      <c r="C37" s="9">
        <v>9</v>
      </c>
      <c r="D37" s="26">
        <v>8</v>
      </c>
      <c r="E37" s="26">
        <v>7</v>
      </c>
      <c r="F37" s="26">
        <v>6</v>
      </c>
      <c r="G37" s="26">
        <v>5</v>
      </c>
      <c r="H37" s="26">
        <v>4</v>
      </c>
      <c r="I37" s="26">
        <v>3</v>
      </c>
      <c r="J37" s="26">
        <v>2</v>
      </c>
      <c r="K37" s="26">
        <v>1</v>
      </c>
      <c r="L37" s="26">
        <v>2</v>
      </c>
      <c r="M37" s="26">
        <v>3</v>
      </c>
      <c r="N37" s="26">
        <v>4</v>
      </c>
      <c r="O37" s="26">
        <v>5</v>
      </c>
      <c r="P37" s="26">
        <v>6</v>
      </c>
      <c r="Q37" s="26">
        <v>7</v>
      </c>
      <c r="R37" s="26">
        <v>8</v>
      </c>
      <c r="S37" s="10">
        <v>9</v>
      </c>
      <c r="T37" s="10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33">
        <v>3</v>
      </c>
      <c r="AX37" s="1">
        <v>2</v>
      </c>
      <c r="AY37" s="1">
        <v>1</v>
      </c>
      <c r="AZ37" s="1">
        <v>2</v>
      </c>
      <c r="BA37" s="1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5">
      <c r="B38" s="8" t="s">
        <v>6</v>
      </c>
      <c r="C38" s="9">
        <v>9</v>
      </c>
      <c r="D38" s="26">
        <v>8</v>
      </c>
      <c r="E38" s="26">
        <v>7</v>
      </c>
      <c r="F38" s="26">
        <v>6</v>
      </c>
      <c r="G38" s="26">
        <v>5</v>
      </c>
      <c r="H38" s="26">
        <v>4</v>
      </c>
      <c r="I38" s="26">
        <v>3</v>
      </c>
      <c r="J38" s="26">
        <v>2</v>
      </c>
      <c r="K38" s="26">
        <v>1</v>
      </c>
      <c r="L38" s="26">
        <v>2</v>
      </c>
      <c r="M38" s="26">
        <v>3</v>
      </c>
      <c r="N38" s="26">
        <v>4</v>
      </c>
      <c r="O38" s="26">
        <v>5</v>
      </c>
      <c r="P38" s="26">
        <v>6</v>
      </c>
      <c r="Q38" s="26">
        <v>7</v>
      </c>
      <c r="R38" s="26">
        <v>8</v>
      </c>
      <c r="S38" s="10">
        <v>9</v>
      </c>
      <c r="T38" s="10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1">
        <v>1</v>
      </c>
      <c r="AZ38" s="1">
        <v>2</v>
      </c>
      <c r="BA38" s="33">
        <v>3</v>
      </c>
      <c r="BB38" s="1">
        <v>4</v>
      </c>
      <c r="BC38" s="1">
        <v>5</v>
      </c>
      <c r="BD38" s="1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5">
      <c r="B39" s="8" t="s">
        <v>6</v>
      </c>
      <c r="C39" s="9">
        <v>9</v>
      </c>
      <c r="D39" s="26">
        <v>8</v>
      </c>
      <c r="E39" s="26">
        <v>7</v>
      </c>
      <c r="F39" s="26">
        <v>6</v>
      </c>
      <c r="G39" s="26">
        <v>5</v>
      </c>
      <c r="H39" s="26">
        <v>4</v>
      </c>
      <c r="I39" s="26">
        <v>3</v>
      </c>
      <c r="J39" s="26">
        <v>2</v>
      </c>
      <c r="K39" s="26">
        <v>1</v>
      </c>
      <c r="L39" s="26">
        <v>2</v>
      </c>
      <c r="M39" s="26">
        <v>3</v>
      </c>
      <c r="N39" s="26">
        <v>4</v>
      </c>
      <c r="O39" s="26">
        <v>5</v>
      </c>
      <c r="P39" s="26">
        <v>6</v>
      </c>
      <c r="Q39" s="26">
        <v>7</v>
      </c>
      <c r="R39" s="26">
        <v>8</v>
      </c>
      <c r="S39" s="10">
        <v>9</v>
      </c>
      <c r="T39" s="10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1">
        <v>3</v>
      </c>
      <c r="AX39" s="1">
        <v>2</v>
      </c>
      <c r="AY39" s="1">
        <v>1</v>
      </c>
      <c r="AZ39" s="1">
        <v>2</v>
      </c>
      <c r="BA39" s="33">
        <v>3</v>
      </c>
      <c r="BB39" s="1">
        <v>4</v>
      </c>
      <c r="BC39" s="1">
        <v>5</v>
      </c>
      <c r="BD39" s="1">
        <v>6</v>
      </c>
      <c r="BE39" s="1">
        <v>7</v>
      </c>
      <c r="BF39" s="1">
        <v>8</v>
      </c>
      <c r="BG39" s="12">
        <v>9</v>
      </c>
      <c r="BH39" s="12" t="s">
        <v>14</v>
      </c>
    </row>
    <row r="40" spans="2:60" x14ac:dyDescent="0.5">
      <c r="B40" s="8" t="s">
        <v>6</v>
      </c>
      <c r="C40" s="9">
        <v>9</v>
      </c>
      <c r="D40" s="26">
        <v>8</v>
      </c>
      <c r="E40" s="26">
        <v>7</v>
      </c>
      <c r="F40" s="26">
        <v>6</v>
      </c>
      <c r="G40" s="26">
        <v>5</v>
      </c>
      <c r="H40" s="26">
        <v>4</v>
      </c>
      <c r="I40" s="26">
        <v>3</v>
      </c>
      <c r="J40" s="26">
        <v>2</v>
      </c>
      <c r="K40" s="26">
        <v>1</v>
      </c>
      <c r="L40" s="26">
        <v>2</v>
      </c>
      <c r="M40" s="26">
        <v>3</v>
      </c>
      <c r="N40" s="26">
        <v>4</v>
      </c>
      <c r="O40" s="26">
        <v>5</v>
      </c>
      <c r="P40" s="26">
        <v>6</v>
      </c>
      <c r="Q40" s="26">
        <v>7</v>
      </c>
      <c r="R40" s="26">
        <v>8</v>
      </c>
      <c r="S40" s="10">
        <v>9</v>
      </c>
      <c r="T40" s="10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1">
        <v>6</v>
      </c>
      <c r="AU40" s="1">
        <v>5</v>
      </c>
      <c r="AV40" s="33">
        <v>4</v>
      </c>
      <c r="AW40" s="1">
        <v>3</v>
      </c>
      <c r="AX40" s="1">
        <v>2</v>
      </c>
      <c r="AY40" s="1">
        <v>1</v>
      </c>
      <c r="AZ40" s="1">
        <v>2</v>
      </c>
      <c r="BA40" s="1">
        <v>3</v>
      </c>
      <c r="BB40" s="1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5">
      <c r="B41" s="8" t="s">
        <v>6</v>
      </c>
      <c r="C41" s="9">
        <v>9</v>
      </c>
      <c r="D41" s="26">
        <v>8</v>
      </c>
      <c r="E41" s="26">
        <v>7</v>
      </c>
      <c r="F41" s="26">
        <v>6</v>
      </c>
      <c r="G41" s="26">
        <v>5</v>
      </c>
      <c r="H41" s="26">
        <v>4</v>
      </c>
      <c r="I41" s="26">
        <v>3</v>
      </c>
      <c r="J41" s="26">
        <v>2</v>
      </c>
      <c r="K41" s="26">
        <v>1</v>
      </c>
      <c r="L41" s="26">
        <v>2</v>
      </c>
      <c r="M41" s="26">
        <v>3</v>
      </c>
      <c r="N41" s="26">
        <v>4</v>
      </c>
      <c r="O41" s="26">
        <v>5</v>
      </c>
      <c r="P41" s="26">
        <v>6</v>
      </c>
      <c r="Q41" s="26">
        <v>7</v>
      </c>
      <c r="R41" s="26">
        <v>8</v>
      </c>
      <c r="S41" s="10">
        <v>9</v>
      </c>
      <c r="T41" s="10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1">
        <v>2</v>
      </c>
      <c r="BA41" s="1">
        <v>3</v>
      </c>
      <c r="BB41" s="33">
        <v>4</v>
      </c>
      <c r="BC41" s="1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5">
      <c r="B42" s="8" t="s">
        <v>6</v>
      </c>
      <c r="C42" s="9">
        <v>9</v>
      </c>
      <c r="D42" s="26">
        <v>8</v>
      </c>
      <c r="E42" s="26">
        <v>7</v>
      </c>
      <c r="F42" s="26">
        <v>6</v>
      </c>
      <c r="G42" s="26">
        <v>5</v>
      </c>
      <c r="H42" s="26">
        <v>4</v>
      </c>
      <c r="I42" s="26">
        <v>3</v>
      </c>
      <c r="J42" s="26">
        <v>2</v>
      </c>
      <c r="K42" s="26">
        <v>1</v>
      </c>
      <c r="L42" s="26">
        <v>2</v>
      </c>
      <c r="M42" s="26">
        <v>3</v>
      </c>
      <c r="N42" s="26">
        <v>4</v>
      </c>
      <c r="O42" s="26">
        <v>5</v>
      </c>
      <c r="P42" s="26">
        <v>6</v>
      </c>
      <c r="Q42" s="26">
        <v>7</v>
      </c>
      <c r="R42" s="26">
        <v>8</v>
      </c>
      <c r="S42" s="10">
        <v>9</v>
      </c>
      <c r="T42" s="10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1">
        <v>2</v>
      </c>
      <c r="BA42" s="1">
        <v>3</v>
      </c>
      <c r="BB42" s="1">
        <v>4</v>
      </c>
      <c r="BC42" s="33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5">
      <c r="B43" s="8" t="s">
        <v>6</v>
      </c>
      <c r="C43" s="28">
        <v>9</v>
      </c>
      <c r="D43" s="29">
        <v>8</v>
      </c>
      <c r="E43" s="29">
        <v>7</v>
      </c>
      <c r="F43" s="29">
        <v>6</v>
      </c>
      <c r="G43" s="29">
        <v>5</v>
      </c>
      <c r="H43" s="29">
        <v>4</v>
      </c>
      <c r="I43" s="29">
        <v>3</v>
      </c>
      <c r="J43" s="29">
        <v>2</v>
      </c>
      <c r="K43" s="29">
        <v>1</v>
      </c>
      <c r="L43" s="29">
        <v>2</v>
      </c>
      <c r="M43" s="29">
        <v>3</v>
      </c>
      <c r="N43" s="29">
        <v>4</v>
      </c>
      <c r="O43" s="29">
        <v>5</v>
      </c>
      <c r="P43" s="29">
        <v>6</v>
      </c>
      <c r="Q43" s="29">
        <v>7</v>
      </c>
      <c r="R43" s="29">
        <v>8</v>
      </c>
      <c r="S43" s="30">
        <v>9</v>
      </c>
      <c r="T43" s="30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14">
        <v>7</v>
      </c>
      <c r="AT43" s="14">
        <v>6</v>
      </c>
      <c r="AU43" s="14">
        <v>5</v>
      </c>
      <c r="AV43" s="34">
        <v>4</v>
      </c>
      <c r="AW43" s="14">
        <v>3</v>
      </c>
      <c r="AX43" s="14">
        <v>2</v>
      </c>
      <c r="AY43" s="14">
        <v>1</v>
      </c>
      <c r="AZ43" s="14">
        <v>2</v>
      </c>
      <c r="BA43" s="14">
        <v>3</v>
      </c>
      <c r="BB43" s="1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33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  <c r="V44" s="16" t="s">
        <v>7</v>
      </c>
      <c r="W44" s="38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12">
        <v>9</v>
      </c>
      <c r="AN44" s="12" t="s">
        <v>8</v>
      </c>
      <c r="AP44" s="16" t="s">
        <v>7</v>
      </c>
      <c r="AQ44" s="11">
        <v>9</v>
      </c>
      <c r="AR44" s="1">
        <v>8</v>
      </c>
      <c r="AS44" s="1">
        <v>7</v>
      </c>
      <c r="AT44" s="1">
        <v>6</v>
      </c>
      <c r="AU44" s="1">
        <v>5</v>
      </c>
      <c r="AV44" s="1">
        <v>4</v>
      </c>
      <c r="AW44" s="1">
        <v>3</v>
      </c>
      <c r="AX44" s="33">
        <v>2</v>
      </c>
      <c r="AY44" s="1">
        <v>1</v>
      </c>
      <c r="AZ44" s="1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33">
        <v>3</v>
      </c>
      <c r="J45" s="1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38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12">
        <v>9</v>
      </c>
      <c r="AN45" s="12" t="s">
        <v>9</v>
      </c>
      <c r="AP45" s="17" t="s">
        <v>7</v>
      </c>
      <c r="AQ45" s="11">
        <v>9</v>
      </c>
      <c r="AR45" s="1">
        <v>8</v>
      </c>
      <c r="AS45" s="1">
        <v>7</v>
      </c>
      <c r="AT45" s="1">
        <v>6</v>
      </c>
      <c r="AU45" s="1">
        <v>5</v>
      </c>
      <c r="AV45" s="1">
        <v>4</v>
      </c>
      <c r="AW45" s="1">
        <v>3</v>
      </c>
      <c r="AX45" s="33">
        <v>2</v>
      </c>
      <c r="AY45" s="1">
        <v>1</v>
      </c>
      <c r="AZ45" s="1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33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11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36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1">
        <v>4</v>
      </c>
      <c r="AW46" s="1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33">
        <v>5</v>
      </c>
      <c r="BD46" s="1">
        <v>6</v>
      </c>
      <c r="BE46" s="1">
        <v>7</v>
      </c>
      <c r="BF46" s="1">
        <v>8</v>
      </c>
      <c r="BG46" s="12">
        <v>9</v>
      </c>
      <c r="BH46" s="12" t="s">
        <v>10</v>
      </c>
    </row>
    <row r="47" spans="2:6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33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38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12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1">
        <v>3</v>
      </c>
      <c r="AX47" s="1">
        <v>2</v>
      </c>
      <c r="AY47" s="1">
        <v>1</v>
      </c>
      <c r="AZ47" s="1">
        <v>2</v>
      </c>
      <c r="BA47" s="33">
        <v>3</v>
      </c>
      <c r="BB47" s="1">
        <v>4</v>
      </c>
      <c r="BC47" s="1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33">
        <v>2</v>
      </c>
      <c r="K48" s="1">
        <v>1</v>
      </c>
      <c r="L48" s="1">
        <v>2</v>
      </c>
      <c r="M48" s="1">
        <v>3</v>
      </c>
      <c r="N48" s="1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38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12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1">
        <v>3</v>
      </c>
      <c r="AX48" s="1">
        <v>2</v>
      </c>
      <c r="AY48" s="1">
        <v>1</v>
      </c>
      <c r="AZ48" s="1">
        <v>2</v>
      </c>
      <c r="BA48" s="33">
        <v>3</v>
      </c>
      <c r="BB48" s="1">
        <v>4</v>
      </c>
      <c r="BC48" s="1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1">
        <v>3</v>
      </c>
      <c r="N49" s="33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11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36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1">
        <v>5</v>
      </c>
      <c r="AV49" s="1">
        <v>4</v>
      </c>
      <c r="AW49" s="1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33">
        <v>5</v>
      </c>
      <c r="BD49" s="1">
        <v>6</v>
      </c>
      <c r="BE49" s="1">
        <v>7</v>
      </c>
      <c r="BF49" s="1">
        <v>8</v>
      </c>
      <c r="BG49" s="12">
        <v>9</v>
      </c>
      <c r="BH49" s="12" t="s">
        <v>13</v>
      </c>
    </row>
    <row r="50" spans="2:6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33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  <c r="V50" s="17" t="s">
        <v>7</v>
      </c>
      <c r="W50" s="38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12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1">
        <v>2</v>
      </c>
      <c r="AY50" s="1">
        <v>1</v>
      </c>
      <c r="AZ50" s="1">
        <v>2</v>
      </c>
      <c r="BA50" s="33">
        <v>3</v>
      </c>
      <c r="BB50" s="1">
        <v>4</v>
      </c>
      <c r="BC50" s="1">
        <v>5</v>
      </c>
      <c r="BD50" s="1">
        <v>6</v>
      </c>
      <c r="BE50" s="1">
        <v>7</v>
      </c>
      <c r="BF50" s="1">
        <v>8</v>
      </c>
      <c r="BG50" s="12">
        <v>9</v>
      </c>
      <c r="BH50" s="12" t="s">
        <v>14</v>
      </c>
    </row>
    <row r="51" spans="2:6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33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11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36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1">
        <v>3</v>
      </c>
      <c r="AX51" s="33">
        <v>2</v>
      </c>
      <c r="AY51" s="1">
        <v>1</v>
      </c>
      <c r="AZ51" s="1">
        <v>2</v>
      </c>
      <c r="BA51" s="1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33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11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36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1">
        <v>2</v>
      </c>
      <c r="BA52" s="1">
        <v>3</v>
      </c>
      <c r="BB52" s="1">
        <v>4</v>
      </c>
      <c r="BC52" s="1">
        <v>5</v>
      </c>
      <c r="BD52" s="33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5">
      <c r="B53" s="8" t="s">
        <v>7</v>
      </c>
      <c r="C53" s="9">
        <v>9</v>
      </c>
      <c r="D53" s="26">
        <v>8</v>
      </c>
      <c r="E53" s="26">
        <v>7</v>
      </c>
      <c r="F53" s="26">
        <v>6</v>
      </c>
      <c r="G53" s="26">
        <v>5</v>
      </c>
      <c r="H53" s="26">
        <v>4</v>
      </c>
      <c r="I53" s="26">
        <v>3</v>
      </c>
      <c r="J53" s="26">
        <v>2</v>
      </c>
      <c r="K53" s="26">
        <v>1</v>
      </c>
      <c r="L53" s="26">
        <v>2</v>
      </c>
      <c r="M53" s="26">
        <v>3</v>
      </c>
      <c r="N53" s="26">
        <v>4</v>
      </c>
      <c r="O53" s="26">
        <v>5</v>
      </c>
      <c r="P53" s="26">
        <v>6</v>
      </c>
      <c r="Q53" s="26">
        <v>7</v>
      </c>
      <c r="R53" s="26">
        <v>8</v>
      </c>
      <c r="S53" s="10">
        <v>9</v>
      </c>
      <c r="T53" s="10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1">
        <v>2</v>
      </c>
      <c r="BA53" s="1">
        <v>3</v>
      </c>
      <c r="BB53" s="1">
        <v>4</v>
      </c>
      <c r="BC53" s="1">
        <v>5</v>
      </c>
      <c r="BD53" s="1">
        <v>6</v>
      </c>
      <c r="BE53" s="33">
        <v>7</v>
      </c>
      <c r="BF53" s="1">
        <v>8</v>
      </c>
      <c r="BG53" s="12">
        <v>9</v>
      </c>
      <c r="BH53" s="12" t="s">
        <v>17</v>
      </c>
    </row>
    <row r="54" spans="2:6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3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13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37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34">
        <v>2</v>
      </c>
      <c r="AY54" s="14">
        <v>1</v>
      </c>
      <c r="AZ54" s="14">
        <v>2</v>
      </c>
      <c r="BA54" s="1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33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38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12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33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11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36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33">
        <v>5</v>
      </c>
      <c r="BD56" s="1">
        <v>6</v>
      </c>
      <c r="BE56" s="1">
        <v>7</v>
      </c>
      <c r="BF56" s="1">
        <v>8</v>
      </c>
      <c r="BG56" s="12">
        <v>9</v>
      </c>
      <c r="BH56" s="12" t="s">
        <v>10</v>
      </c>
    </row>
    <row r="57" spans="2:60" x14ac:dyDescent="0.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33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11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36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1">
        <v>3</v>
      </c>
      <c r="AX57" s="1">
        <v>2</v>
      </c>
      <c r="AY57" s="1">
        <v>1</v>
      </c>
      <c r="AZ57" s="1">
        <v>2</v>
      </c>
      <c r="BA57" s="33">
        <v>3</v>
      </c>
      <c r="BB57" s="1">
        <v>4</v>
      </c>
      <c r="BC57" s="1">
        <v>5</v>
      </c>
      <c r="BD57" s="1">
        <v>6</v>
      </c>
      <c r="BE57" s="1">
        <v>7</v>
      </c>
      <c r="BF57" s="1">
        <v>8</v>
      </c>
      <c r="BG57" s="12">
        <v>9</v>
      </c>
      <c r="BH57" s="12" t="s">
        <v>11</v>
      </c>
    </row>
    <row r="58" spans="2:6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33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11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36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1">
        <v>2</v>
      </c>
      <c r="AY58" s="1">
        <v>1</v>
      </c>
      <c r="AZ58" s="1">
        <v>2</v>
      </c>
      <c r="BA58" s="33">
        <v>3</v>
      </c>
      <c r="BB58" s="1">
        <v>4</v>
      </c>
      <c r="BC58" s="1">
        <v>5</v>
      </c>
      <c r="BD58" s="1">
        <v>6</v>
      </c>
      <c r="BE58" s="1">
        <v>7</v>
      </c>
      <c r="BF58" s="1">
        <v>8</v>
      </c>
      <c r="BG58" s="12">
        <v>9</v>
      </c>
      <c r="BH58" s="12" t="s">
        <v>12</v>
      </c>
    </row>
    <row r="59" spans="2:60" x14ac:dyDescent="0.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33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11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36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1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33">
        <v>4</v>
      </c>
      <c r="BC59" s="1">
        <v>5</v>
      </c>
      <c r="BD59" s="1">
        <v>6</v>
      </c>
      <c r="BE59" s="1">
        <v>7</v>
      </c>
      <c r="BF59" s="1">
        <v>8</v>
      </c>
      <c r="BG59" s="12">
        <v>9</v>
      </c>
      <c r="BH59" s="12" t="s">
        <v>13</v>
      </c>
    </row>
    <row r="60" spans="2:60" x14ac:dyDescent="0.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33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  <c r="V60" s="17" t="s">
        <v>8</v>
      </c>
      <c r="W60" s="11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36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1">
        <v>4</v>
      </c>
      <c r="AW60" s="1">
        <v>3</v>
      </c>
      <c r="AX60" s="1">
        <v>2</v>
      </c>
      <c r="AY60" s="1">
        <v>1</v>
      </c>
      <c r="AZ60" s="1">
        <v>2</v>
      </c>
      <c r="BA60" s="33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12">
        <v>9</v>
      </c>
      <c r="BH60" s="12" t="s">
        <v>14</v>
      </c>
    </row>
    <row r="61" spans="2:60" x14ac:dyDescent="0.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33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11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36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1">
        <v>3</v>
      </c>
      <c r="AX61" s="1">
        <v>2</v>
      </c>
      <c r="AY61" s="1">
        <v>1</v>
      </c>
      <c r="AZ61" s="1">
        <v>2</v>
      </c>
      <c r="BA61" s="33">
        <v>3</v>
      </c>
      <c r="BB61" s="1">
        <v>4</v>
      </c>
      <c r="BC61" s="1">
        <v>5</v>
      </c>
      <c r="BD61" s="1">
        <v>6</v>
      </c>
      <c r="BE61" s="1">
        <v>7</v>
      </c>
      <c r="BF61" s="1">
        <v>8</v>
      </c>
      <c r="BG61" s="12">
        <v>9</v>
      </c>
      <c r="BH61" s="12" t="s">
        <v>15</v>
      </c>
    </row>
    <row r="62" spans="2:60" x14ac:dyDescent="0.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33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11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36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1">
        <v>3</v>
      </c>
      <c r="BB62" s="1">
        <v>4</v>
      </c>
      <c r="BC62" s="1">
        <v>5</v>
      </c>
      <c r="BD62" s="1">
        <v>6</v>
      </c>
      <c r="BE62" s="33">
        <v>7</v>
      </c>
      <c r="BF62" s="1">
        <v>8</v>
      </c>
      <c r="BG62" s="12">
        <v>9</v>
      </c>
      <c r="BH62" s="12" t="s">
        <v>16</v>
      </c>
    </row>
    <row r="63" spans="2:60" x14ac:dyDescent="0.5">
      <c r="B63" s="8" t="s">
        <v>8</v>
      </c>
      <c r="C63" s="9">
        <v>9</v>
      </c>
      <c r="D63" s="26">
        <v>8</v>
      </c>
      <c r="E63" s="26">
        <v>7</v>
      </c>
      <c r="F63" s="26">
        <v>6</v>
      </c>
      <c r="G63" s="26">
        <v>5</v>
      </c>
      <c r="H63" s="26">
        <v>4</v>
      </c>
      <c r="I63" s="26">
        <v>3</v>
      </c>
      <c r="J63" s="26">
        <v>2</v>
      </c>
      <c r="K63" s="26">
        <v>1</v>
      </c>
      <c r="L63" s="26">
        <v>2</v>
      </c>
      <c r="M63" s="26">
        <v>3</v>
      </c>
      <c r="N63" s="26">
        <v>4</v>
      </c>
      <c r="O63" s="26">
        <v>5</v>
      </c>
      <c r="P63" s="26">
        <v>6</v>
      </c>
      <c r="Q63" s="26">
        <v>7</v>
      </c>
      <c r="R63" s="26">
        <v>8</v>
      </c>
      <c r="S63" s="10">
        <v>9</v>
      </c>
      <c r="T63" s="10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1">
        <v>3</v>
      </c>
      <c r="BB63" s="1">
        <v>4</v>
      </c>
      <c r="BC63" s="1">
        <v>5</v>
      </c>
      <c r="BD63" s="1">
        <v>6</v>
      </c>
      <c r="BE63" s="1">
        <v>7</v>
      </c>
      <c r="BF63" s="33">
        <v>8</v>
      </c>
      <c r="BG63" s="12">
        <v>9</v>
      </c>
      <c r="BH63" s="12" t="s">
        <v>17</v>
      </c>
    </row>
    <row r="64" spans="2:6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3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13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37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14">
        <v>3</v>
      </c>
      <c r="AX64" s="14">
        <v>2</v>
      </c>
      <c r="AY64" s="14">
        <v>1</v>
      </c>
      <c r="AZ64" s="14">
        <v>2</v>
      </c>
      <c r="BA64" s="34">
        <v>3</v>
      </c>
      <c r="BB64" s="14">
        <v>4</v>
      </c>
      <c r="BC64" s="14">
        <v>5</v>
      </c>
      <c r="BD64" s="14">
        <v>6</v>
      </c>
      <c r="BE64" s="14">
        <v>7</v>
      </c>
      <c r="BF64" s="14">
        <v>8</v>
      </c>
      <c r="BG64" s="15">
        <v>9</v>
      </c>
      <c r="BH64" s="15" t="s">
        <v>18</v>
      </c>
    </row>
    <row r="65" spans="2:6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33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11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36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1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33">
        <v>5</v>
      </c>
      <c r="BD65" s="1">
        <v>6</v>
      </c>
      <c r="BE65" s="1">
        <v>7</v>
      </c>
      <c r="BF65" s="1">
        <v>8</v>
      </c>
      <c r="BG65" s="12">
        <v>9</v>
      </c>
      <c r="BH65" s="12" t="s">
        <v>10</v>
      </c>
    </row>
    <row r="66" spans="2:6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33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11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36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1">
        <v>3</v>
      </c>
      <c r="AX66" s="1">
        <v>2</v>
      </c>
      <c r="AY66" s="1">
        <v>1</v>
      </c>
      <c r="AZ66" s="1">
        <v>2</v>
      </c>
      <c r="BA66" s="33">
        <v>3</v>
      </c>
      <c r="BB66" s="1">
        <v>4</v>
      </c>
      <c r="BC66" s="1">
        <v>5</v>
      </c>
      <c r="BD66" s="1">
        <v>6</v>
      </c>
      <c r="BE66" s="1">
        <v>7</v>
      </c>
      <c r="BF66" s="1">
        <v>8</v>
      </c>
      <c r="BG66" s="12">
        <v>9</v>
      </c>
      <c r="BH66" s="12" t="s">
        <v>11</v>
      </c>
    </row>
    <row r="67" spans="2:6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33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  <c r="V67" s="17" t="s">
        <v>9</v>
      </c>
      <c r="W67" s="11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36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1">
        <v>2</v>
      </c>
      <c r="AY67" s="1">
        <v>1</v>
      </c>
      <c r="AZ67" s="1">
        <v>2</v>
      </c>
      <c r="BA67" s="33">
        <v>3</v>
      </c>
      <c r="BB67" s="1">
        <v>4</v>
      </c>
      <c r="BC67" s="1">
        <v>5</v>
      </c>
      <c r="BD67" s="1">
        <v>6</v>
      </c>
      <c r="BE67" s="1">
        <v>7</v>
      </c>
      <c r="BF67" s="1">
        <v>8</v>
      </c>
      <c r="BG67" s="12">
        <v>9</v>
      </c>
      <c r="BH67" s="12" t="s">
        <v>12</v>
      </c>
    </row>
    <row r="68" spans="2:6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36">
        <v>9</v>
      </c>
      <c r="T68" s="12" t="s">
        <v>13</v>
      </c>
      <c r="V68" s="17" t="s">
        <v>9</v>
      </c>
      <c r="W68" s="11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36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1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33">
        <v>4</v>
      </c>
      <c r="BC68" s="1">
        <v>5</v>
      </c>
      <c r="BD68" s="1">
        <v>6</v>
      </c>
      <c r="BE68" s="1">
        <v>7</v>
      </c>
      <c r="BF68" s="1">
        <v>8</v>
      </c>
      <c r="BG68" s="12">
        <v>9</v>
      </c>
      <c r="BH68" s="12" t="s">
        <v>13</v>
      </c>
    </row>
    <row r="69" spans="2:6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33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  <c r="V69" s="17" t="s">
        <v>9</v>
      </c>
      <c r="W69" s="11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36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1">
        <v>4</v>
      </c>
      <c r="AW69" s="1">
        <v>3</v>
      </c>
      <c r="AX69" s="1">
        <v>2</v>
      </c>
      <c r="AY69" s="1">
        <v>1</v>
      </c>
      <c r="AZ69" s="1">
        <v>2</v>
      </c>
      <c r="BA69" s="33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12">
        <v>9</v>
      </c>
      <c r="BH69" s="12" t="s">
        <v>14</v>
      </c>
    </row>
    <row r="70" spans="2:6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33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1">
        <v>3</v>
      </c>
      <c r="AX70" s="1">
        <v>2</v>
      </c>
      <c r="AY70" s="1">
        <v>1</v>
      </c>
      <c r="AZ70" s="1">
        <v>2</v>
      </c>
      <c r="BA70" s="33">
        <v>3</v>
      </c>
      <c r="BB70" s="1">
        <v>4</v>
      </c>
      <c r="BC70" s="1">
        <v>5</v>
      </c>
      <c r="BD70" s="1">
        <v>6</v>
      </c>
      <c r="BE70" s="1">
        <v>7</v>
      </c>
      <c r="BF70" s="1">
        <v>8</v>
      </c>
      <c r="BG70" s="12">
        <v>9</v>
      </c>
      <c r="BH70" s="12" t="s">
        <v>15</v>
      </c>
    </row>
    <row r="71" spans="2:6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33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1">
        <v>3</v>
      </c>
      <c r="BB71" s="1">
        <v>4</v>
      </c>
      <c r="BC71" s="1">
        <v>5</v>
      </c>
      <c r="BD71" s="1">
        <v>6</v>
      </c>
      <c r="BE71" s="33">
        <v>7</v>
      </c>
      <c r="BF71" s="1">
        <v>8</v>
      </c>
      <c r="BG71" s="12">
        <v>9</v>
      </c>
      <c r="BH71" s="12" t="s">
        <v>16</v>
      </c>
    </row>
    <row r="72" spans="2:60" x14ac:dyDescent="0.5">
      <c r="B72" s="8" t="s">
        <v>9</v>
      </c>
      <c r="C72" s="9">
        <v>9</v>
      </c>
      <c r="D72" s="26">
        <v>8</v>
      </c>
      <c r="E72" s="26">
        <v>7</v>
      </c>
      <c r="F72" s="26">
        <v>6</v>
      </c>
      <c r="G72" s="26">
        <v>5</v>
      </c>
      <c r="H72" s="26">
        <v>4</v>
      </c>
      <c r="I72" s="26">
        <v>3</v>
      </c>
      <c r="J72" s="26">
        <v>2</v>
      </c>
      <c r="K72" s="26">
        <v>1</v>
      </c>
      <c r="L72" s="26">
        <v>2</v>
      </c>
      <c r="M72" s="26">
        <v>3</v>
      </c>
      <c r="N72" s="26">
        <v>4</v>
      </c>
      <c r="O72" s="26">
        <v>5</v>
      </c>
      <c r="P72" s="26">
        <v>6</v>
      </c>
      <c r="Q72" s="26">
        <v>7</v>
      </c>
      <c r="R72" s="26">
        <v>8</v>
      </c>
      <c r="S72" s="10">
        <v>9</v>
      </c>
      <c r="T72" s="10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1">
        <v>3</v>
      </c>
      <c r="BB72" s="1">
        <v>4</v>
      </c>
      <c r="BC72" s="1">
        <v>5</v>
      </c>
      <c r="BD72" s="1">
        <v>6</v>
      </c>
      <c r="BE72" s="1">
        <v>7</v>
      </c>
      <c r="BF72" s="33">
        <v>8</v>
      </c>
      <c r="BG72" s="12">
        <v>9</v>
      </c>
      <c r="BH72" s="12" t="s">
        <v>17</v>
      </c>
    </row>
    <row r="73" spans="2:6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34">
        <v>4</v>
      </c>
      <c r="O73" s="14">
        <v>5</v>
      </c>
      <c r="P73" s="14">
        <v>6</v>
      </c>
      <c r="Q73" s="14">
        <v>7</v>
      </c>
      <c r="R73" s="14">
        <v>8</v>
      </c>
      <c r="S73" s="15">
        <v>9</v>
      </c>
      <c r="T73" s="15" t="s">
        <v>18</v>
      </c>
      <c r="V73" s="19" t="s">
        <v>9</v>
      </c>
      <c r="W73" s="13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37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14">
        <v>3</v>
      </c>
      <c r="AX73" s="14">
        <v>2</v>
      </c>
      <c r="AY73" s="14">
        <v>1</v>
      </c>
      <c r="AZ73" s="14">
        <v>2</v>
      </c>
      <c r="BA73" s="34">
        <v>3</v>
      </c>
      <c r="BB73" s="14">
        <v>4</v>
      </c>
      <c r="BC73" s="14">
        <v>5</v>
      </c>
      <c r="BD73" s="14">
        <v>6</v>
      </c>
      <c r="BE73" s="14">
        <v>7</v>
      </c>
      <c r="BF73" s="14">
        <v>8</v>
      </c>
      <c r="BG73" s="15">
        <v>9</v>
      </c>
      <c r="BH73" s="15" t="s">
        <v>18</v>
      </c>
    </row>
    <row r="74" spans="2:6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33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11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36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1">
        <v>7</v>
      </c>
      <c r="AT74" s="1">
        <v>6</v>
      </c>
      <c r="AU74" s="1">
        <v>5</v>
      </c>
      <c r="AV74" s="1">
        <v>4</v>
      </c>
      <c r="AW74" s="33">
        <v>3</v>
      </c>
      <c r="AX74" s="1">
        <v>2</v>
      </c>
      <c r="AY74" s="1">
        <v>1</v>
      </c>
      <c r="AZ74" s="1">
        <v>2</v>
      </c>
      <c r="BA74" s="1">
        <v>3</v>
      </c>
      <c r="BB74" s="1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33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  <c r="V75" s="17" t="s">
        <v>10</v>
      </c>
      <c r="W75" s="11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36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1">
        <v>7</v>
      </c>
      <c r="AT75" s="1">
        <v>6</v>
      </c>
      <c r="AU75" s="1">
        <v>5</v>
      </c>
      <c r="AV75" s="1">
        <v>4</v>
      </c>
      <c r="AW75" s="33">
        <v>3</v>
      </c>
      <c r="AX75" s="1">
        <v>2</v>
      </c>
      <c r="AY75" s="1">
        <v>1</v>
      </c>
      <c r="AZ75" s="1">
        <v>2</v>
      </c>
      <c r="BA75" s="1">
        <v>3</v>
      </c>
      <c r="BB75" s="1">
        <v>4</v>
      </c>
      <c r="BC75" s="1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33">
        <v>8</v>
      </c>
      <c r="S76" s="12">
        <v>9</v>
      </c>
      <c r="T76" s="12" t="s">
        <v>13</v>
      </c>
      <c r="V76" s="17" t="s">
        <v>10</v>
      </c>
      <c r="W76" s="11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36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33">
        <v>2</v>
      </c>
      <c r="AY76" s="1">
        <v>1</v>
      </c>
      <c r="AZ76" s="1">
        <v>2</v>
      </c>
      <c r="BA76" s="1">
        <v>3</v>
      </c>
      <c r="BB76" s="1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33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  <c r="V77" s="17" t="s">
        <v>10</v>
      </c>
      <c r="W77" s="38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12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1">
        <v>5</v>
      </c>
      <c r="AV77" s="1">
        <v>4</v>
      </c>
      <c r="AW77" s="33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1">
        <v>5</v>
      </c>
      <c r="BD77" s="1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33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38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12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1">
        <v>7</v>
      </c>
      <c r="AT78" s="1">
        <v>6</v>
      </c>
      <c r="AU78" s="1">
        <v>5</v>
      </c>
      <c r="AV78" s="1">
        <v>4</v>
      </c>
      <c r="AW78" s="33">
        <v>3</v>
      </c>
      <c r="AX78" s="1">
        <v>2</v>
      </c>
      <c r="AY78" s="1">
        <v>1</v>
      </c>
      <c r="AZ78" s="1">
        <v>2</v>
      </c>
      <c r="BA78" s="1">
        <v>3</v>
      </c>
      <c r="BB78" s="1">
        <v>4</v>
      </c>
      <c r="BC78" s="1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33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1">
        <v>3</v>
      </c>
      <c r="AX79" s="1">
        <v>2</v>
      </c>
      <c r="AY79" s="1">
        <v>1</v>
      </c>
      <c r="AZ79" s="1">
        <v>2</v>
      </c>
      <c r="BA79" s="1">
        <v>3</v>
      </c>
      <c r="BB79" s="1">
        <v>4</v>
      </c>
      <c r="BC79" s="1">
        <v>5</v>
      </c>
      <c r="BD79" s="1">
        <v>6</v>
      </c>
      <c r="BE79" s="33">
        <v>7</v>
      </c>
      <c r="BF79" s="1">
        <v>8</v>
      </c>
      <c r="BG79" s="12">
        <v>9</v>
      </c>
      <c r="BH79" s="12" t="s">
        <v>16</v>
      </c>
    </row>
    <row r="80" spans="2:60" x14ac:dyDescent="0.5">
      <c r="B80" s="8" t="s">
        <v>10</v>
      </c>
      <c r="C80" s="9">
        <v>9</v>
      </c>
      <c r="D80" s="26">
        <v>8</v>
      </c>
      <c r="E80" s="26">
        <v>7</v>
      </c>
      <c r="F80" s="26">
        <v>6</v>
      </c>
      <c r="G80" s="26">
        <v>5</v>
      </c>
      <c r="H80" s="26">
        <v>4</v>
      </c>
      <c r="I80" s="26">
        <v>3</v>
      </c>
      <c r="J80" s="26">
        <v>2</v>
      </c>
      <c r="K80" s="26">
        <v>1</v>
      </c>
      <c r="L80" s="26">
        <v>2</v>
      </c>
      <c r="M80" s="26">
        <v>3</v>
      </c>
      <c r="N80" s="26">
        <v>4</v>
      </c>
      <c r="O80" s="26">
        <v>5</v>
      </c>
      <c r="P80" s="26">
        <v>6</v>
      </c>
      <c r="Q80" s="26">
        <v>7</v>
      </c>
      <c r="R80" s="26">
        <v>8</v>
      </c>
      <c r="S80" s="10">
        <v>9</v>
      </c>
      <c r="T80" s="10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X80" s="1">
        <v>2</v>
      </c>
      <c r="AY80" s="1">
        <v>1</v>
      </c>
      <c r="AZ80" s="1">
        <v>2</v>
      </c>
      <c r="BA80" s="1">
        <v>3</v>
      </c>
      <c r="BB80" s="1">
        <v>4</v>
      </c>
      <c r="BC80" s="1">
        <v>5</v>
      </c>
      <c r="BD80" s="1">
        <v>6</v>
      </c>
      <c r="BE80" s="1">
        <v>7</v>
      </c>
      <c r="BF80" s="33">
        <v>8</v>
      </c>
      <c r="BG80" s="12">
        <v>9</v>
      </c>
      <c r="BH80" s="12" t="s">
        <v>17</v>
      </c>
    </row>
    <row r="81" spans="2:6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3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  <c r="V81" s="19" t="s">
        <v>10</v>
      </c>
      <c r="W81" s="13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37">
        <v>9</v>
      </c>
      <c r="AN81" s="15" t="s">
        <v>18</v>
      </c>
      <c r="AP81" s="19" t="s">
        <v>10</v>
      </c>
      <c r="AQ81" s="13">
        <v>9</v>
      </c>
      <c r="AR81" s="1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14">
        <v>3</v>
      </c>
      <c r="BB81" s="14">
        <v>4</v>
      </c>
      <c r="BC81" s="1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33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  <c r="V82" s="16" t="s">
        <v>11</v>
      </c>
      <c r="W82" s="38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12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33">
        <v>1</v>
      </c>
      <c r="AZ82" s="1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33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1">
        <v>3</v>
      </c>
      <c r="AX83" s="1">
        <v>2</v>
      </c>
      <c r="AY83" s="33">
        <v>1</v>
      </c>
      <c r="AZ83" s="1">
        <v>2</v>
      </c>
      <c r="BA83" s="1">
        <v>3</v>
      </c>
      <c r="BB83" s="1">
        <v>4</v>
      </c>
      <c r="BC83" s="1">
        <v>5</v>
      </c>
      <c r="BD83" s="1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33">
        <v>2</v>
      </c>
      <c r="K84" s="1">
        <v>1</v>
      </c>
      <c r="L84" s="1">
        <v>2</v>
      </c>
      <c r="M84" s="1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38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12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33">
        <v>2</v>
      </c>
      <c r="BA84" s="1">
        <v>3</v>
      </c>
      <c r="BB84" s="1">
        <v>4</v>
      </c>
      <c r="BC84" s="1">
        <v>5</v>
      </c>
      <c r="BD84" s="1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33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11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36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1">
        <v>2</v>
      </c>
      <c r="AY85" s="33">
        <v>1</v>
      </c>
      <c r="AZ85" s="1">
        <v>2</v>
      </c>
      <c r="BA85" s="1">
        <v>3</v>
      </c>
      <c r="BB85" s="1">
        <v>4</v>
      </c>
      <c r="BC85" s="1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33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11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36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33">
        <v>1</v>
      </c>
      <c r="AZ86" s="1">
        <v>2</v>
      </c>
      <c r="BA86" s="1">
        <v>3</v>
      </c>
      <c r="BB86" s="1">
        <v>4</v>
      </c>
      <c r="BC86" s="1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5">
      <c r="B87" s="8" t="s">
        <v>11</v>
      </c>
      <c r="C87" s="9">
        <v>9</v>
      </c>
      <c r="D87" s="26">
        <v>8</v>
      </c>
      <c r="E87" s="26">
        <v>7</v>
      </c>
      <c r="F87" s="26">
        <v>6</v>
      </c>
      <c r="G87" s="26">
        <v>5</v>
      </c>
      <c r="H87" s="26">
        <v>4</v>
      </c>
      <c r="I87" s="26">
        <v>3</v>
      </c>
      <c r="J87" s="26">
        <v>2</v>
      </c>
      <c r="K87" s="26">
        <v>1</v>
      </c>
      <c r="L87" s="26">
        <v>2</v>
      </c>
      <c r="M87" s="26">
        <v>3</v>
      </c>
      <c r="N87" s="26">
        <v>4</v>
      </c>
      <c r="O87" s="26">
        <v>5</v>
      </c>
      <c r="P87" s="26">
        <v>6</v>
      </c>
      <c r="Q87" s="26">
        <v>7</v>
      </c>
      <c r="R87" s="26">
        <v>8</v>
      </c>
      <c r="S87" s="10">
        <v>9</v>
      </c>
      <c r="T87" s="10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1">
        <v>3</v>
      </c>
      <c r="BB87" s="1">
        <v>4</v>
      </c>
      <c r="BC87" s="1">
        <v>5</v>
      </c>
      <c r="BD87" s="33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3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  <c r="V88" s="19" t="s">
        <v>11</v>
      </c>
      <c r="W88" s="13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37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14">
        <v>3</v>
      </c>
      <c r="BB88" s="14">
        <v>4</v>
      </c>
      <c r="BC88" s="14">
        <v>5</v>
      </c>
      <c r="BD88" s="14">
        <v>6</v>
      </c>
      <c r="BE88" s="34">
        <v>7</v>
      </c>
      <c r="BF88" s="14">
        <v>8</v>
      </c>
      <c r="BG88" s="15">
        <v>9</v>
      </c>
      <c r="BH88" s="15" t="s">
        <v>18</v>
      </c>
    </row>
    <row r="89" spans="2:60" x14ac:dyDescent="0.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33">
        <v>8</v>
      </c>
      <c r="S89" s="12">
        <v>9</v>
      </c>
      <c r="T89" s="12" t="s">
        <v>13</v>
      </c>
      <c r="V89" s="16" t="s">
        <v>12</v>
      </c>
      <c r="W89" s="11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36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1">
        <v>4</v>
      </c>
      <c r="AW89" s="1">
        <v>3</v>
      </c>
      <c r="AX89" s="1">
        <v>2</v>
      </c>
      <c r="AY89" s="33">
        <v>1</v>
      </c>
      <c r="AZ89" s="1">
        <v>2</v>
      </c>
      <c r="BA89" s="1">
        <v>3</v>
      </c>
      <c r="BB89" s="1">
        <v>4</v>
      </c>
      <c r="BC89" s="1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33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38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12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1">
        <v>3</v>
      </c>
      <c r="AX90" s="1">
        <v>2</v>
      </c>
      <c r="AY90" s="1">
        <v>1</v>
      </c>
      <c r="AZ90" s="33">
        <v>2</v>
      </c>
      <c r="BA90" s="1">
        <v>3</v>
      </c>
      <c r="BB90" s="1">
        <v>4</v>
      </c>
      <c r="BC90" s="1">
        <v>5</v>
      </c>
      <c r="BD90" s="1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33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11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36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1">
        <v>4</v>
      </c>
      <c r="AW91" s="1">
        <v>3</v>
      </c>
      <c r="AX91" s="1">
        <v>2</v>
      </c>
      <c r="AY91" s="33">
        <v>1</v>
      </c>
      <c r="AZ91" s="1">
        <v>2</v>
      </c>
      <c r="BA91" s="1">
        <v>3</v>
      </c>
      <c r="BB91" s="1">
        <v>4</v>
      </c>
      <c r="BC91" s="1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33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11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36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33">
        <v>1</v>
      </c>
      <c r="AZ92" s="1">
        <v>2</v>
      </c>
      <c r="BA92" s="1">
        <v>3</v>
      </c>
      <c r="BB92" s="1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5">
      <c r="B93" s="8" t="s">
        <v>12</v>
      </c>
      <c r="C93" s="9">
        <v>9</v>
      </c>
      <c r="D93" s="26">
        <v>8</v>
      </c>
      <c r="E93" s="26">
        <v>7</v>
      </c>
      <c r="F93" s="26">
        <v>6</v>
      </c>
      <c r="G93" s="26">
        <v>5</v>
      </c>
      <c r="H93" s="26">
        <v>4</v>
      </c>
      <c r="I93" s="26">
        <v>3</v>
      </c>
      <c r="J93" s="26">
        <v>2</v>
      </c>
      <c r="K93" s="26">
        <v>1</v>
      </c>
      <c r="L93" s="26">
        <v>2</v>
      </c>
      <c r="M93" s="26">
        <v>3</v>
      </c>
      <c r="N93" s="26">
        <v>4</v>
      </c>
      <c r="O93" s="26">
        <v>5</v>
      </c>
      <c r="P93" s="26">
        <v>6</v>
      </c>
      <c r="Q93" s="26">
        <v>7</v>
      </c>
      <c r="R93" s="26">
        <v>8</v>
      </c>
      <c r="S93" s="10">
        <v>9</v>
      </c>
      <c r="T93" s="10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1">
        <v>2</v>
      </c>
      <c r="BA93" s="1">
        <v>3</v>
      </c>
      <c r="BB93" s="1">
        <v>4</v>
      </c>
      <c r="BC93" s="1">
        <v>5</v>
      </c>
      <c r="BD93" s="33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14">
        <v>1</v>
      </c>
      <c r="L94" s="14">
        <v>2</v>
      </c>
      <c r="M94" s="3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13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37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1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14">
        <v>5</v>
      </c>
      <c r="BD94" s="14">
        <v>6</v>
      </c>
      <c r="BE94" s="34">
        <v>7</v>
      </c>
      <c r="BF94" s="14">
        <v>8</v>
      </c>
      <c r="BG94" s="15">
        <v>9</v>
      </c>
      <c r="BH94" s="15" t="s">
        <v>18</v>
      </c>
    </row>
    <row r="95" spans="2:60" x14ac:dyDescent="0.5">
      <c r="B95" s="16" t="s">
        <v>13</v>
      </c>
      <c r="C95" s="11">
        <v>9</v>
      </c>
      <c r="D95" s="33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38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12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1">
        <v>5</v>
      </c>
      <c r="AV95" s="33">
        <v>4</v>
      </c>
      <c r="AW95" s="1">
        <v>3</v>
      </c>
      <c r="AX95" s="1">
        <v>2</v>
      </c>
      <c r="AY95" s="1">
        <v>1</v>
      </c>
      <c r="AZ95" s="1">
        <v>2</v>
      </c>
      <c r="BA95" s="1">
        <v>3</v>
      </c>
      <c r="BB95" s="1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5">
      <c r="B96" s="17" t="s">
        <v>13</v>
      </c>
      <c r="C96" s="11">
        <v>9</v>
      </c>
      <c r="D96" s="33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38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12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1">
        <v>7</v>
      </c>
      <c r="AT96" s="1">
        <v>6</v>
      </c>
      <c r="AU96" s="33">
        <v>5</v>
      </c>
      <c r="AV96" s="1">
        <v>4</v>
      </c>
      <c r="AW96" s="1">
        <v>3</v>
      </c>
      <c r="AX96" s="1">
        <v>2</v>
      </c>
      <c r="AY96" s="1">
        <v>1</v>
      </c>
      <c r="AZ96" s="1">
        <v>2</v>
      </c>
      <c r="BA96" s="1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33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38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12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1">
        <v>4</v>
      </c>
      <c r="AW97" s="1">
        <v>3</v>
      </c>
      <c r="AX97" s="1">
        <v>2</v>
      </c>
      <c r="AY97" s="1">
        <v>1</v>
      </c>
      <c r="AZ97" s="1">
        <v>2</v>
      </c>
      <c r="BA97" s="33">
        <v>3</v>
      </c>
      <c r="BB97" s="1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5">
      <c r="B98" s="8" t="s">
        <v>13</v>
      </c>
      <c r="C98" s="9">
        <v>9</v>
      </c>
      <c r="D98" s="26">
        <v>8</v>
      </c>
      <c r="E98" s="26">
        <v>7</v>
      </c>
      <c r="F98" s="26">
        <v>6</v>
      </c>
      <c r="G98" s="26">
        <v>5</v>
      </c>
      <c r="H98" s="26">
        <v>4</v>
      </c>
      <c r="I98" s="26">
        <v>3</v>
      </c>
      <c r="J98" s="26">
        <v>2</v>
      </c>
      <c r="K98" s="26">
        <v>1</v>
      </c>
      <c r="L98" s="26">
        <v>2</v>
      </c>
      <c r="M98" s="26">
        <v>3</v>
      </c>
      <c r="N98" s="26">
        <v>4</v>
      </c>
      <c r="O98" s="26">
        <v>5</v>
      </c>
      <c r="P98" s="26">
        <v>6</v>
      </c>
      <c r="Q98" s="26">
        <v>7</v>
      </c>
      <c r="R98" s="26">
        <v>8</v>
      </c>
      <c r="S98" s="10">
        <v>9</v>
      </c>
      <c r="T98" s="10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1">
        <v>4</v>
      </c>
      <c r="AW98" s="1">
        <v>3</v>
      </c>
      <c r="AX98" s="1">
        <v>2</v>
      </c>
      <c r="AY98" s="1">
        <v>1</v>
      </c>
      <c r="AZ98" s="1">
        <v>2</v>
      </c>
      <c r="BA98" s="33">
        <v>3</v>
      </c>
      <c r="BB98" s="1">
        <v>4</v>
      </c>
      <c r="BC98" s="1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5">
      <c r="B99" s="17" t="s">
        <v>13</v>
      </c>
      <c r="C99" s="11">
        <v>9</v>
      </c>
      <c r="D99" s="1">
        <v>8</v>
      </c>
      <c r="E99" s="33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  <c r="V99" s="17" t="s">
        <v>13</v>
      </c>
      <c r="W99" s="38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12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33">
        <v>5</v>
      </c>
      <c r="AV99" s="1">
        <v>4</v>
      </c>
      <c r="AW99" s="1">
        <v>3</v>
      </c>
      <c r="AX99" s="1">
        <v>2</v>
      </c>
      <c r="AY99" s="1">
        <v>1</v>
      </c>
      <c r="AZ99" s="1">
        <v>2</v>
      </c>
      <c r="BA99" s="1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5">
        <v>1</v>
      </c>
      <c r="L100" s="6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4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41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5">
        <v>6</v>
      </c>
      <c r="AU100" s="5">
        <v>5</v>
      </c>
      <c r="AV100" s="5">
        <v>4</v>
      </c>
      <c r="AW100" s="5">
        <v>3</v>
      </c>
      <c r="AX100" s="6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1">
        <v>2</v>
      </c>
      <c r="K101" s="1">
        <v>1</v>
      </c>
      <c r="L101" s="1">
        <v>2</v>
      </c>
      <c r="M101" s="33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11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36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1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1">
        <v>2</v>
      </c>
      <c r="BA101" s="1">
        <v>3</v>
      </c>
      <c r="BB101" s="1">
        <v>4</v>
      </c>
      <c r="BC101" s="33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5">
      <c r="B102" s="9" t="s">
        <v>14</v>
      </c>
      <c r="C102" s="9">
        <v>9</v>
      </c>
      <c r="D102" s="26">
        <v>8</v>
      </c>
      <c r="E102" s="26">
        <v>7</v>
      </c>
      <c r="F102" s="26">
        <v>6</v>
      </c>
      <c r="G102" s="26">
        <v>5</v>
      </c>
      <c r="H102" s="26">
        <v>4</v>
      </c>
      <c r="I102" s="26">
        <v>3</v>
      </c>
      <c r="J102" s="26">
        <v>2</v>
      </c>
      <c r="K102" s="26">
        <v>1</v>
      </c>
      <c r="L102" s="26">
        <v>2</v>
      </c>
      <c r="M102" s="26">
        <v>3</v>
      </c>
      <c r="N102" s="26">
        <v>4</v>
      </c>
      <c r="O102" s="26">
        <v>5</v>
      </c>
      <c r="P102" s="26">
        <v>6</v>
      </c>
      <c r="Q102" s="26">
        <v>7</v>
      </c>
      <c r="R102" s="26">
        <v>8</v>
      </c>
      <c r="S102" s="10">
        <v>9</v>
      </c>
      <c r="T102" s="10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1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1">
        <v>2</v>
      </c>
      <c r="BA102" s="1">
        <v>3</v>
      </c>
      <c r="BB102" s="1">
        <v>4</v>
      </c>
      <c r="BC102" s="1">
        <v>5</v>
      </c>
      <c r="BD102" s="33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3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13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37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14">
        <v>6</v>
      </c>
      <c r="AU103" s="14">
        <v>5</v>
      </c>
      <c r="AV103" s="14">
        <v>4</v>
      </c>
      <c r="AW103" s="14">
        <v>3</v>
      </c>
      <c r="AX103" s="3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33">
        <v>3</v>
      </c>
      <c r="N104" s="1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11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36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1">
        <v>2</v>
      </c>
      <c r="AY104" s="1">
        <v>1</v>
      </c>
      <c r="AZ104" s="1">
        <v>2</v>
      </c>
      <c r="BA104" s="1">
        <v>3</v>
      </c>
      <c r="BB104" s="33">
        <v>4</v>
      </c>
      <c r="BC104" s="1">
        <v>5</v>
      </c>
      <c r="BD104" s="1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5">
      <c r="B105" s="8" t="s">
        <v>15</v>
      </c>
      <c r="C105" s="9">
        <v>9</v>
      </c>
      <c r="D105" s="26">
        <v>8</v>
      </c>
      <c r="E105" s="26">
        <v>7</v>
      </c>
      <c r="F105" s="26">
        <v>6</v>
      </c>
      <c r="G105" s="26">
        <v>5</v>
      </c>
      <c r="H105" s="26">
        <v>4</v>
      </c>
      <c r="I105" s="26">
        <v>3</v>
      </c>
      <c r="J105" s="26">
        <v>2</v>
      </c>
      <c r="K105" s="26">
        <v>1</v>
      </c>
      <c r="L105" s="26">
        <v>2</v>
      </c>
      <c r="M105" s="26">
        <v>3</v>
      </c>
      <c r="N105" s="26">
        <v>4</v>
      </c>
      <c r="O105" s="26">
        <v>5</v>
      </c>
      <c r="P105" s="26">
        <v>6</v>
      </c>
      <c r="Q105" s="26">
        <v>7</v>
      </c>
      <c r="R105" s="26">
        <v>8</v>
      </c>
      <c r="S105" s="10">
        <v>9</v>
      </c>
      <c r="T105" s="10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1">
        <v>2</v>
      </c>
      <c r="AY105" s="1">
        <v>1</v>
      </c>
      <c r="AZ105" s="1">
        <v>2</v>
      </c>
      <c r="BA105" s="1">
        <v>3</v>
      </c>
      <c r="BB105" s="1">
        <v>4</v>
      </c>
      <c r="BC105" s="33">
        <v>5</v>
      </c>
      <c r="BD105" s="1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14">
        <v>1</v>
      </c>
      <c r="L106" s="14">
        <v>2</v>
      </c>
      <c r="M106" s="3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13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37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14">
        <v>2</v>
      </c>
      <c r="AY106" s="3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5">
      <c r="B107" s="25" t="s">
        <v>16</v>
      </c>
      <c r="C107" s="9">
        <v>9</v>
      </c>
      <c r="D107" s="26">
        <v>8</v>
      </c>
      <c r="E107" s="26">
        <v>7</v>
      </c>
      <c r="F107" s="26">
        <v>6</v>
      </c>
      <c r="G107" s="26">
        <v>5</v>
      </c>
      <c r="H107" s="26">
        <v>4</v>
      </c>
      <c r="I107" s="26">
        <v>3</v>
      </c>
      <c r="J107" s="26">
        <v>2</v>
      </c>
      <c r="K107" s="26">
        <v>1</v>
      </c>
      <c r="L107" s="26">
        <v>2</v>
      </c>
      <c r="M107" s="26">
        <v>3</v>
      </c>
      <c r="N107" s="26">
        <v>4</v>
      </c>
      <c r="O107" s="26">
        <v>5</v>
      </c>
      <c r="P107" s="26">
        <v>6</v>
      </c>
      <c r="Q107" s="26">
        <v>7</v>
      </c>
      <c r="R107" s="26">
        <v>8</v>
      </c>
      <c r="S107" s="10">
        <v>9</v>
      </c>
      <c r="T107" s="31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1">
        <v>1</v>
      </c>
      <c r="AZ107" s="33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3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13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37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14">
        <v>7</v>
      </c>
      <c r="AT108" s="14">
        <v>6</v>
      </c>
      <c r="AU108" s="14">
        <v>5</v>
      </c>
      <c r="AV108" s="14">
        <v>4</v>
      </c>
      <c r="AW108" s="34">
        <v>3</v>
      </c>
      <c r="AX108" s="14">
        <v>2</v>
      </c>
      <c r="AY108" s="14">
        <v>1</v>
      </c>
      <c r="AZ108" s="1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5">
      <c r="B109" s="35" t="s">
        <v>17</v>
      </c>
      <c r="C109" s="28">
        <v>9</v>
      </c>
      <c r="D109" s="29">
        <v>8</v>
      </c>
      <c r="E109" s="29">
        <v>7</v>
      </c>
      <c r="F109" s="29">
        <v>6</v>
      </c>
      <c r="G109" s="29">
        <v>5</v>
      </c>
      <c r="H109" s="29">
        <v>4</v>
      </c>
      <c r="I109" s="29">
        <v>3</v>
      </c>
      <c r="J109" s="29">
        <v>2</v>
      </c>
      <c r="K109" s="29">
        <v>1</v>
      </c>
      <c r="L109" s="29">
        <v>2</v>
      </c>
      <c r="M109" s="29">
        <v>3</v>
      </c>
      <c r="N109" s="29">
        <v>4</v>
      </c>
      <c r="O109" s="29">
        <v>5</v>
      </c>
      <c r="P109" s="29">
        <v>6</v>
      </c>
      <c r="Q109" s="29">
        <v>7</v>
      </c>
      <c r="R109" s="29">
        <v>8</v>
      </c>
      <c r="S109" s="30">
        <v>9</v>
      </c>
      <c r="T109" s="30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14">
        <v>7</v>
      </c>
      <c r="AT109" s="14">
        <v>6</v>
      </c>
      <c r="AU109" s="14">
        <v>5</v>
      </c>
      <c r="AV109" s="14">
        <v>4</v>
      </c>
      <c r="AW109" s="14">
        <v>3</v>
      </c>
      <c r="AX109" s="14">
        <v>2</v>
      </c>
      <c r="AY109" s="14">
        <v>1</v>
      </c>
      <c r="AZ109" s="14">
        <v>2</v>
      </c>
      <c r="BA109" s="14">
        <v>3</v>
      </c>
      <c r="BB109" s="14">
        <v>4</v>
      </c>
      <c r="BC109" s="3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J5:BK5"/>
    <mergeCell ref="BN5:BU5"/>
    <mergeCell ref="BW5:CD5"/>
    <mergeCell ref="AP1:BH1"/>
    <mergeCell ref="AP2:BH2"/>
    <mergeCell ref="AP3:AP4"/>
    <mergeCell ref="AQ3:BG3"/>
    <mergeCell ref="BH3:BH4"/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851C-20C1-2C4D-8371-272929FAD682}">
  <dimension ref="B1:CE109"/>
  <sheetViews>
    <sheetView topLeftCell="AQ86" zoomScale="89" workbookViewId="0">
      <selection activeCell="AP1" sqref="AP1:BH109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27.1875" bestFit="1" customWidth="1"/>
    <col min="23" max="39" width="2.1875" bestFit="1" customWidth="1"/>
    <col min="40" max="40" width="27.1875" bestFit="1" customWidth="1"/>
    <col min="42" max="42" width="27.5" bestFit="1" customWidth="1"/>
    <col min="43" max="59" width="2.3125" bestFit="1" customWidth="1"/>
    <col min="60" max="60" width="27.5" bestFit="1" customWidth="1"/>
    <col min="62" max="62" width="27.3125" bestFit="1" customWidth="1"/>
    <col min="63" max="63" width="69.8125" bestFit="1" customWidth="1"/>
    <col min="65" max="65" width="11.8125" bestFit="1" customWidth="1"/>
    <col min="66" max="73" width="2.3125" bestFit="1" customWidth="1"/>
    <col min="74" max="74" width="9.6875" bestFit="1" customWidth="1"/>
    <col min="75" max="82" width="2.3125" bestFit="1" customWidth="1"/>
    <col min="83" max="83" width="11.6875" bestFit="1" customWidth="1"/>
  </cols>
  <sheetData>
    <row r="1" spans="2:83" x14ac:dyDescent="0.5">
      <c r="B1" s="90" t="s">
        <v>21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  <c r="U1" s="23"/>
      <c r="V1" s="90" t="s">
        <v>21</v>
      </c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2"/>
      <c r="AP1" s="90" t="s">
        <v>21</v>
      </c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2"/>
    </row>
    <row r="2" spans="2:83" x14ac:dyDescent="0.5">
      <c r="B2" s="85" t="s">
        <v>22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93"/>
      <c r="U2" s="23"/>
      <c r="V2" s="85" t="s">
        <v>23</v>
      </c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93"/>
      <c r="AP2" s="85" t="s">
        <v>28</v>
      </c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7"/>
    </row>
    <row r="3" spans="2:83" x14ac:dyDescent="0.5">
      <c r="B3" s="94" t="s">
        <v>1</v>
      </c>
      <c r="C3" s="90" t="s">
        <v>2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6"/>
      <c r="T3" s="94" t="s">
        <v>3</v>
      </c>
      <c r="U3" s="23"/>
      <c r="V3" s="94" t="s">
        <v>1</v>
      </c>
      <c r="W3" s="90" t="s">
        <v>2</v>
      </c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6"/>
      <c r="AN3" s="94" t="s">
        <v>3</v>
      </c>
      <c r="AP3" s="94" t="s">
        <v>1</v>
      </c>
      <c r="AQ3" s="90" t="s">
        <v>2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6"/>
      <c r="BH3" s="94" t="s">
        <v>3</v>
      </c>
    </row>
    <row r="4" spans="2:83" x14ac:dyDescent="0.5">
      <c r="B4" s="97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7"/>
      <c r="U4" s="23"/>
      <c r="V4" s="97"/>
      <c r="W4" s="24">
        <v>9</v>
      </c>
      <c r="X4" s="24">
        <v>8</v>
      </c>
      <c r="Y4" s="24">
        <v>7</v>
      </c>
      <c r="Z4" s="24">
        <v>6</v>
      </c>
      <c r="AA4" s="24">
        <v>5</v>
      </c>
      <c r="AB4" s="24">
        <v>4</v>
      </c>
      <c r="AC4" s="24">
        <v>3</v>
      </c>
      <c r="AD4" s="24">
        <v>2</v>
      </c>
      <c r="AE4" s="24">
        <v>1</v>
      </c>
      <c r="AF4" s="24">
        <v>2</v>
      </c>
      <c r="AG4" s="24">
        <v>3</v>
      </c>
      <c r="AH4" s="24">
        <v>4</v>
      </c>
      <c r="AI4" s="24">
        <v>5</v>
      </c>
      <c r="AJ4" s="24">
        <v>6</v>
      </c>
      <c r="AK4" s="24">
        <v>7</v>
      </c>
      <c r="AL4" s="24">
        <v>8</v>
      </c>
      <c r="AM4" s="24">
        <v>9</v>
      </c>
      <c r="AN4" s="97"/>
      <c r="AP4" s="97"/>
      <c r="AQ4" s="24">
        <v>9</v>
      </c>
      <c r="AR4" s="24">
        <v>8</v>
      </c>
      <c r="AS4" s="24">
        <v>7</v>
      </c>
      <c r="AT4" s="24">
        <v>6</v>
      </c>
      <c r="AU4" s="24">
        <v>5</v>
      </c>
      <c r="AV4" s="24">
        <v>4</v>
      </c>
      <c r="AW4" s="24">
        <v>3</v>
      </c>
      <c r="AX4" s="24">
        <v>2</v>
      </c>
      <c r="AY4" s="24">
        <v>1</v>
      </c>
      <c r="AZ4" s="24">
        <v>2</v>
      </c>
      <c r="BA4" s="24">
        <v>3</v>
      </c>
      <c r="BB4" s="24">
        <v>4</v>
      </c>
      <c r="BC4" s="24">
        <v>5</v>
      </c>
      <c r="BD4" s="24">
        <v>6</v>
      </c>
      <c r="BE4" s="24">
        <v>7</v>
      </c>
      <c r="BF4" s="24">
        <v>8</v>
      </c>
      <c r="BG4" s="24">
        <v>9</v>
      </c>
      <c r="BH4" s="97"/>
    </row>
    <row r="5" spans="2:83" x14ac:dyDescent="0.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6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6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5">
        <v>6</v>
      </c>
      <c r="BE5" s="5">
        <v>7</v>
      </c>
      <c r="BF5" s="5">
        <v>8</v>
      </c>
      <c r="BG5" s="7">
        <v>9</v>
      </c>
      <c r="BH5" s="7" t="s">
        <v>5</v>
      </c>
      <c r="BJ5" s="88" t="s">
        <v>34</v>
      </c>
      <c r="BK5" s="88"/>
      <c r="BM5" s="1"/>
      <c r="BN5" s="89" t="s">
        <v>41</v>
      </c>
      <c r="BO5" s="89"/>
      <c r="BP5" s="89"/>
      <c r="BQ5" s="89"/>
      <c r="BR5" s="89"/>
      <c r="BS5" s="89"/>
      <c r="BT5" s="89"/>
      <c r="BU5" s="89"/>
      <c r="BV5" s="46" t="s">
        <v>42</v>
      </c>
      <c r="BW5" s="89" t="s">
        <v>43</v>
      </c>
      <c r="BX5" s="89"/>
      <c r="BY5" s="89"/>
      <c r="BZ5" s="89"/>
      <c r="CA5" s="89"/>
      <c r="CB5" s="89"/>
      <c r="CC5" s="89"/>
      <c r="CD5" s="89"/>
      <c r="CE5" s="1"/>
    </row>
    <row r="6" spans="2:83" x14ac:dyDescent="0.5">
      <c r="B6" s="8" t="s">
        <v>4</v>
      </c>
      <c r="C6" s="9">
        <v>9</v>
      </c>
      <c r="D6" s="26">
        <v>8</v>
      </c>
      <c r="E6" s="26">
        <v>7</v>
      </c>
      <c r="F6" s="26">
        <v>6</v>
      </c>
      <c r="G6" s="26">
        <v>5</v>
      </c>
      <c r="H6" s="26">
        <v>4</v>
      </c>
      <c r="I6" s="26">
        <v>3</v>
      </c>
      <c r="J6" s="26">
        <v>2</v>
      </c>
      <c r="K6" s="26">
        <v>1</v>
      </c>
      <c r="L6" s="26">
        <v>2</v>
      </c>
      <c r="M6" s="26">
        <v>3</v>
      </c>
      <c r="N6" s="26">
        <v>4</v>
      </c>
      <c r="O6" s="26">
        <v>5</v>
      </c>
      <c r="P6" s="26">
        <v>6</v>
      </c>
      <c r="Q6" s="26">
        <v>7</v>
      </c>
      <c r="R6" s="26">
        <v>8</v>
      </c>
      <c r="S6" s="10">
        <v>9</v>
      </c>
      <c r="T6" s="10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33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6</v>
      </c>
      <c r="BJ6" s="2" t="s">
        <v>29</v>
      </c>
      <c r="BK6" s="2" t="s">
        <v>30</v>
      </c>
      <c r="BM6" s="45" t="s">
        <v>39</v>
      </c>
      <c r="BN6" s="3">
        <v>9</v>
      </c>
      <c r="BO6" s="3">
        <v>8</v>
      </c>
      <c r="BP6" s="3">
        <v>7</v>
      </c>
      <c r="BQ6" s="3">
        <v>6</v>
      </c>
      <c r="BR6" s="3">
        <v>5</v>
      </c>
      <c r="BS6" s="3">
        <v>4</v>
      </c>
      <c r="BT6" s="3">
        <v>3</v>
      </c>
      <c r="BU6" s="3">
        <v>2</v>
      </c>
      <c r="BV6" s="3">
        <v>1</v>
      </c>
      <c r="BW6" s="3">
        <v>2</v>
      </c>
      <c r="BX6" s="3">
        <v>3</v>
      </c>
      <c r="BY6" s="3">
        <v>4</v>
      </c>
      <c r="BZ6" s="3">
        <v>5</v>
      </c>
      <c r="CA6" s="3">
        <v>6</v>
      </c>
      <c r="CB6" s="3">
        <v>7</v>
      </c>
      <c r="CC6" s="3">
        <v>8</v>
      </c>
      <c r="CD6" s="3">
        <v>9</v>
      </c>
      <c r="CE6" s="45" t="s">
        <v>40</v>
      </c>
    </row>
    <row r="7" spans="2:83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8">
        <v>3</v>
      </c>
      <c r="J7" s="1">
        <v>2</v>
      </c>
      <c r="K7" s="33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11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36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1">
        <v>4</v>
      </c>
      <c r="AW7" s="18">
        <v>3</v>
      </c>
      <c r="AX7" s="1">
        <v>2</v>
      </c>
      <c r="AY7" s="1">
        <v>1</v>
      </c>
      <c r="AZ7" s="1">
        <v>2</v>
      </c>
      <c r="BA7" s="1">
        <v>3</v>
      </c>
      <c r="BB7" s="1">
        <v>4</v>
      </c>
      <c r="BC7" s="33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3">
        <v>1</v>
      </c>
      <c r="BK7" s="3" t="s">
        <v>31</v>
      </c>
    </row>
    <row r="8" spans="2:83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36">
        <v>9</v>
      </c>
      <c r="T8" s="12" t="s">
        <v>8</v>
      </c>
      <c r="V8" s="17" t="s">
        <v>4</v>
      </c>
      <c r="W8" s="11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36">
        <v>9</v>
      </c>
      <c r="AN8" s="12" t="s">
        <v>8</v>
      </c>
      <c r="AP8" s="17" t="s">
        <v>4</v>
      </c>
      <c r="AQ8" s="11">
        <v>9</v>
      </c>
      <c r="AR8" s="1">
        <v>8</v>
      </c>
      <c r="AS8" s="1">
        <v>7</v>
      </c>
      <c r="AT8" s="1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33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3</v>
      </c>
      <c r="BK8" s="3" t="s">
        <v>35</v>
      </c>
    </row>
    <row r="9" spans="2:83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33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38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2">
        <v>9</v>
      </c>
      <c r="AN9" s="12" t="s">
        <v>9</v>
      </c>
      <c r="AP9" s="17" t="s">
        <v>4</v>
      </c>
      <c r="AQ9" s="11">
        <v>9</v>
      </c>
      <c r="AR9" s="1">
        <v>8</v>
      </c>
      <c r="AS9" s="1">
        <v>7</v>
      </c>
      <c r="AT9" s="1">
        <v>6</v>
      </c>
      <c r="AU9" s="1">
        <v>5</v>
      </c>
      <c r="AV9" s="1">
        <v>4</v>
      </c>
      <c r="AW9" s="1">
        <v>3</v>
      </c>
      <c r="AX9" s="1">
        <v>2</v>
      </c>
      <c r="AY9" s="1">
        <v>1</v>
      </c>
      <c r="AZ9" s="1">
        <v>2</v>
      </c>
      <c r="BA9" s="1">
        <v>3</v>
      </c>
      <c r="BB9" s="33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5</v>
      </c>
      <c r="BK9" s="3" t="s">
        <v>36</v>
      </c>
    </row>
    <row r="10" spans="2:83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33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38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12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33">
        <v>4</v>
      </c>
      <c r="AW10" s="1">
        <v>3</v>
      </c>
      <c r="AX10" s="1">
        <v>2</v>
      </c>
      <c r="AY10" s="1">
        <v>1</v>
      </c>
      <c r="AZ10" s="1">
        <v>2</v>
      </c>
      <c r="BA10" s="1">
        <v>3</v>
      </c>
      <c r="BB10" s="1">
        <v>4</v>
      </c>
      <c r="BC10" s="1">
        <v>5</v>
      </c>
      <c r="BD10" s="1">
        <v>6</v>
      </c>
      <c r="BE10" s="1">
        <v>7</v>
      </c>
      <c r="BF10" s="1">
        <v>8</v>
      </c>
      <c r="BG10" s="12">
        <v>9</v>
      </c>
      <c r="BH10" s="12" t="s">
        <v>10</v>
      </c>
      <c r="BJ10" s="3">
        <v>7</v>
      </c>
      <c r="BK10" s="3" t="s">
        <v>37</v>
      </c>
    </row>
    <row r="11" spans="2:83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33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38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12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1">
        <v>2</v>
      </c>
      <c r="AY11" s="1">
        <v>1</v>
      </c>
      <c r="AZ11" s="1">
        <v>2</v>
      </c>
      <c r="BA11" s="1">
        <v>3</v>
      </c>
      <c r="BB11" s="1">
        <v>4</v>
      </c>
      <c r="BC11" s="33">
        <v>5</v>
      </c>
      <c r="BD11" s="1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9</v>
      </c>
      <c r="BK11" s="3" t="s">
        <v>32</v>
      </c>
    </row>
    <row r="12" spans="2:83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1">
        <v>5</v>
      </c>
      <c r="P12" s="33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11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36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1">
        <v>2</v>
      </c>
      <c r="BA12" s="1">
        <v>3</v>
      </c>
      <c r="BB12" s="1">
        <v>4</v>
      </c>
      <c r="BC12" s="33">
        <v>5</v>
      </c>
      <c r="BD12" s="1">
        <v>6</v>
      </c>
      <c r="BE12" s="1">
        <v>7</v>
      </c>
      <c r="BF12" s="1">
        <v>8</v>
      </c>
      <c r="BG12" s="12">
        <v>9</v>
      </c>
      <c r="BH12" s="12" t="s">
        <v>12</v>
      </c>
      <c r="BJ12" s="3" t="s">
        <v>33</v>
      </c>
      <c r="BK12" s="3" t="s">
        <v>38</v>
      </c>
    </row>
    <row r="13" spans="2:83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33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17" t="s">
        <v>4</v>
      </c>
      <c r="W13" s="38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12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33">
        <v>3</v>
      </c>
      <c r="AX13" s="1">
        <v>2</v>
      </c>
      <c r="AY13" s="1">
        <v>1</v>
      </c>
      <c r="AZ13" s="1">
        <v>2</v>
      </c>
      <c r="BA13" s="1">
        <v>3</v>
      </c>
      <c r="BB13" s="1">
        <v>4</v>
      </c>
      <c r="BC13" s="1">
        <v>5</v>
      </c>
      <c r="BD13" s="1">
        <v>6</v>
      </c>
      <c r="BE13" s="1">
        <v>7</v>
      </c>
      <c r="BF13" s="1">
        <v>8</v>
      </c>
      <c r="BG13" s="12">
        <v>9</v>
      </c>
      <c r="BH13" s="12" t="s">
        <v>13</v>
      </c>
    </row>
    <row r="14" spans="2:83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33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17" t="s">
        <v>4</v>
      </c>
      <c r="W14" s="11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36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1">
        <v>2</v>
      </c>
      <c r="BA14" s="1">
        <v>3</v>
      </c>
      <c r="BB14" s="33">
        <v>4</v>
      </c>
      <c r="BC14" s="1">
        <v>5</v>
      </c>
      <c r="BD14" s="1">
        <v>6</v>
      </c>
      <c r="BE14" s="1">
        <v>7</v>
      </c>
      <c r="BF14" s="1">
        <v>8</v>
      </c>
      <c r="BG14" s="12">
        <v>9</v>
      </c>
      <c r="BH14" s="12" t="s">
        <v>14</v>
      </c>
    </row>
    <row r="15" spans="2:83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33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38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12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33">
        <v>3</v>
      </c>
      <c r="AX15" s="1">
        <v>2</v>
      </c>
      <c r="AY15" s="1">
        <v>1</v>
      </c>
      <c r="AZ15" s="1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33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38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12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33">
        <v>3</v>
      </c>
      <c r="AX16" s="1">
        <v>2</v>
      </c>
      <c r="AY16" s="1">
        <v>1</v>
      </c>
      <c r="AZ16" s="1">
        <v>2</v>
      </c>
      <c r="BA16" s="1">
        <v>3</v>
      </c>
      <c r="BB16" s="1">
        <v>4</v>
      </c>
      <c r="BC16" s="1">
        <v>5</v>
      </c>
      <c r="BD16" s="1">
        <v>6</v>
      </c>
      <c r="BE16" s="1">
        <v>7</v>
      </c>
      <c r="BF16" s="1">
        <v>8</v>
      </c>
      <c r="BG16" s="12">
        <v>9</v>
      </c>
      <c r="BH16" s="12" t="s">
        <v>16</v>
      </c>
    </row>
    <row r="17" spans="2:60" x14ac:dyDescent="0.5">
      <c r="B17" s="8" t="s">
        <v>4</v>
      </c>
      <c r="C17" s="9">
        <v>9</v>
      </c>
      <c r="D17" s="26">
        <v>8</v>
      </c>
      <c r="E17" s="26">
        <v>7</v>
      </c>
      <c r="F17" s="26">
        <v>6</v>
      </c>
      <c r="G17" s="26">
        <v>5</v>
      </c>
      <c r="H17" s="26">
        <v>4</v>
      </c>
      <c r="I17" s="26">
        <v>3</v>
      </c>
      <c r="J17" s="26">
        <v>2</v>
      </c>
      <c r="K17" s="26">
        <v>1</v>
      </c>
      <c r="L17" s="26">
        <v>2</v>
      </c>
      <c r="M17" s="26">
        <v>3</v>
      </c>
      <c r="N17" s="26">
        <v>4</v>
      </c>
      <c r="O17" s="26">
        <v>5</v>
      </c>
      <c r="P17" s="26">
        <v>6</v>
      </c>
      <c r="Q17" s="26">
        <v>7</v>
      </c>
      <c r="R17" s="26">
        <v>8</v>
      </c>
      <c r="S17" s="10">
        <v>9</v>
      </c>
      <c r="T17" s="10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33">
        <v>4</v>
      </c>
      <c r="AW17" s="1">
        <v>3</v>
      </c>
      <c r="AX17" s="1">
        <v>2</v>
      </c>
      <c r="AY17" s="1">
        <v>1</v>
      </c>
      <c r="AZ17" s="1">
        <v>2</v>
      </c>
      <c r="BA17" s="1">
        <v>3</v>
      </c>
      <c r="BB17" s="1">
        <v>4</v>
      </c>
      <c r="BC17" s="1">
        <v>5</v>
      </c>
      <c r="BD17" s="1">
        <v>6</v>
      </c>
      <c r="BE17" s="1">
        <v>7</v>
      </c>
      <c r="BF17" s="1">
        <v>8</v>
      </c>
      <c r="BG17" s="12">
        <v>9</v>
      </c>
      <c r="BH17" s="12" t="s">
        <v>17</v>
      </c>
    </row>
    <row r="18" spans="2:60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3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13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37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14">
        <v>3</v>
      </c>
      <c r="AX18" s="14">
        <v>2</v>
      </c>
      <c r="AY18" s="14">
        <v>1</v>
      </c>
      <c r="AZ18" s="14">
        <v>2</v>
      </c>
      <c r="BA18" s="3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5">
      <c r="B19" s="25" t="s">
        <v>5</v>
      </c>
      <c r="C19" s="9">
        <v>9</v>
      </c>
      <c r="D19" s="26">
        <v>8</v>
      </c>
      <c r="E19" s="26">
        <v>7</v>
      </c>
      <c r="F19" s="26">
        <v>6</v>
      </c>
      <c r="G19" s="26">
        <v>5</v>
      </c>
      <c r="H19" s="26">
        <v>4</v>
      </c>
      <c r="I19" s="26">
        <v>3</v>
      </c>
      <c r="J19" s="26">
        <v>2</v>
      </c>
      <c r="K19" s="26">
        <v>1</v>
      </c>
      <c r="L19" s="26">
        <v>2</v>
      </c>
      <c r="M19" s="26">
        <v>3</v>
      </c>
      <c r="N19" s="26">
        <v>4</v>
      </c>
      <c r="O19" s="26">
        <v>5</v>
      </c>
      <c r="P19" s="26">
        <v>6</v>
      </c>
      <c r="Q19" s="26">
        <v>7</v>
      </c>
      <c r="R19" s="26">
        <v>8</v>
      </c>
      <c r="S19" s="10">
        <v>9</v>
      </c>
      <c r="T19" s="10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1">
        <v>4</v>
      </c>
      <c r="AW19" s="1">
        <v>3</v>
      </c>
      <c r="AX19" s="1">
        <v>2</v>
      </c>
      <c r="AY19" s="1">
        <v>1</v>
      </c>
      <c r="AZ19" s="1">
        <v>2</v>
      </c>
      <c r="BA19" s="1">
        <v>3</v>
      </c>
      <c r="BB19" s="1">
        <v>4</v>
      </c>
      <c r="BC19" s="1">
        <v>5</v>
      </c>
      <c r="BD19" s="1">
        <v>6</v>
      </c>
      <c r="BE19" s="33">
        <v>7</v>
      </c>
      <c r="BF19" s="1">
        <v>8</v>
      </c>
      <c r="BG19" s="12">
        <v>9</v>
      </c>
      <c r="BH19" s="12" t="s">
        <v>6</v>
      </c>
    </row>
    <row r="20" spans="2:60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33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11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36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1">
        <v>6</v>
      </c>
      <c r="AU20" s="1">
        <v>5</v>
      </c>
      <c r="AV20" s="1">
        <v>4</v>
      </c>
      <c r="AW20" s="18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33">
        <v>8</v>
      </c>
      <c r="BG20" s="12">
        <v>9</v>
      </c>
      <c r="BH20" s="12" t="s">
        <v>7</v>
      </c>
    </row>
    <row r="21" spans="2:60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36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11">
        <v>9</v>
      </c>
      <c r="AR21" s="1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33">
        <v>8</v>
      </c>
      <c r="BG21" s="12">
        <v>9</v>
      </c>
      <c r="BH21" s="12" t="s">
        <v>8</v>
      </c>
    </row>
    <row r="22" spans="2:60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1">
        <v>2</v>
      </c>
      <c r="K22" s="1">
        <v>1</v>
      </c>
      <c r="L22" s="1">
        <v>2</v>
      </c>
      <c r="M22" s="33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11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36">
        <v>9</v>
      </c>
      <c r="AN22" s="12" t="s">
        <v>9</v>
      </c>
      <c r="AP22" s="17" t="s">
        <v>5</v>
      </c>
      <c r="AQ22" s="11">
        <v>9</v>
      </c>
      <c r="AR22" s="1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33">
        <v>8</v>
      </c>
      <c r="BG22" s="12">
        <v>9</v>
      </c>
      <c r="BH22" s="12" t="s">
        <v>9</v>
      </c>
    </row>
    <row r="23" spans="2:60" x14ac:dyDescent="0.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1">
        <v>2</v>
      </c>
      <c r="M23" s="33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1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1">
        <v>4</v>
      </c>
      <c r="BC23" s="33">
        <v>5</v>
      </c>
      <c r="BD23" s="1">
        <v>6</v>
      </c>
      <c r="BE23" s="1">
        <v>7</v>
      </c>
      <c r="BF23" s="1">
        <v>8</v>
      </c>
      <c r="BG23" s="12">
        <v>9</v>
      </c>
      <c r="BH23" s="12" t="s">
        <v>10</v>
      </c>
    </row>
    <row r="24" spans="2:60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1">
        <v>2</v>
      </c>
      <c r="M24" s="33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11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36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1">
        <v>5</v>
      </c>
      <c r="AV24" s="1">
        <v>4</v>
      </c>
      <c r="AW24" s="1">
        <v>3</v>
      </c>
      <c r="AX24" s="1">
        <v>2</v>
      </c>
      <c r="AY24" s="1">
        <v>1</v>
      </c>
      <c r="AZ24" s="1">
        <v>2</v>
      </c>
      <c r="BA24" s="1">
        <v>3</v>
      </c>
      <c r="BB24" s="1">
        <v>4</v>
      </c>
      <c r="BC24" s="1">
        <v>5</v>
      </c>
      <c r="BD24" s="1">
        <v>6</v>
      </c>
      <c r="BE24" s="33">
        <v>7</v>
      </c>
      <c r="BF24" s="1">
        <v>8</v>
      </c>
      <c r="BG24" s="12">
        <v>9</v>
      </c>
      <c r="BH24" s="12" t="s">
        <v>11</v>
      </c>
    </row>
    <row r="25" spans="2:60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36">
        <v>9</v>
      </c>
      <c r="T25" s="12" t="s">
        <v>12</v>
      </c>
      <c r="V25" s="17" t="s">
        <v>5</v>
      </c>
      <c r="W25" s="11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36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1">
        <v>5</v>
      </c>
      <c r="AV25" s="1">
        <v>4</v>
      </c>
      <c r="AW25" s="1">
        <v>3</v>
      </c>
      <c r="AX25" s="1">
        <v>2</v>
      </c>
      <c r="AY25" s="1">
        <v>1</v>
      </c>
      <c r="AZ25" s="1">
        <v>2</v>
      </c>
      <c r="BA25" s="1">
        <v>3</v>
      </c>
      <c r="BB25" s="1">
        <v>4</v>
      </c>
      <c r="BC25" s="1">
        <v>5</v>
      </c>
      <c r="BD25" s="1">
        <v>6</v>
      </c>
      <c r="BE25" s="33">
        <v>7</v>
      </c>
      <c r="BF25" s="1">
        <v>8</v>
      </c>
      <c r="BG25" s="12">
        <v>9</v>
      </c>
      <c r="BH25" s="12" t="s">
        <v>12</v>
      </c>
    </row>
    <row r="26" spans="2:60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33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  <c r="V26" s="17" t="s">
        <v>5</v>
      </c>
      <c r="W26" s="11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36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1">
        <v>3</v>
      </c>
      <c r="AX26" s="1">
        <v>2</v>
      </c>
      <c r="AY26" s="1">
        <v>1</v>
      </c>
      <c r="AZ26" s="1">
        <v>2</v>
      </c>
      <c r="BA26" s="33">
        <v>3</v>
      </c>
      <c r="BB26" s="1">
        <v>4</v>
      </c>
      <c r="BC26" s="1">
        <v>5</v>
      </c>
      <c r="BD26" s="1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33">
        <v>8</v>
      </c>
      <c r="S27" s="12">
        <v>9</v>
      </c>
      <c r="T27" s="12" t="s">
        <v>14</v>
      </c>
      <c r="V27" s="17" t="s">
        <v>5</v>
      </c>
      <c r="W27" s="11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36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1">
        <v>3</v>
      </c>
      <c r="AX27" s="1">
        <v>2</v>
      </c>
      <c r="AY27" s="1">
        <v>1</v>
      </c>
      <c r="AZ27" s="1">
        <v>2</v>
      </c>
      <c r="BA27" s="1">
        <v>3</v>
      </c>
      <c r="BB27" s="1">
        <v>4</v>
      </c>
      <c r="BC27" s="33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1">
        <v>2</v>
      </c>
      <c r="M28" s="1">
        <v>3</v>
      </c>
      <c r="N28" s="33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1">
        <v>6</v>
      </c>
      <c r="AU28" s="1">
        <v>5</v>
      </c>
      <c r="AV28" s="1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33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33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1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1">
        <v>3</v>
      </c>
      <c r="BB29" s="1">
        <v>4</v>
      </c>
      <c r="BC29" s="33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5">
      <c r="B30" s="8" t="s">
        <v>5</v>
      </c>
      <c r="C30" s="9">
        <v>9</v>
      </c>
      <c r="D30" s="26">
        <v>8</v>
      </c>
      <c r="E30" s="26">
        <v>7</v>
      </c>
      <c r="F30" s="26">
        <v>6</v>
      </c>
      <c r="G30" s="26">
        <v>5</v>
      </c>
      <c r="H30" s="26">
        <v>4</v>
      </c>
      <c r="I30" s="26">
        <v>3</v>
      </c>
      <c r="J30" s="26">
        <v>2</v>
      </c>
      <c r="K30" s="26">
        <v>1</v>
      </c>
      <c r="L30" s="26">
        <v>2</v>
      </c>
      <c r="M30" s="26">
        <v>3</v>
      </c>
      <c r="N30" s="26">
        <v>4</v>
      </c>
      <c r="O30" s="26">
        <v>5</v>
      </c>
      <c r="P30" s="26">
        <v>6</v>
      </c>
      <c r="Q30" s="26">
        <v>7</v>
      </c>
      <c r="R30" s="26">
        <v>8</v>
      </c>
      <c r="S30" s="10">
        <v>9</v>
      </c>
      <c r="T30" s="10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1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1">
        <v>4</v>
      </c>
      <c r="BC30" s="33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37">
        <v>9</v>
      </c>
      <c r="T31" s="15" t="s">
        <v>18</v>
      </c>
      <c r="V31" s="19" t="s">
        <v>5</v>
      </c>
      <c r="W31" s="13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37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14">
        <v>5</v>
      </c>
      <c r="AV31" s="1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3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5">
      <c r="B32" s="25" t="s">
        <v>6</v>
      </c>
      <c r="C32" s="9">
        <v>9</v>
      </c>
      <c r="D32" s="26">
        <v>8</v>
      </c>
      <c r="E32" s="26">
        <v>7</v>
      </c>
      <c r="F32" s="26">
        <v>6</v>
      </c>
      <c r="G32" s="26">
        <v>5</v>
      </c>
      <c r="H32" s="26">
        <v>4</v>
      </c>
      <c r="I32" s="27">
        <v>3</v>
      </c>
      <c r="J32" s="26">
        <v>2</v>
      </c>
      <c r="K32" s="26">
        <v>1</v>
      </c>
      <c r="L32" s="26">
        <v>2</v>
      </c>
      <c r="M32" s="26">
        <v>3</v>
      </c>
      <c r="N32" s="26">
        <v>4</v>
      </c>
      <c r="O32" s="26">
        <v>5</v>
      </c>
      <c r="P32" s="26">
        <v>6</v>
      </c>
      <c r="Q32" s="26">
        <v>7</v>
      </c>
      <c r="R32" s="26">
        <v>8</v>
      </c>
      <c r="S32" s="10">
        <v>9</v>
      </c>
      <c r="T32" s="10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1">
        <v>5</v>
      </c>
      <c r="AV32" s="1">
        <v>4</v>
      </c>
      <c r="AW32" s="18">
        <v>3</v>
      </c>
      <c r="AX32" s="1">
        <v>2</v>
      </c>
      <c r="AY32" s="1">
        <v>1</v>
      </c>
      <c r="AZ32" s="1">
        <v>2</v>
      </c>
      <c r="BA32" s="33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5">
      <c r="B33" s="8" t="s">
        <v>6</v>
      </c>
      <c r="C33" s="9">
        <v>9</v>
      </c>
      <c r="D33" s="26">
        <v>8</v>
      </c>
      <c r="E33" s="26">
        <v>7</v>
      </c>
      <c r="F33" s="26">
        <v>6</v>
      </c>
      <c r="G33" s="26">
        <v>5</v>
      </c>
      <c r="H33" s="26">
        <v>4</v>
      </c>
      <c r="I33" s="26">
        <v>3</v>
      </c>
      <c r="J33" s="26">
        <v>2</v>
      </c>
      <c r="K33" s="26">
        <v>1</v>
      </c>
      <c r="L33" s="26">
        <v>2</v>
      </c>
      <c r="M33" s="26">
        <v>3</v>
      </c>
      <c r="N33" s="26">
        <v>4</v>
      </c>
      <c r="O33" s="26">
        <v>5</v>
      </c>
      <c r="P33" s="26">
        <v>6</v>
      </c>
      <c r="Q33" s="26">
        <v>7</v>
      </c>
      <c r="R33" s="26">
        <v>8</v>
      </c>
      <c r="S33" s="10">
        <v>9</v>
      </c>
      <c r="T33" s="10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11">
        <v>9</v>
      </c>
      <c r="AR33" s="1">
        <v>8</v>
      </c>
      <c r="AS33" s="1">
        <v>7</v>
      </c>
      <c r="AT33" s="1">
        <v>6</v>
      </c>
      <c r="AU33" s="1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33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5">
      <c r="B34" s="8" t="s">
        <v>6</v>
      </c>
      <c r="C34" s="9">
        <v>9</v>
      </c>
      <c r="D34" s="26">
        <v>8</v>
      </c>
      <c r="E34" s="26">
        <v>7</v>
      </c>
      <c r="F34" s="26">
        <v>6</v>
      </c>
      <c r="G34" s="26">
        <v>5</v>
      </c>
      <c r="H34" s="26">
        <v>4</v>
      </c>
      <c r="I34" s="26">
        <v>3</v>
      </c>
      <c r="J34" s="26">
        <v>2</v>
      </c>
      <c r="K34" s="26">
        <v>1</v>
      </c>
      <c r="L34" s="26">
        <v>2</v>
      </c>
      <c r="M34" s="26">
        <v>3</v>
      </c>
      <c r="N34" s="26">
        <v>4</v>
      </c>
      <c r="O34" s="26">
        <v>5</v>
      </c>
      <c r="P34" s="26">
        <v>6</v>
      </c>
      <c r="Q34" s="26">
        <v>7</v>
      </c>
      <c r="R34" s="26">
        <v>8</v>
      </c>
      <c r="S34" s="10">
        <v>9</v>
      </c>
      <c r="T34" s="10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11">
        <v>9</v>
      </c>
      <c r="AR34" s="1">
        <v>8</v>
      </c>
      <c r="AS34" s="1">
        <v>7</v>
      </c>
      <c r="AT34" s="1">
        <v>6</v>
      </c>
      <c r="AU34" s="1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33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5">
      <c r="B35" s="8" t="s">
        <v>6</v>
      </c>
      <c r="C35" s="9">
        <v>9</v>
      </c>
      <c r="D35" s="26">
        <v>8</v>
      </c>
      <c r="E35" s="26">
        <v>7</v>
      </c>
      <c r="F35" s="26">
        <v>6</v>
      </c>
      <c r="G35" s="26">
        <v>5</v>
      </c>
      <c r="H35" s="26">
        <v>4</v>
      </c>
      <c r="I35" s="26">
        <v>3</v>
      </c>
      <c r="J35" s="26">
        <v>2</v>
      </c>
      <c r="K35" s="26">
        <v>1</v>
      </c>
      <c r="L35" s="26">
        <v>2</v>
      </c>
      <c r="M35" s="26">
        <v>3</v>
      </c>
      <c r="N35" s="26">
        <v>4</v>
      </c>
      <c r="O35" s="26">
        <v>5</v>
      </c>
      <c r="P35" s="26">
        <v>6</v>
      </c>
      <c r="Q35" s="26">
        <v>7</v>
      </c>
      <c r="R35" s="26">
        <v>8</v>
      </c>
      <c r="S35" s="10">
        <v>9</v>
      </c>
      <c r="T35" s="10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1">
        <v>3</v>
      </c>
      <c r="AX35" s="1">
        <v>2</v>
      </c>
      <c r="AY35" s="1">
        <v>1</v>
      </c>
      <c r="AZ35" s="33">
        <v>2</v>
      </c>
      <c r="BA35" s="1">
        <v>3</v>
      </c>
      <c r="BB35" s="1">
        <v>4</v>
      </c>
      <c r="BC35" s="1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5">
      <c r="B36" s="8" t="s">
        <v>6</v>
      </c>
      <c r="C36" s="9">
        <v>9</v>
      </c>
      <c r="D36" s="26">
        <v>8</v>
      </c>
      <c r="E36" s="26">
        <v>7</v>
      </c>
      <c r="F36" s="26">
        <v>6</v>
      </c>
      <c r="G36" s="26">
        <v>5</v>
      </c>
      <c r="H36" s="26">
        <v>4</v>
      </c>
      <c r="I36" s="26">
        <v>3</v>
      </c>
      <c r="J36" s="26">
        <v>2</v>
      </c>
      <c r="K36" s="26">
        <v>1</v>
      </c>
      <c r="L36" s="26">
        <v>2</v>
      </c>
      <c r="M36" s="26">
        <v>3</v>
      </c>
      <c r="N36" s="26">
        <v>4</v>
      </c>
      <c r="O36" s="26">
        <v>5</v>
      </c>
      <c r="P36" s="26">
        <v>6</v>
      </c>
      <c r="Q36" s="26">
        <v>7</v>
      </c>
      <c r="R36" s="26">
        <v>8</v>
      </c>
      <c r="S36" s="10">
        <v>9</v>
      </c>
      <c r="T36" s="10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1">
        <v>3</v>
      </c>
      <c r="AX36" s="1">
        <v>2</v>
      </c>
      <c r="AY36" s="1">
        <v>1</v>
      </c>
      <c r="AZ36" s="1">
        <v>2</v>
      </c>
      <c r="BA36" s="33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5">
      <c r="B37" s="8" t="s">
        <v>6</v>
      </c>
      <c r="C37" s="9">
        <v>9</v>
      </c>
      <c r="D37" s="26">
        <v>8</v>
      </c>
      <c r="E37" s="26">
        <v>7</v>
      </c>
      <c r="F37" s="26">
        <v>6</v>
      </c>
      <c r="G37" s="26">
        <v>5</v>
      </c>
      <c r="H37" s="26">
        <v>4</v>
      </c>
      <c r="I37" s="26">
        <v>3</v>
      </c>
      <c r="J37" s="26">
        <v>2</v>
      </c>
      <c r="K37" s="26">
        <v>1</v>
      </c>
      <c r="L37" s="26">
        <v>2</v>
      </c>
      <c r="M37" s="26">
        <v>3</v>
      </c>
      <c r="N37" s="26">
        <v>4</v>
      </c>
      <c r="O37" s="26">
        <v>5</v>
      </c>
      <c r="P37" s="26">
        <v>6</v>
      </c>
      <c r="Q37" s="26">
        <v>7</v>
      </c>
      <c r="R37" s="26">
        <v>8</v>
      </c>
      <c r="S37" s="10">
        <v>9</v>
      </c>
      <c r="T37" s="10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1">
        <v>3</v>
      </c>
      <c r="AX37" s="1">
        <v>2</v>
      </c>
      <c r="AY37" s="1">
        <v>1</v>
      </c>
      <c r="AZ37" s="1">
        <v>2</v>
      </c>
      <c r="BA37" s="33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5">
      <c r="B38" s="8" t="s">
        <v>6</v>
      </c>
      <c r="C38" s="9">
        <v>9</v>
      </c>
      <c r="D38" s="26">
        <v>8</v>
      </c>
      <c r="E38" s="26">
        <v>7</v>
      </c>
      <c r="F38" s="26">
        <v>6</v>
      </c>
      <c r="G38" s="26">
        <v>5</v>
      </c>
      <c r="H38" s="26">
        <v>4</v>
      </c>
      <c r="I38" s="26">
        <v>3</v>
      </c>
      <c r="J38" s="26">
        <v>2</v>
      </c>
      <c r="K38" s="26">
        <v>1</v>
      </c>
      <c r="L38" s="26">
        <v>2</v>
      </c>
      <c r="M38" s="26">
        <v>3</v>
      </c>
      <c r="N38" s="26">
        <v>4</v>
      </c>
      <c r="O38" s="26">
        <v>5</v>
      </c>
      <c r="P38" s="26">
        <v>6</v>
      </c>
      <c r="Q38" s="26">
        <v>7</v>
      </c>
      <c r="R38" s="26">
        <v>8</v>
      </c>
      <c r="S38" s="10">
        <v>9</v>
      </c>
      <c r="T38" s="10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1">
        <v>1</v>
      </c>
      <c r="AZ38" s="33">
        <v>2</v>
      </c>
      <c r="BA38" s="1">
        <v>3</v>
      </c>
      <c r="BB38" s="1">
        <v>4</v>
      </c>
      <c r="BC38" s="1">
        <v>5</v>
      </c>
      <c r="BD38" s="1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5">
      <c r="B39" s="8" t="s">
        <v>6</v>
      </c>
      <c r="C39" s="9">
        <v>9</v>
      </c>
      <c r="D39" s="26">
        <v>8</v>
      </c>
      <c r="E39" s="26">
        <v>7</v>
      </c>
      <c r="F39" s="26">
        <v>6</v>
      </c>
      <c r="G39" s="26">
        <v>5</v>
      </c>
      <c r="H39" s="26">
        <v>4</v>
      </c>
      <c r="I39" s="26">
        <v>3</v>
      </c>
      <c r="J39" s="26">
        <v>2</v>
      </c>
      <c r="K39" s="26">
        <v>1</v>
      </c>
      <c r="L39" s="26">
        <v>2</v>
      </c>
      <c r="M39" s="26">
        <v>3</v>
      </c>
      <c r="N39" s="26">
        <v>4</v>
      </c>
      <c r="O39" s="26">
        <v>5</v>
      </c>
      <c r="P39" s="26">
        <v>6</v>
      </c>
      <c r="Q39" s="26">
        <v>7</v>
      </c>
      <c r="R39" s="26">
        <v>8</v>
      </c>
      <c r="S39" s="10">
        <v>9</v>
      </c>
      <c r="T39" s="10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1">
        <v>3</v>
      </c>
      <c r="AX39" s="1">
        <v>2</v>
      </c>
      <c r="AY39" s="1">
        <v>1</v>
      </c>
      <c r="AZ39" s="1">
        <v>2</v>
      </c>
      <c r="BA39" s="1">
        <v>3</v>
      </c>
      <c r="BB39" s="1">
        <v>4</v>
      </c>
      <c r="BC39" s="33">
        <v>5</v>
      </c>
      <c r="BD39" s="1">
        <v>6</v>
      </c>
      <c r="BE39" s="1">
        <v>7</v>
      </c>
      <c r="BF39" s="1">
        <v>8</v>
      </c>
      <c r="BG39" s="12">
        <v>9</v>
      </c>
      <c r="BH39" s="12" t="s">
        <v>14</v>
      </c>
    </row>
    <row r="40" spans="2:60" x14ac:dyDescent="0.5">
      <c r="B40" s="8" t="s">
        <v>6</v>
      </c>
      <c r="C40" s="9">
        <v>9</v>
      </c>
      <c r="D40" s="26">
        <v>8</v>
      </c>
      <c r="E40" s="26">
        <v>7</v>
      </c>
      <c r="F40" s="26">
        <v>6</v>
      </c>
      <c r="G40" s="26">
        <v>5</v>
      </c>
      <c r="H40" s="26">
        <v>4</v>
      </c>
      <c r="I40" s="26">
        <v>3</v>
      </c>
      <c r="J40" s="26">
        <v>2</v>
      </c>
      <c r="K40" s="26">
        <v>1</v>
      </c>
      <c r="L40" s="26">
        <v>2</v>
      </c>
      <c r="M40" s="26">
        <v>3</v>
      </c>
      <c r="N40" s="26">
        <v>4</v>
      </c>
      <c r="O40" s="26">
        <v>5</v>
      </c>
      <c r="P40" s="26">
        <v>6</v>
      </c>
      <c r="Q40" s="26">
        <v>7</v>
      </c>
      <c r="R40" s="26">
        <v>8</v>
      </c>
      <c r="S40" s="10">
        <v>9</v>
      </c>
      <c r="T40" s="10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1">
        <v>6</v>
      </c>
      <c r="AU40" s="1">
        <v>5</v>
      </c>
      <c r="AV40" s="1">
        <v>4</v>
      </c>
      <c r="AW40" s="1">
        <v>3</v>
      </c>
      <c r="AX40" s="1">
        <v>2</v>
      </c>
      <c r="AY40" s="1">
        <v>1</v>
      </c>
      <c r="AZ40" s="1">
        <v>2</v>
      </c>
      <c r="BA40" s="1">
        <v>3</v>
      </c>
      <c r="BB40" s="33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5">
      <c r="B41" s="8" t="s">
        <v>6</v>
      </c>
      <c r="C41" s="9">
        <v>9</v>
      </c>
      <c r="D41" s="26">
        <v>8</v>
      </c>
      <c r="E41" s="26">
        <v>7</v>
      </c>
      <c r="F41" s="26">
        <v>6</v>
      </c>
      <c r="G41" s="26">
        <v>5</v>
      </c>
      <c r="H41" s="26">
        <v>4</v>
      </c>
      <c r="I41" s="26">
        <v>3</v>
      </c>
      <c r="J41" s="26">
        <v>2</v>
      </c>
      <c r="K41" s="26">
        <v>1</v>
      </c>
      <c r="L41" s="26">
        <v>2</v>
      </c>
      <c r="M41" s="26">
        <v>3</v>
      </c>
      <c r="N41" s="26">
        <v>4</v>
      </c>
      <c r="O41" s="26">
        <v>5</v>
      </c>
      <c r="P41" s="26">
        <v>6</v>
      </c>
      <c r="Q41" s="26">
        <v>7</v>
      </c>
      <c r="R41" s="26">
        <v>8</v>
      </c>
      <c r="S41" s="10">
        <v>9</v>
      </c>
      <c r="T41" s="10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1">
        <v>2</v>
      </c>
      <c r="BA41" s="1">
        <v>3</v>
      </c>
      <c r="BB41" s="1">
        <v>4</v>
      </c>
      <c r="BC41" s="33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5">
      <c r="B42" s="8" t="s">
        <v>6</v>
      </c>
      <c r="C42" s="9">
        <v>9</v>
      </c>
      <c r="D42" s="26">
        <v>8</v>
      </c>
      <c r="E42" s="26">
        <v>7</v>
      </c>
      <c r="F42" s="26">
        <v>6</v>
      </c>
      <c r="G42" s="26">
        <v>5</v>
      </c>
      <c r="H42" s="26">
        <v>4</v>
      </c>
      <c r="I42" s="26">
        <v>3</v>
      </c>
      <c r="J42" s="26">
        <v>2</v>
      </c>
      <c r="K42" s="26">
        <v>1</v>
      </c>
      <c r="L42" s="26">
        <v>2</v>
      </c>
      <c r="M42" s="26">
        <v>3</v>
      </c>
      <c r="N42" s="26">
        <v>4</v>
      </c>
      <c r="O42" s="26">
        <v>5</v>
      </c>
      <c r="P42" s="26">
        <v>6</v>
      </c>
      <c r="Q42" s="26">
        <v>7</v>
      </c>
      <c r="R42" s="26">
        <v>8</v>
      </c>
      <c r="S42" s="10">
        <v>9</v>
      </c>
      <c r="T42" s="10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1">
        <v>2</v>
      </c>
      <c r="BA42" s="1">
        <v>3</v>
      </c>
      <c r="BB42" s="1">
        <v>4</v>
      </c>
      <c r="BC42" s="33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5">
      <c r="B43" s="8" t="s">
        <v>6</v>
      </c>
      <c r="C43" s="28">
        <v>9</v>
      </c>
      <c r="D43" s="29">
        <v>8</v>
      </c>
      <c r="E43" s="29">
        <v>7</v>
      </c>
      <c r="F43" s="29">
        <v>6</v>
      </c>
      <c r="G43" s="29">
        <v>5</v>
      </c>
      <c r="H43" s="29">
        <v>4</v>
      </c>
      <c r="I43" s="29">
        <v>3</v>
      </c>
      <c r="J43" s="29">
        <v>2</v>
      </c>
      <c r="K43" s="29">
        <v>1</v>
      </c>
      <c r="L43" s="29">
        <v>2</v>
      </c>
      <c r="M43" s="29">
        <v>3</v>
      </c>
      <c r="N43" s="29">
        <v>4</v>
      </c>
      <c r="O43" s="29">
        <v>5</v>
      </c>
      <c r="P43" s="29">
        <v>6</v>
      </c>
      <c r="Q43" s="29">
        <v>7</v>
      </c>
      <c r="R43" s="29">
        <v>8</v>
      </c>
      <c r="S43" s="30">
        <v>9</v>
      </c>
      <c r="T43" s="30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14">
        <v>7</v>
      </c>
      <c r="AT43" s="14">
        <v>6</v>
      </c>
      <c r="AU43" s="14">
        <v>5</v>
      </c>
      <c r="AV43" s="14">
        <v>4</v>
      </c>
      <c r="AW43" s="14">
        <v>3</v>
      </c>
      <c r="AX43" s="14">
        <v>2</v>
      </c>
      <c r="AY43" s="14">
        <v>1</v>
      </c>
      <c r="AZ43" s="14">
        <v>2</v>
      </c>
      <c r="BA43" s="14">
        <v>3</v>
      </c>
      <c r="BB43" s="3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1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33">
        <v>7</v>
      </c>
      <c r="R44" s="1">
        <v>8</v>
      </c>
      <c r="S44" s="12">
        <v>9</v>
      </c>
      <c r="T44" s="12" t="s">
        <v>8</v>
      </c>
      <c r="V44" s="16" t="s">
        <v>7</v>
      </c>
      <c r="W44" s="11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36">
        <v>9</v>
      </c>
      <c r="AN44" s="12" t="s">
        <v>8</v>
      </c>
      <c r="AP44" s="16" t="s">
        <v>7</v>
      </c>
      <c r="AQ44" s="11">
        <v>9</v>
      </c>
      <c r="AR44" s="1">
        <v>8</v>
      </c>
      <c r="AS44" s="1">
        <v>7</v>
      </c>
      <c r="AT44" s="1">
        <v>6</v>
      </c>
      <c r="AU44" s="1">
        <v>5</v>
      </c>
      <c r="AV44" s="1">
        <v>4</v>
      </c>
      <c r="AW44" s="1">
        <v>3</v>
      </c>
      <c r="AX44" s="1">
        <v>2</v>
      </c>
      <c r="AY44" s="1">
        <v>1</v>
      </c>
      <c r="AZ44" s="33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33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38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12">
        <v>9</v>
      </c>
      <c r="AN45" s="12" t="s">
        <v>9</v>
      </c>
      <c r="AP45" s="17" t="s">
        <v>7</v>
      </c>
      <c r="AQ45" s="11">
        <v>9</v>
      </c>
      <c r="AR45" s="1">
        <v>8</v>
      </c>
      <c r="AS45" s="1">
        <v>7</v>
      </c>
      <c r="AT45" s="1">
        <v>6</v>
      </c>
      <c r="AU45" s="1">
        <v>5</v>
      </c>
      <c r="AV45" s="1">
        <v>4</v>
      </c>
      <c r="AW45" s="1">
        <v>3</v>
      </c>
      <c r="AX45" s="1">
        <v>2</v>
      </c>
      <c r="AY45" s="1">
        <v>1</v>
      </c>
      <c r="AZ45" s="33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33">
        <v>2</v>
      </c>
      <c r="K46" s="1">
        <v>1</v>
      </c>
      <c r="L46" s="1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38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12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33">
        <v>4</v>
      </c>
      <c r="AW46" s="1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1">
        <v>5</v>
      </c>
      <c r="BD46" s="1">
        <v>6</v>
      </c>
      <c r="BE46" s="1">
        <v>7</v>
      </c>
      <c r="BF46" s="1">
        <v>8</v>
      </c>
      <c r="BG46" s="12">
        <v>9</v>
      </c>
      <c r="BH46" s="12" t="s">
        <v>10</v>
      </c>
    </row>
    <row r="47" spans="2:6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33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38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12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33">
        <v>3</v>
      </c>
      <c r="AX47" s="1">
        <v>2</v>
      </c>
      <c r="AY47" s="1">
        <v>1</v>
      </c>
      <c r="AZ47" s="1">
        <v>2</v>
      </c>
      <c r="BA47" s="1">
        <v>3</v>
      </c>
      <c r="BB47" s="1">
        <v>4</v>
      </c>
      <c r="BC47" s="1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33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11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36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33">
        <v>3</v>
      </c>
      <c r="AX48" s="1">
        <v>2</v>
      </c>
      <c r="AY48" s="1">
        <v>1</v>
      </c>
      <c r="AZ48" s="1">
        <v>2</v>
      </c>
      <c r="BA48" s="1">
        <v>3</v>
      </c>
      <c r="BB48" s="1">
        <v>4</v>
      </c>
      <c r="BC48" s="1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33">
        <v>2</v>
      </c>
      <c r="K49" s="1">
        <v>1</v>
      </c>
      <c r="L49" s="1">
        <v>2</v>
      </c>
      <c r="M49" s="1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38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12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33">
        <v>5</v>
      </c>
      <c r="AV49" s="1">
        <v>4</v>
      </c>
      <c r="AW49" s="1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1">
        <v>5</v>
      </c>
      <c r="BD49" s="1">
        <v>6</v>
      </c>
      <c r="BE49" s="1">
        <v>7</v>
      </c>
      <c r="BF49" s="1">
        <v>8</v>
      </c>
      <c r="BG49" s="12">
        <v>9</v>
      </c>
      <c r="BH49" s="12" t="s">
        <v>13</v>
      </c>
    </row>
    <row r="50" spans="2:6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33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  <c r="V50" s="17" t="s">
        <v>7</v>
      </c>
      <c r="W50" s="11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36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33">
        <v>2</v>
      </c>
      <c r="AY50" s="1">
        <v>1</v>
      </c>
      <c r="AZ50" s="1">
        <v>2</v>
      </c>
      <c r="BA50" s="1">
        <v>3</v>
      </c>
      <c r="BB50" s="1">
        <v>4</v>
      </c>
      <c r="BC50" s="1">
        <v>5</v>
      </c>
      <c r="BD50" s="1">
        <v>6</v>
      </c>
      <c r="BE50" s="1">
        <v>7</v>
      </c>
      <c r="BF50" s="1">
        <v>8</v>
      </c>
      <c r="BG50" s="12">
        <v>9</v>
      </c>
      <c r="BH50" s="12" t="s">
        <v>14</v>
      </c>
    </row>
    <row r="51" spans="2:6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33">
        <v>1</v>
      </c>
      <c r="L51" s="1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38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12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1">
        <v>3</v>
      </c>
      <c r="AX51" s="1">
        <v>2</v>
      </c>
      <c r="AY51" s="1">
        <v>1</v>
      </c>
      <c r="AZ51" s="1">
        <v>2</v>
      </c>
      <c r="BA51" s="33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33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38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12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1">
        <v>2</v>
      </c>
      <c r="BA52" s="1">
        <v>3</v>
      </c>
      <c r="BB52" s="33">
        <v>4</v>
      </c>
      <c r="BC52" s="1">
        <v>5</v>
      </c>
      <c r="BD52" s="1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5">
      <c r="B53" s="8" t="s">
        <v>7</v>
      </c>
      <c r="C53" s="9">
        <v>9</v>
      </c>
      <c r="D53" s="26">
        <v>8</v>
      </c>
      <c r="E53" s="26">
        <v>7</v>
      </c>
      <c r="F53" s="26">
        <v>6</v>
      </c>
      <c r="G53" s="26">
        <v>5</v>
      </c>
      <c r="H53" s="26">
        <v>4</v>
      </c>
      <c r="I53" s="26">
        <v>3</v>
      </c>
      <c r="J53" s="26">
        <v>2</v>
      </c>
      <c r="K53" s="26">
        <v>1</v>
      </c>
      <c r="L53" s="26">
        <v>2</v>
      </c>
      <c r="M53" s="26">
        <v>3</v>
      </c>
      <c r="N53" s="26">
        <v>4</v>
      </c>
      <c r="O53" s="26">
        <v>5</v>
      </c>
      <c r="P53" s="26">
        <v>6</v>
      </c>
      <c r="Q53" s="26">
        <v>7</v>
      </c>
      <c r="R53" s="26">
        <v>8</v>
      </c>
      <c r="S53" s="10">
        <v>9</v>
      </c>
      <c r="T53" s="10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1">
        <v>2</v>
      </c>
      <c r="BA53" s="1">
        <v>3</v>
      </c>
      <c r="BB53" s="33">
        <v>4</v>
      </c>
      <c r="BC53" s="1">
        <v>5</v>
      </c>
      <c r="BD53" s="1">
        <v>6</v>
      </c>
      <c r="BE53" s="1">
        <v>7</v>
      </c>
      <c r="BF53" s="1">
        <v>8</v>
      </c>
      <c r="BG53" s="12">
        <v>9</v>
      </c>
      <c r="BH53" s="12" t="s">
        <v>17</v>
      </c>
    </row>
    <row r="54" spans="2:6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3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13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37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14">
        <v>2</v>
      </c>
      <c r="AY54" s="14">
        <v>1</v>
      </c>
      <c r="AZ54" s="14">
        <v>2</v>
      </c>
      <c r="BA54" s="3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5">
      <c r="B55" s="16" t="s">
        <v>8</v>
      </c>
      <c r="C55" s="38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38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12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5">
      <c r="B56" s="17" t="s">
        <v>8</v>
      </c>
      <c r="C56" s="38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38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12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33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1">
        <v>5</v>
      </c>
      <c r="BD56" s="1">
        <v>6</v>
      </c>
      <c r="BE56" s="1">
        <v>7</v>
      </c>
      <c r="BF56" s="1">
        <v>8</v>
      </c>
      <c r="BG56" s="12">
        <v>9</v>
      </c>
      <c r="BH56" s="12" t="s">
        <v>10</v>
      </c>
    </row>
    <row r="57" spans="2:60" x14ac:dyDescent="0.5">
      <c r="B57" s="17" t="s">
        <v>8</v>
      </c>
      <c r="C57" s="38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38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12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33">
        <v>3</v>
      </c>
      <c r="AX57" s="1">
        <v>2</v>
      </c>
      <c r="AY57" s="1">
        <v>1</v>
      </c>
      <c r="AZ57" s="1">
        <v>2</v>
      </c>
      <c r="BA57" s="1">
        <v>3</v>
      </c>
      <c r="BB57" s="1">
        <v>4</v>
      </c>
      <c r="BC57" s="1">
        <v>5</v>
      </c>
      <c r="BD57" s="1">
        <v>6</v>
      </c>
      <c r="BE57" s="1">
        <v>7</v>
      </c>
      <c r="BF57" s="1">
        <v>8</v>
      </c>
      <c r="BG57" s="12">
        <v>9</v>
      </c>
      <c r="BH57" s="12" t="s">
        <v>11</v>
      </c>
    </row>
    <row r="58" spans="2:6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33">
        <v>2</v>
      </c>
      <c r="K58" s="1">
        <v>1</v>
      </c>
      <c r="L58" s="1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38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12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33">
        <v>2</v>
      </c>
      <c r="AY58" s="1">
        <v>1</v>
      </c>
      <c r="AZ58" s="1">
        <v>2</v>
      </c>
      <c r="BA58" s="1">
        <v>3</v>
      </c>
      <c r="BB58" s="1">
        <v>4</v>
      </c>
      <c r="BC58" s="1">
        <v>5</v>
      </c>
      <c r="BD58" s="1">
        <v>6</v>
      </c>
      <c r="BE58" s="1">
        <v>7</v>
      </c>
      <c r="BF58" s="1">
        <v>8</v>
      </c>
      <c r="BG58" s="12">
        <v>9</v>
      </c>
      <c r="BH58" s="12" t="s">
        <v>12</v>
      </c>
    </row>
    <row r="59" spans="2:60" x14ac:dyDescent="0.5">
      <c r="B59" s="17" t="s">
        <v>8</v>
      </c>
      <c r="C59" s="38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38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12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33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1">
        <v>4</v>
      </c>
      <c r="BC59" s="1">
        <v>5</v>
      </c>
      <c r="BD59" s="1">
        <v>6</v>
      </c>
      <c r="BE59" s="1">
        <v>7</v>
      </c>
      <c r="BF59" s="1">
        <v>8</v>
      </c>
      <c r="BG59" s="12">
        <v>9</v>
      </c>
      <c r="BH59" s="12" t="s">
        <v>13</v>
      </c>
    </row>
    <row r="60" spans="2:60" x14ac:dyDescent="0.5">
      <c r="B60" s="17" t="s">
        <v>8</v>
      </c>
      <c r="C60" s="11">
        <v>9</v>
      </c>
      <c r="D60" s="1">
        <v>8</v>
      </c>
      <c r="E60" s="1">
        <v>7</v>
      </c>
      <c r="F60" s="33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  <c r="V60" s="17" t="s">
        <v>8</v>
      </c>
      <c r="W60" s="38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12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33">
        <v>4</v>
      </c>
      <c r="AW60" s="1">
        <v>3</v>
      </c>
      <c r="AX60" s="1">
        <v>2</v>
      </c>
      <c r="AY60" s="1">
        <v>1</v>
      </c>
      <c r="AZ60" s="1">
        <v>2</v>
      </c>
      <c r="BA60" s="1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12">
        <v>9</v>
      </c>
      <c r="BH60" s="12" t="s">
        <v>14</v>
      </c>
    </row>
    <row r="61" spans="2:60" x14ac:dyDescent="0.5">
      <c r="B61" s="17" t="s">
        <v>8</v>
      </c>
      <c r="C61" s="38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38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12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33">
        <v>3</v>
      </c>
      <c r="AX61" s="1">
        <v>2</v>
      </c>
      <c r="AY61" s="1">
        <v>1</v>
      </c>
      <c r="AZ61" s="1">
        <v>2</v>
      </c>
      <c r="BA61" s="1">
        <v>3</v>
      </c>
      <c r="BB61" s="1">
        <v>4</v>
      </c>
      <c r="BC61" s="1">
        <v>5</v>
      </c>
      <c r="BD61" s="1">
        <v>6</v>
      </c>
      <c r="BE61" s="1">
        <v>7</v>
      </c>
      <c r="BF61" s="1">
        <v>8</v>
      </c>
      <c r="BG61" s="12">
        <v>9</v>
      </c>
      <c r="BH61" s="12" t="s">
        <v>15</v>
      </c>
    </row>
    <row r="62" spans="2:60" x14ac:dyDescent="0.5">
      <c r="B62" s="17" t="s">
        <v>8</v>
      </c>
      <c r="C62" s="38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38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12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33">
        <v>3</v>
      </c>
      <c r="BB62" s="1">
        <v>4</v>
      </c>
      <c r="BC62" s="1">
        <v>5</v>
      </c>
      <c r="BD62" s="1">
        <v>6</v>
      </c>
      <c r="BE62" s="1">
        <v>7</v>
      </c>
      <c r="BF62" s="1">
        <v>8</v>
      </c>
      <c r="BG62" s="12">
        <v>9</v>
      </c>
      <c r="BH62" s="12" t="s">
        <v>16</v>
      </c>
    </row>
    <row r="63" spans="2:60" x14ac:dyDescent="0.5">
      <c r="B63" s="8" t="s">
        <v>8</v>
      </c>
      <c r="C63" s="9">
        <v>9</v>
      </c>
      <c r="D63" s="26">
        <v>8</v>
      </c>
      <c r="E63" s="26">
        <v>7</v>
      </c>
      <c r="F63" s="26">
        <v>6</v>
      </c>
      <c r="G63" s="26">
        <v>5</v>
      </c>
      <c r="H63" s="26">
        <v>4</v>
      </c>
      <c r="I63" s="26">
        <v>3</v>
      </c>
      <c r="J63" s="26">
        <v>2</v>
      </c>
      <c r="K63" s="26">
        <v>1</v>
      </c>
      <c r="L63" s="26">
        <v>2</v>
      </c>
      <c r="M63" s="26">
        <v>3</v>
      </c>
      <c r="N63" s="26">
        <v>4</v>
      </c>
      <c r="O63" s="26">
        <v>5</v>
      </c>
      <c r="P63" s="26">
        <v>6</v>
      </c>
      <c r="Q63" s="26">
        <v>7</v>
      </c>
      <c r="R63" s="26">
        <v>8</v>
      </c>
      <c r="S63" s="10">
        <v>9</v>
      </c>
      <c r="T63" s="10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33">
        <v>3</v>
      </c>
      <c r="BB63" s="1">
        <v>4</v>
      </c>
      <c r="BC63" s="1">
        <v>5</v>
      </c>
      <c r="BD63" s="1">
        <v>6</v>
      </c>
      <c r="BE63" s="1">
        <v>7</v>
      </c>
      <c r="BF63" s="1">
        <v>8</v>
      </c>
      <c r="BG63" s="12">
        <v>9</v>
      </c>
      <c r="BH63" s="12" t="s">
        <v>17</v>
      </c>
    </row>
    <row r="64" spans="2:6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3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40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15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34">
        <v>3</v>
      </c>
      <c r="AX64" s="14">
        <v>2</v>
      </c>
      <c r="AY64" s="14">
        <v>1</v>
      </c>
      <c r="AZ64" s="14">
        <v>2</v>
      </c>
      <c r="BA64" s="14">
        <v>3</v>
      </c>
      <c r="BB64" s="14">
        <v>4</v>
      </c>
      <c r="BC64" s="14">
        <v>5</v>
      </c>
      <c r="BD64" s="14">
        <v>6</v>
      </c>
      <c r="BE64" s="14">
        <v>7</v>
      </c>
      <c r="BF64" s="14">
        <v>8</v>
      </c>
      <c r="BG64" s="15">
        <v>9</v>
      </c>
      <c r="BH64" s="15" t="s">
        <v>18</v>
      </c>
    </row>
    <row r="65" spans="2:6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33">
        <v>1</v>
      </c>
      <c r="L65" s="1">
        <v>2</v>
      </c>
      <c r="M65" s="1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38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12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33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1">
        <v>5</v>
      </c>
      <c r="BD65" s="1">
        <v>6</v>
      </c>
      <c r="BE65" s="1">
        <v>7</v>
      </c>
      <c r="BF65" s="1">
        <v>8</v>
      </c>
      <c r="BG65" s="12">
        <v>9</v>
      </c>
      <c r="BH65" s="12" t="s">
        <v>10</v>
      </c>
    </row>
    <row r="66" spans="2:6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33">
        <v>1</v>
      </c>
      <c r="L66" s="1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38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12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33">
        <v>3</v>
      </c>
      <c r="AX66" s="1">
        <v>2</v>
      </c>
      <c r="AY66" s="1">
        <v>1</v>
      </c>
      <c r="AZ66" s="1">
        <v>2</v>
      </c>
      <c r="BA66" s="1">
        <v>3</v>
      </c>
      <c r="BB66" s="1">
        <v>4</v>
      </c>
      <c r="BC66" s="1">
        <v>5</v>
      </c>
      <c r="BD66" s="1">
        <v>6</v>
      </c>
      <c r="BE66" s="1">
        <v>7</v>
      </c>
      <c r="BF66" s="1">
        <v>8</v>
      </c>
      <c r="BG66" s="12">
        <v>9</v>
      </c>
      <c r="BH66" s="12" t="s">
        <v>11</v>
      </c>
    </row>
    <row r="67" spans="2:6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33">
        <v>8</v>
      </c>
      <c r="S67" s="12">
        <v>9</v>
      </c>
      <c r="T67" s="12" t="s">
        <v>12</v>
      </c>
      <c r="V67" s="17" t="s">
        <v>9</v>
      </c>
      <c r="W67" s="11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36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33">
        <v>2</v>
      </c>
      <c r="AY67" s="1">
        <v>1</v>
      </c>
      <c r="AZ67" s="1">
        <v>2</v>
      </c>
      <c r="BA67" s="1">
        <v>3</v>
      </c>
      <c r="BB67" s="1">
        <v>4</v>
      </c>
      <c r="BC67" s="1">
        <v>5</v>
      </c>
      <c r="BD67" s="1">
        <v>6</v>
      </c>
      <c r="BE67" s="1">
        <v>7</v>
      </c>
      <c r="BF67" s="1">
        <v>8</v>
      </c>
      <c r="BG67" s="12">
        <v>9</v>
      </c>
      <c r="BH67" s="12" t="s">
        <v>12</v>
      </c>
    </row>
    <row r="68" spans="2:6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33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2">
        <v>9</v>
      </c>
      <c r="T68" s="12" t="s">
        <v>13</v>
      </c>
      <c r="V68" s="17" t="s">
        <v>9</v>
      </c>
      <c r="W68" s="11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36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33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1">
        <v>4</v>
      </c>
      <c r="BC68" s="1">
        <v>5</v>
      </c>
      <c r="BD68" s="1">
        <v>6</v>
      </c>
      <c r="BE68" s="1">
        <v>7</v>
      </c>
      <c r="BF68" s="1">
        <v>8</v>
      </c>
      <c r="BG68" s="12">
        <v>9</v>
      </c>
      <c r="BH68" s="12" t="s">
        <v>13</v>
      </c>
    </row>
    <row r="69" spans="2:6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33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  <c r="V69" s="17" t="s">
        <v>9</v>
      </c>
      <c r="W69" s="11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36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33">
        <v>4</v>
      </c>
      <c r="AW69" s="1">
        <v>3</v>
      </c>
      <c r="AX69" s="1">
        <v>2</v>
      </c>
      <c r="AY69" s="1">
        <v>1</v>
      </c>
      <c r="AZ69" s="1">
        <v>2</v>
      </c>
      <c r="BA69" s="1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12">
        <v>9</v>
      </c>
      <c r="BH69" s="12" t="s">
        <v>14</v>
      </c>
    </row>
    <row r="70" spans="2:6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33">
        <v>2</v>
      </c>
      <c r="M70" s="1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33">
        <v>3</v>
      </c>
      <c r="AX70" s="1">
        <v>2</v>
      </c>
      <c r="AY70" s="1">
        <v>1</v>
      </c>
      <c r="AZ70" s="1">
        <v>2</v>
      </c>
      <c r="BA70" s="1">
        <v>3</v>
      </c>
      <c r="BB70" s="1">
        <v>4</v>
      </c>
      <c r="BC70" s="1">
        <v>5</v>
      </c>
      <c r="BD70" s="1">
        <v>6</v>
      </c>
      <c r="BE70" s="1">
        <v>7</v>
      </c>
      <c r="BF70" s="1">
        <v>8</v>
      </c>
      <c r="BG70" s="12">
        <v>9</v>
      </c>
      <c r="BH70" s="12" t="s">
        <v>15</v>
      </c>
    </row>
    <row r="71" spans="2:6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33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33">
        <v>3</v>
      </c>
      <c r="BB71" s="1">
        <v>4</v>
      </c>
      <c r="BC71" s="1">
        <v>5</v>
      </c>
      <c r="BD71" s="1">
        <v>6</v>
      </c>
      <c r="BE71" s="1">
        <v>7</v>
      </c>
      <c r="BF71" s="1">
        <v>8</v>
      </c>
      <c r="BG71" s="12">
        <v>9</v>
      </c>
      <c r="BH71" s="12" t="s">
        <v>16</v>
      </c>
    </row>
    <row r="72" spans="2:60" x14ac:dyDescent="0.5">
      <c r="B72" s="8" t="s">
        <v>9</v>
      </c>
      <c r="C72" s="9">
        <v>9</v>
      </c>
      <c r="D72" s="26">
        <v>8</v>
      </c>
      <c r="E72" s="26">
        <v>7</v>
      </c>
      <c r="F72" s="26">
        <v>6</v>
      </c>
      <c r="G72" s="26">
        <v>5</v>
      </c>
      <c r="H72" s="26">
        <v>4</v>
      </c>
      <c r="I72" s="26">
        <v>3</v>
      </c>
      <c r="J72" s="26">
        <v>2</v>
      </c>
      <c r="K72" s="26">
        <v>1</v>
      </c>
      <c r="L72" s="26">
        <v>2</v>
      </c>
      <c r="M72" s="26">
        <v>3</v>
      </c>
      <c r="N72" s="26">
        <v>4</v>
      </c>
      <c r="O72" s="26">
        <v>5</v>
      </c>
      <c r="P72" s="26">
        <v>6</v>
      </c>
      <c r="Q72" s="26">
        <v>7</v>
      </c>
      <c r="R72" s="26">
        <v>8</v>
      </c>
      <c r="S72" s="10">
        <v>9</v>
      </c>
      <c r="T72" s="10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33">
        <v>3</v>
      </c>
      <c r="BB72" s="1">
        <v>4</v>
      </c>
      <c r="BC72" s="1">
        <v>5</v>
      </c>
      <c r="BD72" s="1">
        <v>6</v>
      </c>
      <c r="BE72" s="1">
        <v>7</v>
      </c>
      <c r="BF72" s="1">
        <v>8</v>
      </c>
      <c r="BG72" s="12">
        <v>9</v>
      </c>
      <c r="BH72" s="12" t="s">
        <v>17</v>
      </c>
    </row>
    <row r="73" spans="2:6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34">
        <v>7</v>
      </c>
      <c r="R73" s="14">
        <v>8</v>
      </c>
      <c r="S73" s="15">
        <v>9</v>
      </c>
      <c r="T73" s="15" t="s">
        <v>18</v>
      </c>
      <c r="V73" s="19" t="s">
        <v>9</v>
      </c>
      <c r="W73" s="13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37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34">
        <v>3</v>
      </c>
      <c r="AX73" s="14">
        <v>2</v>
      </c>
      <c r="AY73" s="14">
        <v>1</v>
      </c>
      <c r="AZ73" s="14">
        <v>2</v>
      </c>
      <c r="BA73" s="14">
        <v>3</v>
      </c>
      <c r="BB73" s="14">
        <v>4</v>
      </c>
      <c r="BC73" s="14">
        <v>5</v>
      </c>
      <c r="BD73" s="14">
        <v>6</v>
      </c>
      <c r="BE73" s="14">
        <v>7</v>
      </c>
      <c r="BF73" s="14">
        <v>8</v>
      </c>
      <c r="BG73" s="15">
        <v>9</v>
      </c>
      <c r="BH73" s="15" t="s">
        <v>18</v>
      </c>
    </row>
    <row r="74" spans="2:6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33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11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36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1">
        <v>7</v>
      </c>
      <c r="AT74" s="1">
        <v>6</v>
      </c>
      <c r="AU74" s="1">
        <v>5</v>
      </c>
      <c r="AV74" s="1">
        <v>4</v>
      </c>
      <c r="AW74" s="1">
        <v>3</v>
      </c>
      <c r="AX74" s="1">
        <v>2</v>
      </c>
      <c r="AY74" s="1">
        <v>1</v>
      </c>
      <c r="AZ74" s="1">
        <v>2</v>
      </c>
      <c r="BA74" s="1">
        <v>3</v>
      </c>
      <c r="BB74" s="33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33">
        <v>8</v>
      </c>
      <c r="S75" s="12">
        <v>9</v>
      </c>
      <c r="T75" s="12" t="s">
        <v>12</v>
      </c>
      <c r="V75" s="17" t="s">
        <v>10</v>
      </c>
      <c r="W75" s="11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36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1">
        <v>7</v>
      </c>
      <c r="AT75" s="1">
        <v>6</v>
      </c>
      <c r="AU75" s="1">
        <v>5</v>
      </c>
      <c r="AV75" s="1">
        <v>4</v>
      </c>
      <c r="AW75" s="1">
        <v>3</v>
      </c>
      <c r="AX75" s="1">
        <v>2</v>
      </c>
      <c r="AY75" s="1">
        <v>1</v>
      </c>
      <c r="AZ75" s="1">
        <v>2</v>
      </c>
      <c r="BA75" s="1">
        <v>3</v>
      </c>
      <c r="BB75" s="1">
        <v>4</v>
      </c>
      <c r="BC75" s="33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33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  <c r="V76" s="17" t="s">
        <v>10</v>
      </c>
      <c r="W76" s="11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36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1">
        <v>2</v>
      </c>
      <c r="AY76" s="1">
        <v>1</v>
      </c>
      <c r="AZ76" s="1">
        <v>2</v>
      </c>
      <c r="BA76" s="33">
        <v>3</v>
      </c>
      <c r="BB76" s="1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33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  <c r="V77" s="17" t="s">
        <v>10</v>
      </c>
      <c r="W77" s="11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36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1">
        <v>5</v>
      </c>
      <c r="AV77" s="1">
        <v>4</v>
      </c>
      <c r="AW77" s="1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33">
        <v>5</v>
      </c>
      <c r="BD77" s="1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1">
        <v>1</v>
      </c>
      <c r="L78" s="33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11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36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1">
        <v>7</v>
      </c>
      <c r="AT78" s="1">
        <v>6</v>
      </c>
      <c r="AU78" s="1">
        <v>5</v>
      </c>
      <c r="AV78" s="1">
        <v>4</v>
      </c>
      <c r="AW78" s="1">
        <v>3</v>
      </c>
      <c r="AX78" s="1">
        <v>2</v>
      </c>
      <c r="AY78" s="1">
        <v>1</v>
      </c>
      <c r="AZ78" s="1">
        <v>2</v>
      </c>
      <c r="BA78" s="33">
        <v>3</v>
      </c>
      <c r="BB78" s="1">
        <v>4</v>
      </c>
      <c r="BC78" s="1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33">
        <v>1</v>
      </c>
      <c r="L79" s="1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1">
        <v>3</v>
      </c>
      <c r="AX79" s="1">
        <v>2</v>
      </c>
      <c r="AY79" s="1">
        <v>1</v>
      </c>
      <c r="AZ79" s="1">
        <v>2</v>
      </c>
      <c r="BA79" s="1">
        <v>3</v>
      </c>
      <c r="BB79" s="1">
        <v>4</v>
      </c>
      <c r="BC79" s="33">
        <v>5</v>
      </c>
      <c r="BD79" s="1">
        <v>6</v>
      </c>
      <c r="BE79" s="1">
        <v>7</v>
      </c>
      <c r="BF79" s="1">
        <v>8</v>
      </c>
      <c r="BG79" s="12">
        <v>9</v>
      </c>
      <c r="BH79" s="12" t="s">
        <v>16</v>
      </c>
    </row>
    <row r="80" spans="2:60" x14ac:dyDescent="0.5">
      <c r="B80" s="8" t="s">
        <v>10</v>
      </c>
      <c r="C80" s="9">
        <v>9</v>
      </c>
      <c r="D80" s="26">
        <v>8</v>
      </c>
      <c r="E80" s="26">
        <v>7</v>
      </c>
      <c r="F80" s="26">
        <v>6</v>
      </c>
      <c r="G80" s="26">
        <v>5</v>
      </c>
      <c r="H80" s="26">
        <v>4</v>
      </c>
      <c r="I80" s="26">
        <v>3</v>
      </c>
      <c r="J80" s="26">
        <v>2</v>
      </c>
      <c r="K80" s="26">
        <v>1</v>
      </c>
      <c r="L80" s="26">
        <v>2</v>
      </c>
      <c r="M80" s="26">
        <v>3</v>
      </c>
      <c r="N80" s="26">
        <v>4</v>
      </c>
      <c r="O80" s="26">
        <v>5</v>
      </c>
      <c r="P80" s="26">
        <v>6</v>
      </c>
      <c r="Q80" s="26">
        <v>7</v>
      </c>
      <c r="R80" s="26">
        <v>8</v>
      </c>
      <c r="S80" s="10">
        <v>9</v>
      </c>
      <c r="T80" s="10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X80" s="1">
        <v>2</v>
      </c>
      <c r="AY80" s="1">
        <v>1</v>
      </c>
      <c r="AZ80" s="1">
        <v>2</v>
      </c>
      <c r="BA80" s="1">
        <v>3</v>
      </c>
      <c r="BB80" s="1">
        <v>4</v>
      </c>
      <c r="BC80" s="33">
        <v>5</v>
      </c>
      <c r="BD80" s="1">
        <v>6</v>
      </c>
      <c r="BE80" s="1">
        <v>7</v>
      </c>
      <c r="BF80" s="1">
        <v>8</v>
      </c>
      <c r="BG80" s="12">
        <v>9</v>
      </c>
      <c r="BH80" s="12" t="s">
        <v>17</v>
      </c>
    </row>
    <row r="81" spans="2:6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34">
        <v>7</v>
      </c>
      <c r="R81" s="14">
        <v>8</v>
      </c>
      <c r="S81" s="15">
        <v>9</v>
      </c>
      <c r="T81" s="15" t="s">
        <v>18</v>
      </c>
      <c r="V81" s="19" t="s">
        <v>10</v>
      </c>
      <c r="W81" s="13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37">
        <v>9</v>
      </c>
      <c r="AN81" s="15" t="s">
        <v>18</v>
      </c>
      <c r="AP81" s="19" t="s">
        <v>10</v>
      </c>
      <c r="AQ81" s="13">
        <v>9</v>
      </c>
      <c r="AR81" s="1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34">
        <v>3</v>
      </c>
      <c r="BB81" s="14">
        <v>4</v>
      </c>
      <c r="BC81" s="1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33">
        <v>8</v>
      </c>
      <c r="S82" s="12">
        <v>9</v>
      </c>
      <c r="T82" s="12" t="s">
        <v>12</v>
      </c>
      <c r="V82" s="16" t="s">
        <v>11</v>
      </c>
      <c r="W82" s="11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36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1">
        <v>1</v>
      </c>
      <c r="AZ82" s="33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33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33">
        <v>3</v>
      </c>
      <c r="AX83" s="1">
        <v>2</v>
      </c>
      <c r="AY83" s="1">
        <v>1</v>
      </c>
      <c r="AZ83" s="1">
        <v>2</v>
      </c>
      <c r="BA83" s="1">
        <v>3</v>
      </c>
      <c r="BB83" s="1">
        <v>4</v>
      </c>
      <c r="BC83" s="1">
        <v>5</v>
      </c>
      <c r="BD83" s="1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33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11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36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1">
        <v>2</v>
      </c>
      <c r="BA84" s="33">
        <v>3</v>
      </c>
      <c r="BB84" s="1">
        <v>4</v>
      </c>
      <c r="BC84" s="1">
        <v>5</v>
      </c>
      <c r="BD84" s="1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33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11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36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1">
        <v>2</v>
      </c>
      <c r="AY85" s="1">
        <v>1</v>
      </c>
      <c r="AZ85" s="1">
        <v>2</v>
      </c>
      <c r="BA85" s="33">
        <v>3</v>
      </c>
      <c r="BB85" s="1">
        <v>4</v>
      </c>
      <c r="BC85" s="1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33">
        <v>1</v>
      </c>
      <c r="L86" s="1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11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36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1">
        <v>1</v>
      </c>
      <c r="AZ86" s="33">
        <v>2</v>
      </c>
      <c r="BA86" s="1">
        <v>3</v>
      </c>
      <c r="BB86" s="1">
        <v>4</v>
      </c>
      <c r="BC86" s="1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5">
      <c r="B87" s="8" t="s">
        <v>11</v>
      </c>
      <c r="C87" s="9">
        <v>9</v>
      </c>
      <c r="D87" s="26">
        <v>8</v>
      </c>
      <c r="E87" s="26">
        <v>7</v>
      </c>
      <c r="F87" s="26">
        <v>6</v>
      </c>
      <c r="G87" s="26">
        <v>5</v>
      </c>
      <c r="H87" s="26">
        <v>4</v>
      </c>
      <c r="I87" s="26">
        <v>3</v>
      </c>
      <c r="J87" s="26">
        <v>2</v>
      </c>
      <c r="K87" s="26">
        <v>1</v>
      </c>
      <c r="L87" s="26">
        <v>2</v>
      </c>
      <c r="M87" s="26">
        <v>3</v>
      </c>
      <c r="N87" s="26">
        <v>4</v>
      </c>
      <c r="O87" s="26">
        <v>5</v>
      </c>
      <c r="P87" s="26">
        <v>6</v>
      </c>
      <c r="Q87" s="26">
        <v>7</v>
      </c>
      <c r="R87" s="26">
        <v>8</v>
      </c>
      <c r="S87" s="10">
        <v>9</v>
      </c>
      <c r="T87" s="10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33">
        <v>3</v>
      </c>
      <c r="BB87" s="1">
        <v>4</v>
      </c>
      <c r="BC87" s="1">
        <v>5</v>
      </c>
      <c r="BD87" s="1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34">
        <v>7</v>
      </c>
      <c r="R88" s="14">
        <v>8</v>
      </c>
      <c r="S88" s="15">
        <v>9</v>
      </c>
      <c r="T88" s="15" t="s">
        <v>18</v>
      </c>
      <c r="V88" s="19" t="s">
        <v>11</v>
      </c>
      <c r="W88" s="13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37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14">
        <v>3</v>
      </c>
      <c r="BB88" s="34">
        <v>4</v>
      </c>
      <c r="BC88" s="14">
        <v>5</v>
      </c>
      <c r="BD88" s="14">
        <v>6</v>
      </c>
      <c r="BE88" s="14">
        <v>7</v>
      </c>
      <c r="BF88" s="14">
        <v>8</v>
      </c>
      <c r="BG88" s="15">
        <v>9</v>
      </c>
      <c r="BH88" s="15" t="s">
        <v>18</v>
      </c>
    </row>
    <row r="89" spans="2:60" x14ac:dyDescent="0.5">
      <c r="B89" s="16" t="s">
        <v>12</v>
      </c>
      <c r="C89" s="11">
        <v>9</v>
      </c>
      <c r="D89" s="1">
        <v>8</v>
      </c>
      <c r="E89" s="33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  <c r="V89" s="16" t="s">
        <v>12</v>
      </c>
      <c r="W89" s="38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12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33">
        <v>4</v>
      </c>
      <c r="AW89" s="1">
        <v>3</v>
      </c>
      <c r="AX89" s="1">
        <v>2</v>
      </c>
      <c r="AY89" s="1">
        <v>1</v>
      </c>
      <c r="AZ89" s="1">
        <v>2</v>
      </c>
      <c r="BA89" s="1">
        <v>3</v>
      </c>
      <c r="BB89" s="1">
        <v>4</v>
      </c>
      <c r="BC89" s="1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33">
        <v>3</v>
      </c>
      <c r="J90" s="1">
        <v>2</v>
      </c>
      <c r="K90" s="1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38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12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33">
        <v>3</v>
      </c>
      <c r="AX90" s="1">
        <v>2</v>
      </c>
      <c r="AY90" s="1">
        <v>1</v>
      </c>
      <c r="AZ90" s="1">
        <v>2</v>
      </c>
      <c r="BA90" s="1">
        <v>3</v>
      </c>
      <c r="BB90" s="1">
        <v>4</v>
      </c>
      <c r="BC90" s="1">
        <v>5</v>
      </c>
      <c r="BD90" s="1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5">
      <c r="B91" s="17" t="s">
        <v>12</v>
      </c>
      <c r="C91" s="11">
        <v>9</v>
      </c>
      <c r="D91" s="1">
        <v>8</v>
      </c>
      <c r="E91" s="1">
        <v>7</v>
      </c>
      <c r="F91" s="33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38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12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1">
        <v>4</v>
      </c>
      <c r="AW91" s="33">
        <v>3</v>
      </c>
      <c r="AX91" s="1">
        <v>2</v>
      </c>
      <c r="AY91" s="1">
        <v>1</v>
      </c>
      <c r="AZ91" s="1">
        <v>2</v>
      </c>
      <c r="BA91" s="1">
        <v>3</v>
      </c>
      <c r="BB91" s="1">
        <v>4</v>
      </c>
      <c r="BC91" s="1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5">
      <c r="B92" s="17" t="s">
        <v>12</v>
      </c>
      <c r="C92" s="11">
        <v>9</v>
      </c>
      <c r="D92" s="1">
        <v>8</v>
      </c>
      <c r="E92" s="33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38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12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1">
        <v>1</v>
      </c>
      <c r="AZ92" s="33">
        <v>2</v>
      </c>
      <c r="BA92" s="1">
        <v>3</v>
      </c>
      <c r="BB92" s="1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5">
      <c r="B93" s="8" t="s">
        <v>12</v>
      </c>
      <c r="C93" s="9">
        <v>9</v>
      </c>
      <c r="D93" s="26">
        <v>8</v>
      </c>
      <c r="E93" s="26">
        <v>7</v>
      </c>
      <c r="F93" s="26">
        <v>6</v>
      </c>
      <c r="G93" s="26">
        <v>5</v>
      </c>
      <c r="H93" s="26">
        <v>4</v>
      </c>
      <c r="I93" s="26">
        <v>3</v>
      </c>
      <c r="J93" s="26">
        <v>2</v>
      </c>
      <c r="K93" s="26">
        <v>1</v>
      </c>
      <c r="L93" s="26">
        <v>2</v>
      </c>
      <c r="M93" s="26">
        <v>3</v>
      </c>
      <c r="N93" s="26">
        <v>4</v>
      </c>
      <c r="O93" s="26">
        <v>5</v>
      </c>
      <c r="P93" s="26">
        <v>6</v>
      </c>
      <c r="Q93" s="26">
        <v>7</v>
      </c>
      <c r="R93" s="26">
        <v>8</v>
      </c>
      <c r="S93" s="10">
        <v>9</v>
      </c>
      <c r="T93" s="10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1">
        <v>2</v>
      </c>
      <c r="BA93" s="33">
        <v>3</v>
      </c>
      <c r="BB93" s="1">
        <v>4</v>
      </c>
      <c r="BC93" s="1">
        <v>5</v>
      </c>
      <c r="BD93" s="1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3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40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15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3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14">
        <v>5</v>
      </c>
      <c r="BD94" s="14">
        <v>6</v>
      </c>
      <c r="BE94" s="14">
        <v>7</v>
      </c>
      <c r="BF94" s="14">
        <v>8</v>
      </c>
      <c r="BG94" s="15">
        <v>9</v>
      </c>
      <c r="BH94" s="15" t="s">
        <v>18</v>
      </c>
    </row>
    <row r="95" spans="2:60" x14ac:dyDescent="0.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33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11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36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1">
        <v>5</v>
      </c>
      <c r="AV95" s="1">
        <v>4</v>
      </c>
      <c r="AW95" s="1">
        <v>3</v>
      </c>
      <c r="AX95" s="1">
        <v>2</v>
      </c>
      <c r="AY95" s="1">
        <v>1</v>
      </c>
      <c r="AZ95" s="1">
        <v>2</v>
      </c>
      <c r="BA95" s="1">
        <v>3</v>
      </c>
      <c r="BB95" s="33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33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11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36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1">
        <v>7</v>
      </c>
      <c r="AT96" s="1">
        <v>6</v>
      </c>
      <c r="AU96" s="1">
        <v>5</v>
      </c>
      <c r="AV96" s="1">
        <v>4</v>
      </c>
      <c r="AW96" s="1">
        <v>3</v>
      </c>
      <c r="AX96" s="1">
        <v>2</v>
      </c>
      <c r="AY96" s="1">
        <v>1</v>
      </c>
      <c r="AZ96" s="1">
        <v>2</v>
      </c>
      <c r="BA96" s="33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33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38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12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1">
        <v>4</v>
      </c>
      <c r="AW97" s="1">
        <v>3</v>
      </c>
      <c r="AX97" s="1">
        <v>2</v>
      </c>
      <c r="AY97" s="1">
        <v>1</v>
      </c>
      <c r="AZ97" s="1">
        <v>2</v>
      </c>
      <c r="BA97" s="1">
        <v>3</v>
      </c>
      <c r="BB97" s="33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5">
      <c r="B98" s="8" t="s">
        <v>13</v>
      </c>
      <c r="C98" s="9">
        <v>9</v>
      </c>
      <c r="D98" s="26">
        <v>8</v>
      </c>
      <c r="E98" s="26">
        <v>7</v>
      </c>
      <c r="F98" s="26">
        <v>6</v>
      </c>
      <c r="G98" s="26">
        <v>5</v>
      </c>
      <c r="H98" s="26">
        <v>4</v>
      </c>
      <c r="I98" s="26">
        <v>3</v>
      </c>
      <c r="J98" s="26">
        <v>2</v>
      </c>
      <c r="K98" s="26">
        <v>1</v>
      </c>
      <c r="L98" s="26">
        <v>2</v>
      </c>
      <c r="M98" s="26">
        <v>3</v>
      </c>
      <c r="N98" s="26">
        <v>4</v>
      </c>
      <c r="O98" s="26">
        <v>5</v>
      </c>
      <c r="P98" s="26">
        <v>6</v>
      </c>
      <c r="Q98" s="26">
        <v>7</v>
      </c>
      <c r="R98" s="26">
        <v>8</v>
      </c>
      <c r="S98" s="10">
        <v>9</v>
      </c>
      <c r="T98" s="10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1">
        <v>4</v>
      </c>
      <c r="AW98" s="1">
        <v>3</v>
      </c>
      <c r="AX98" s="1">
        <v>2</v>
      </c>
      <c r="AY98" s="1">
        <v>1</v>
      </c>
      <c r="AZ98" s="1">
        <v>2</v>
      </c>
      <c r="BA98" s="1">
        <v>3</v>
      </c>
      <c r="BB98" s="1">
        <v>4</v>
      </c>
      <c r="BC98" s="33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33">
        <v>7</v>
      </c>
      <c r="R99" s="1">
        <v>8</v>
      </c>
      <c r="S99" s="12">
        <v>9</v>
      </c>
      <c r="T99" s="15" t="s">
        <v>18</v>
      </c>
      <c r="V99" s="17" t="s">
        <v>13</v>
      </c>
      <c r="W99" s="11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36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1">
        <v>5</v>
      </c>
      <c r="AV99" s="1">
        <v>4</v>
      </c>
      <c r="AW99" s="1">
        <v>3</v>
      </c>
      <c r="AX99" s="1">
        <v>2</v>
      </c>
      <c r="AY99" s="1">
        <v>1</v>
      </c>
      <c r="AZ99" s="1">
        <v>2</v>
      </c>
      <c r="BA99" s="33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6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39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7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5">
        <v>6</v>
      </c>
      <c r="AU100" s="5">
        <v>5</v>
      </c>
      <c r="AV100" s="5">
        <v>4</v>
      </c>
      <c r="AW100" s="6">
        <v>3</v>
      </c>
      <c r="AX100" s="5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33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38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12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1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33">
        <v>2</v>
      </c>
      <c r="BA101" s="1">
        <v>3</v>
      </c>
      <c r="BB101" s="1">
        <v>4</v>
      </c>
      <c r="BC101" s="1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5">
      <c r="B102" s="9" t="s">
        <v>14</v>
      </c>
      <c r="C102" s="9">
        <v>9</v>
      </c>
      <c r="D102" s="26">
        <v>8</v>
      </c>
      <c r="E102" s="26">
        <v>7</v>
      </c>
      <c r="F102" s="26">
        <v>6</v>
      </c>
      <c r="G102" s="26">
        <v>5</v>
      </c>
      <c r="H102" s="26">
        <v>4</v>
      </c>
      <c r="I102" s="26">
        <v>3</v>
      </c>
      <c r="J102" s="26">
        <v>2</v>
      </c>
      <c r="K102" s="26">
        <v>1</v>
      </c>
      <c r="L102" s="26">
        <v>2</v>
      </c>
      <c r="M102" s="26">
        <v>3</v>
      </c>
      <c r="N102" s="26">
        <v>4</v>
      </c>
      <c r="O102" s="26">
        <v>5</v>
      </c>
      <c r="P102" s="26">
        <v>6</v>
      </c>
      <c r="Q102" s="26">
        <v>7</v>
      </c>
      <c r="R102" s="26">
        <v>8</v>
      </c>
      <c r="S102" s="10">
        <v>9</v>
      </c>
      <c r="T102" s="10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1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33">
        <v>2</v>
      </c>
      <c r="BA102" s="1">
        <v>3</v>
      </c>
      <c r="BB102" s="1">
        <v>4</v>
      </c>
      <c r="BC102" s="1">
        <v>5</v>
      </c>
      <c r="BD102" s="1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3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13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37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14">
        <v>6</v>
      </c>
      <c r="AU103" s="14">
        <v>5</v>
      </c>
      <c r="AV103" s="14">
        <v>4</v>
      </c>
      <c r="AW103" s="34">
        <v>3</v>
      </c>
      <c r="AX103" s="1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1">
        <v>4</v>
      </c>
      <c r="O104" s="1">
        <v>5</v>
      </c>
      <c r="P104" s="33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38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12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1">
        <v>2</v>
      </c>
      <c r="AY104" s="1">
        <v>1</v>
      </c>
      <c r="AZ104" s="1">
        <v>2</v>
      </c>
      <c r="BA104" s="33">
        <v>3</v>
      </c>
      <c r="BB104" s="1">
        <v>4</v>
      </c>
      <c r="BC104" s="1">
        <v>5</v>
      </c>
      <c r="BD104" s="1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5">
      <c r="B105" s="8" t="s">
        <v>15</v>
      </c>
      <c r="C105" s="9">
        <v>9</v>
      </c>
      <c r="D105" s="26">
        <v>8</v>
      </c>
      <c r="E105" s="26">
        <v>7</v>
      </c>
      <c r="F105" s="26">
        <v>6</v>
      </c>
      <c r="G105" s="26">
        <v>5</v>
      </c>
      <c r="H105" s="26">
        <v>4</v>
      </c>
      <c r="I105" s="26">
        <v>3</v>
      </c>
      <c r="J105" s="26">
        <v>2</v>
      </c>
      <c r="K105" s="26">
        <v>1</v>
      </c>
      <c r="L105" s="26">
        <v>2</v>
      </c>
      <c r="M105" s="26">
        <v>3</v>
      </c>
      <c r="N105" s="26">
        <v>4</v>
      </c>
      <c r="O105" s="26">
        <v>5</v>
      </c>
      <c r="P105" s="26">
        <v>6</v>
      </c>
      <c r="Q105" s="26">
        <v>7</v>
      </c>
      <c r="R105" s="26">
        <v>8</v>
      </c>
      <c r="S105" s="10">
        <v>9</v>
      </c>
      <c r="T105" s="10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1">
        <v>2</v>
      </c>
      <c r="AY105" s="1">
        <v>1</v>
      </c>
      <c r="AZ105" s="1">
        <v>2</v>
      </c>
      <c r="BA105" s="33">
        <v>3</v>
      </c>
      <c r="BB105" s="1">
        <v>4</v>
      </c>
      <c r="BC105" s="1">
        <v>5</v>
      </c>
      <c r="BD105" s="1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34">
        <v>2</v>
      </c>
      <c r="K106" s="1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13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37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14">
        <v>2</v>
      </c>
      <c r="AY106" s="3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5">
      <c r="B107" s="25" t="s">
        <v>16</v>
      </c>
      <c r="C107" s="9">
        <v>9</v>
      </c>
      <c r="D107" s="26">
        <v>8</v>
      </c>
      <c r="E107" s="26">
        <v>7</v>
      </c>
      <c r="F107" s="26">
        <v>6</v>
      </c>
      <c r="G107" s="26">
        <v>5</v>
      </c>
      <c r="H107" s="26">
        <v>4</v>
      </c>
      <c r="I107" s="26">
        <v>3</v>
      </c>
      <c r="J107" s="26">
        <v>2</v>
      </c>
      <c r="K107" s="26">
        <v>1</v>
      </c>
      <c r="L107" s="26">
        <v>2</v>
      </c>
      <c r="M107" s="26">
        <v>3</v>
      </c>
      <c r="N107" s="26">
        <v>4</v>
      </c>
      <c r="O107" s="26">
        <v>5</v>
      </c>
      <c r="P107" s="26">
        <v>6</v>
      </c>
      <c r="Q107" s="26">
        <v>7</v>
      </c>
      <c r="R107" s="26">
        <v>8</v>
      </c>
      <c r="S107" s="10">
        <v>9</v>
      </c>
      <c r="T107" s="31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33">
        <v>1</v>
      </c>
      <c r="AZ107" s="1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3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40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15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14">
        <v>7</v>
      </c>
      <c r="AT108" s="14">
        <v>6</v>
      </c>
      <c r="AU108" s="14">
        <v>5</v>
      </c>
      <c r="AV108" s="34">
        <v>4</v>
      </c>
      <c r="AW108" s="14">
        <v>3</v>
      </c>
      <c r="AX108" s="14">
        <v>2</v>
      </c>
      <c r="AY108" s="14">
        <v>1</v>
      </c>
      <c r="AZ108" s="1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5">
      <c r="B109" s="35" t="s">
        <v>17</v>
      </c>
      <c r="C109" s="28">
        <v>9</v>
      </c>
      <c r="D109" s="29">
        <v>8</v>
      </c>
      <c r="E109" s="29">
        <v>7</v>
      </c>
      <c r="F109" s="29">
        <v>6</v>
      </c>
      <c r="G109" s="29">
        <v>5</v>
      </c>
      <c r="H109" s="29">
        <v>4</v>
      </c>
      <c r="I109" s="29">
        <v>3</v>
      </c>
      <c r="J109" s="29">
        <v>2</v>
      </c>
      <c r="K109" s="29">
        <v>1</v>
      </c>
      <c r="L109" s="29">
        <v>2</v>
      </c>
      <c r="M109" s="29">
        <v>3</v>
      </c>
      <c r="N109" s="29">
        <v>4</v>
      </c>
      <c r="O109" s="29">
        <v>5</v>
      </c>
      <c r="P109" s="29">
        <v>6</v>
      </c>
      <c r="Q109" s="29">
        <v>7</v>
      </c>
      <c r="R109" s="29">
        <v>8</v>
      </c>
      <c r="S109" s="30">
        <v>9</v>
      </c>
      <c r="T109" s="30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14">
        <v>7</v>
      </c>
      <c r="AT109" s="14">
        <v>6</v>
      </c>
      <c r="AU109" s="14">
        <v>5</v>
      </c>
      <c r="AV109" s="34">
        <v>4</v>
      </c>
      <c r="AW109" s="14">
        <v>3</v>
      </c>
      <c r="AX109" s="14">
        <v>2</v>
      </c>
      <c r="AY109" s="14">
        <v>1</v>
      </c>
      <c r="AZ109" s="14">
        <v>2</v>
      </c>
      <c r="BA109" s="14">
        <v>3</v>
      </c>
      <c r="BB109" s="14">
        <v>4</v>
      </c>
      <c r="BC109" s="1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J5:BK5"/>
    <mergeCell ref="BN5:BU5"/>
    <mergeCell ref="BW5:CD5"/>
    <mergeCell ref="AP2:BH2"/>
    <mergeCell ref="AP1:BH1"/>
    <mergeCell ref="AP3:AP4"/>
    <mergeCell ref="AQ3:BG3"/>
    <mergeCell ref="BH3:BH4"/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0D2F-68D9-9B47-8548-74B4894B3C09}">
  <dimension ref="A2:AN53"/>
  <sheetViews>
    <sheetView zoomScale="69" zoomScaleNormal="88" workbookViewId="0">
      <selection activeCell="AL27" sqref="AL27"/>
    </sheetView>
  </sheetViews>
  <sheetFormatPr defaultColWidth="10.8125" defaultRowHeight="15.4" x14ac:dyDescent="0.45"/>
  <cols>
    <col min="1" max="1" width="12.8125" style="1" bestFit="1" customWidth="1"/>
    <col min="2" max="2" width="12.5" style="1" bestFit="1" customWidth="1"/>
    <col min="3" max="10" width="10.8125" style="1"/>
    <col min="11" max="11" width="13" style="1" bestFit="1" customWidth="1"/>
    <col min="12" max="12" width="39.3125" style="1" bestFit="1" customWidth="1"/>
    <col min="13" max="28" width="2.3125" style="1" bestFit="1" customWidth="1"/>
    <col min="29" max="29" width="2.6875" style="1" bestFit="1" customWidth="1"/>
    <col min="30" max="30" width="18.5" style="1" bestFit="1" customWidth="1"/>
    <col min="31" max="31" width="19.1875" style="1" bestFit="1" customWidth="1"/>
    <col min="32" max="32" width="17.6875" style="1" bestFit="1" customWidth="1"/>
    <col min="33" max="33" width="10.8125" style="1"/>
    <col min="34" max="34" width="13.5" style="1" bestFit="1" customWidth="1"/>
    <col min="35" max="35" width="38.5" style="1" bestFit="1" customWidth="1"/>
    <col min="36" max="36" width="38.1875" style="1" bestFit="1" customWidth="1"/>
    <col min="37" max="37" width="18" style="1" bestFit="1" customWidth="1"/>
    <col min="38" max="38" width="18.5" style="1" bestFit="1" customWidth="1"/>
    <col min="39" max="39" width="17.6875" style="1" bestFit="1" customWidth="1"/>
    <col min="40" max="40" width="18.8125" style="1" bestFit="1" customWidth="1"/>
    <col min="41" max="16384" width="10.8125" style="1"/>
  </cols>
  <sheetData>
    <row r="2" spans="1:40" ht="16.05" customHeight="1" x14ac:dyDescent="0.5">
      <c r="A2" s="108" t="s">
        <v>44</v>
      </c>
      <c r="B2" s="113" t="s">
        <v>45</v>
      </c>
      <c r="C2" s="113"/>
      <c r="D2" s="113"/>
      <c r="E2" s="113"/>
      <c r="F2" s="113"/>
      <c r="G2" s="113"/>
      <c r="H2" s="113"/>
      <c r="I2" s="113"/>
      <c r="J2" s="47"/>
      <c r="K2" s="108" t="s">
        <v>52</v>
      </c>
      <c r="L2" s="113" t="s">
        <v>55</v>
      </c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49"/>
      <c r="AF2" s="50" t="s">
        <v>58</v>
      </c>
      <c r="AH2" s="108" t="s">
        <v>61</v>
      </c>
      <c r="AI2" s="109" t="s">
        <v>62</v>
      </c>
      <c r="AJ2" s="109"/>
      <c r="AK2" s="53"/>
    </row>
    <row r="3" spans="1:40" x14ac:dyDescent="0.45">
      <c r="A3" s="108"/>
      <c r="B3" s="113"/>
      <c r="C3" s="113"/>
      <c r="D3" s="113"/>
      <c r="E3" s="113"/>
      <c r="F3" s="113"/>
      <c r="G3" s="113"/>
      <c r="H3" s="113"/>
      <c r="I3" s="113"/>
      <c r="J3" s="47"/>
      <c r="K3" s="108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49"/>
      <c r="AF3" s="49"/>
      <c r="AH3" s="108"/>
      <c r="AI3" s="109"/>
      <c r="AJ3" s="109"/>
      <c r="AK3" s="53"/>
    </row>
    <row r="4" spans="1:40" x14ac:dyDescent="0.45">
      <c r="B4" s="47"/>
      <c r="C4" s="47"/>
      <c r="D4" s="47"/>
      <c r="E4" s="47"/>
      <c r="F4" s="47"/>
      <c r="G4" s="47"/>
      <c r="H4" s="47"/>
      <c r="I4" s="47"/>
      <c r="J4" s="47"/>
    </row>
    <row r="5" spans="1:40" x14ac:dyDescent="0.45">
      <c r="B5" s="114" t="s">
        <v>46</v>
      </c>
      <c r="C5" s="114"/>
      <c r="D5" s="114"/>
      <c r="E5" s="114"/>
      <c r="F5" s="48" t="s">
        <v>47</v>
      </c>
      <c r="L5" s="114" t="s">
        <v>57</v>
      </c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I5" s="100" t="s">
        <v>57</v>
      </c>
      <c r="AJ5" s="100"/>
      <c r="AK5" s="100"/>
      <c r="AL5" s="100"/>
      <c r="AM5" s="100"/>
      <c r="AN5" s="100"/>
    </row>
    <row r="6" spans="1:40" x14ac:dyDescent="0.45">
      <c r="B6" s="81" t="s">
        <v>0</v>
      </c>
      <c r="C6" s="81"/>
      <c r="D6" s="81"/>
      <c r="E6" s="81"/>
      <c r="F6" s="3" t="s">
        <v>48</v>
      </c>
      <c r="L6" s="80" t="s">
        <v>53</v>
      </c>
      <c r="M6" s="81" t="s">
        <v>56</v>
      </c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0" t="s">
        <v>54</v>
      </c>
      <c r="AI6" s="2" t="s">
        <v>46</v>
      </c>
      <c r="AJ6" s="2" t="s">
        <v>0</v>
      </c>
      <c r="AK6" s="2" t="s">
        <v>19</v>
      </c>
      <c r="AL6" s="2" t="s">
        <v>20</v>
      </c>
      <c r="AM6" s="2" t="s">
        <v>21</v>
      </c>
      <c r="AN6" s="2" t="s">
        <v>63</v>
      </c>
    </row>
    <row r="7" spans="1:40" x14ac:dyDescent="0.45">
      <c r="B7" s="81" t="s">
        <v>19</v>
      </c>
      <c r="C7" s="81"/>
      <c r="D7" s="81"/>
      <c r="E7" s="81"/>
      <c r="F7" s="3" t="s">
        <v>49</v>
      </c>
      <c r="L7" s="80"/>
      <c r="M7" s="2">
        <v>9</v>
      </c>
      <c r="N7" s="2">
        <v>8</v>
      </c>
      <c r="O7" s="2">
        <v>7</v>
      </c>
      <c r="P7" s="2">
        <v>6</v>
      </c>
      <c r="Q7" s="2">
        <v>5</v>
      </c>
      <c r="R7" s="2">
        <v>4</v>
      </c>
      <c r="S7" s="2">
        <v>3</v>
      </c>
      <c r="T7" s="2">
        <v>2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80"/>
      <c r="AI7" s="2" t="s">
        <v>0</v>
      </c>
      <c r="AJ7" s="52"/>
      <c r="AK7" s="52"/>
      <c r="AL7" s="52"/>
      <c r="AM7" s="52"/>
      <c r="AN7" s="54"/>
    </row>
    <row r="8" spans="1:40" x14ac:dyDescent="0.45">
      <c r="B8" s="81" t="s">
        <v>20</v>
      </c>
      <c r="C8" s="81"/>
      <c r="D8" s="81"/>
      <c r="E8" s="81"/>
      <c r="F8" s="3" t="s">
        <v>50</v>
      </c>
      <c r="L8" s="3" t="s">
        <v>0</v>
      </c>
      <c r="M8" s="3"/>
      <c r="N8" s="3"/>
      <c r="O8" s="3"/>
      <c r="P8" s="3"/>
      <c r="Q8" s="3"/>
      <c r="R8" s="2">
        <v>4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 t="s">
        <v>19</v>
      </c>
      <c r="AI8" s="2" t="s">
        <v>19</v>
      </c>
      <c r="AJ8" s="52"/>
      <c r="AK8" s="52"/>
      <c r="AL8" s="52"/>
      <c r="AM8" s="52"/>
      <c r="AN8" s="54"/>
    </row>
    <row r="9" spans="1:40" x14ac:dyDescent="0.45">
      <c r="B9" s="81" t="s">
        <v>21</v>
      </c>
      <c r="C9" s="81"/>
      <c r="D9" s="81"/>
      <c r="E9" s="81"/>
      <c r="F9" s="3" t="s">
        <v>51</v>
      </c>
      <c r="L9" s="3" t="s">
        <v>0</v>
      </c>
      <c r="M9" s="3"/>
      <c r="N9" s="3"/>
      <c r="O9" s="3"/>
      <c r="P9" s="2">
        <v>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 t="s">
        <v>20</v>
      </c>
      <c r="AI9" s="2" t="s">
        <v>20</v>
      </c>
      <c r="AJ9" s="52"/>
      <c r="AK9" s="52"/>
      <c r="AL9" s="52"/>
      <c r="AM9" s="52"/>
      <c r="AN9" s="54"/>
    </row>
    <row r="10" spans="1:40" x14ac:dyDescent="0.45">
      <c r="L10" s="3" t="s">
        <v>0</v>
      </c>
      <c r="M10" s="3"/>
      <c r="N10" s="3"/>
      <c r="O10" s="3"/>
      <c r="P10" s="2">
        <v>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s">
        <v>21</v>
      </c>
      <c r="AI10" s="2" t="s">
        <v>21</v>
      </c>
      <c r="AJ10" s="52"/>
      <c r="AK10" s="52"/>
      <c r="AL10" s="52"/>
      <c r="AM10" s="52"/>
      <c r="AN10" s="54"/>
    </row>
    <row r="11" spans="1:40" x14ac:dyDescent="0.45">
      <c r="L11" s="3" t="s">
        <v>19</v>
      </c>
      <c r="M11" s="3"/>
      <c r="N11" s="2"/>
      <c r="O11" s="2">
        <v>8</v>
      </c>
      <c r="P11" s="2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 t="s">
        <v>20</v>
      </c>
      <c r="AI11" s="81" t="s">
        <v>64</v>
      </c>
      <c r="AJ11" s="81"/>
      <c r="AK11" s="81"/>
      <c r="AL11" s="81"/>
      <c r="AM11" s="81"/>
      <c r="AN11" s="54"/>
    </row>
    <row r="12" spans="1:40" x14ac:dyDescent="0.45">
      <c r="L12" s="3" t="s">
        <v>19</v>
      </c>
      <c r="M12" s="2">
        <v>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 t="s">
        <v>21</v>
      </c>
    </row>
    <row r="13" spans="1:40" x14ac:dyDescent="0.45">
      <c r="L13" s="3" t="s">
        <v>20</v>
      </c>
      <c r="M13" s="3"/>
      <c r="N13" s="3"/>
      <c r="O13" s="2">
        <v>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 t="s">
        <v>21</v>
      </c>
      <c r="AI13" s="100" t="s">
        <v>65</v>
      </c>
      <c r="AJ13" s="100"/>
      <c r="AK13" s="100"/>
      <c r="AL13" s="100"/>
      <c r="AM13" s="100"/>
      <c r="AN13" s="100"/>
    </row>
    <row r="14" spans="1:40" x14ac:dyDescent="0.45">
      <c r="AI14" s="2" t="s">
        <v>46</v>
      </c>
      <c r="AJ14" s="2" t="s">
        <v>0</v>
      </c>
      <c r="AK14" s="2" t="s">
        <v>19</v>
      </c>
      <c r="AL14" s="2" t="s">
        <v>20</v>
      </c>
      <c r="AM14" s="2" t="s">
        <v>21</v>
      </c>
      <c r="AN14" s="2" t="s">
        <v>63</v>
      </c>
    </row>
    <row r="15" spans="1:40" x14ac:dyDescent="0.45">
      <c r="L15" s="2" t="s">
        <v>46</v>
      </c>
      <c r="M15" s="81" t="s">
        <v>0</v>
      </c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2" t="s">
        <v>19</v>
      </c>
      <c r="AE15" s="2" t="s">
        <v>20</v>
      </c>
      <c r="AF15" s="2" t="s">
        <v>21</v>
      </c>
      <c r="AI15" s="2" t="s">
        <v>0</v>
      </c>
      <c r="AJ15" s="52"/>
      <c r="AK15" s="52"/>
      <c r="AL15" s="52"/>
      <c r="AM15" s="52"/>
      <c r="AN15" s="54"/>
    </row>
    <row r="16" spans="1:40" x14ac:dyDescent="0.45">
      <c r="L16" s="2" t="s">
        <v>0</v>
      </c>
      <c r="M16" s="104">
        <v>1</v>
      </c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52">
        <v>4</v>
      </c>
      <c r="AE16" s="52">
        <v>6</v>
      </c>
      <c r="AF16" s="52">
        <v>6</v>
      </c>
      <c r="AI16" s="2" t="s">
        <v>19</v>
      </c>
      <c r="AJ16" s="52"/>
      <c r="AK16" s="52"/>
      <c r="AL16" s="52"/>
      <c r="AM16" s="52"/>
      <c r="AN16" s="54"/>
    </row>
    <row r="17" spans="12:40" x14ac:dyDescent="0.45">
      <c r="L17" s="2" t="s">
        <v>19</v>
      </c>
      <c r="M17" s="98">
        <f>1/4</f>
        <v>0.25</v>
      </c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51">
        <v>1</v>
      </c>
      <c r="AE17" s="52">
        <v>8</v>
      </c>
      <c r="AF17" s="52">
        <v>9</v>
      </c>
      <c r="AI17" s="2" t="s">
        <v>20</v>
      </c>
      <c r="AJ17" s="52"/>
      <c r="AK17" s="52"/>
      <c r="AL17" s="52"/>
      <c r="AM17" s="52"/>
      <c r="AN17" s="54"/>
    </row>
    <row r="18" spans="12:40" x14ac:dyDescent="0.45">
      <c r="L18" s="2" t="s">
        <v>20</v>
      </c>
      <c r="M18" s="98">
        <v>0.16666666666666666</v>
      </c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52">
        <f>1/8</f>
        <v>0.125</v>
      </c>
      <c r="AE18" s="51">
        <v>1</v>
      </c>
      <c r="AF18" s="52">
        <v>7</v>
      </c>
      <c r="AI18" s="2" t="s">
        <v>21</v>
      </c>
      <c r="AJ18" s="52"/>
      <c r="AK18" s="52"/>
      <c r="AL18" s="52"/>
      <c r="AM18" s="52"/>
      <c r="AN18" s="54"/>
    </row>
    <row r="19" spans="12:40" x14ac:dyDescent="0.45">
      <c r="L19" s="2" t="s">
        <v>21</v>
      </c>
      <c r="M19" s="98">
        <f>1/6</f>
        <v>0.16666666666666666</v>
      </c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52">
        <f>1/9</f>
        <v>0.1111111111111111</v>
      </c>
      <c r="AE19" s="52">
        <f>1/7</f>
        <v>0.14285714285714285</v>
      </c>
      <c r="AF19" s="51">
        <v>1</v>
      </c>
      <c r="AI19" s="81" t="s">
        <v>64</v>
      </c>
      <c r="AJ19" s="81"/>
      <c r="AK19" s="81"/>
      <c r="AL19" s="81"/>
      <c r="AM19" s="81"/>
      <c r="AN19" s="54"/>
    </row>
    <row r="20" spans="12:40" x14ac:dyDescent="0.45">
      <c r="L20" s="3"/>
      <c r="M20" s="98">
        <f>SUM(M16:AC19)</f>
        <v>1.5833333333333335</v>
      </c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52">
        <f>SUM(AD16:AD19)</f>
        <v>5.2361111111111107</v>
      </c>
      <c r="AE20" s="52">
        <f t="shared" ref="AE20:AF20" si="0">SUM(AE16:AE19)</f>
        <v>15.142857142857142</v>
      </c>
      <c r="AF20" s="52">
        <f t="shared" si="0"/>
        <v>23</v>
      </c>
    </row>
    <row r="22" spans="12:40" x14ac:dyDescent="0.45">
      <c r="L22" s="101" t="s">
        <v>59</v>
      </c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3"/>
    </row>
    <row r="23" spans="12:40" x14ac:dyDescent="0.45">
      <c r="L23" s="80" t="s">
        <v>53</v>
      </c>
      <c r="M23" s="81" t="s">
        <v>56</v>
      </c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0" t="s">
        <v>54</v>
      </c>
    </row>
    <row r="24" spans="12:40" x14ac:dyDescent="0.45">
      <c r="L24" s="80"/>
      <c r="M24" s="2">
        <v>9</v>
      </c>
      <c r="N24" s="2">
        <v>8</v>
      </c>
      <c r="O24" s="2">
        <v>7</v>
      </c>
      <c r="P24" s="2">
        <v>6</v>
      </c>
      <c r="Q24" s="2">
        <v>5</v>
      </c>
      <c r="R24" s="2">
        <v>4</v>
      </c>
      <c r="S24" s="2">
        <v>3</v>
      </c>
      <c r="T24" s="2">
        <v>2</v>
      </c>
      <c r="U24" s="2">
        <v>1</v>
      </c>
      <c r="V24" s="2">
        <v>2</v>
      </c>
      <c r="W24" s="2">
        <v>3</v>
      </c>
      <c r="X24" s="2">
        <v>4</v>
      </c>
      <c r="Y24" s="2">
        <v>5</v>
      </c>
      <c r="Z24" s="2">
        <v>6</v>
      </c>
      <c r="AA24" s="2">
        <v>7</v>
      </c>
      <c r="AB24" s="2">
        <v>8</v>
      </c>
      <c r="AC24" s="2">
        <v>9</v>
      </c>
      <c r="AD24" s="80"/>
    </row>
    <row r="25" spans="12:40" x14ac:dyDescent="0.45">
      <c r="L25" s="3" t="s">
        <v>0</v>
      </c>
      <c r="M25" s="2">
        <v>9</v>
      </c>
      <c r="N25" s="3"/>
      <c r="O25" s="3"/>
      <c r="P25" s="3"/>
      <c r="Q25" s="3"/>
      <c r="R25" s="2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 t="s">
        <v>19</v>
      </c>
    </row>
    <row r="26" spans="12:40" x14ac:dyDescent="0.45">
      <c r="L26" s="3" t="s">
        <v>0</v>
      </c>
      <c r="M26" s="2">
        <v>9</v>
      </c>
      <c r="N26" s="3"/>
      <c r="O26" s="3"/>
      <c r="P26" s="2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 t="s">
        <v>20</v>
      </c>
    </row>
    <row r="27" spans="12:40" x14ac:dyDescent="0.45">
      <c r="L27" s="3" t="s">
        <v>0</v>
      </c>
      <c r="M27" s="2">
        <v>9</v>
      </c>
      <c r="N27" s="3"/>
      <c r="O27" s="3"/>
      <c r="P27" s="2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 t="s">
        <v>21</v>
      </c>
    </row>
    <row r="28" spans="12:40" x14ac:dyDescent="0.45">
      <c r="L28" s="3" t="s">
        <v>19</v>
      </c>
      <c r="M28" s="3"/>
      <c r="N28" s="2"/>
      <c r="O28" s="3"/>
      <c r="P28" s="3"/>
      <c r="Q28" s="3"/>
      <c r="R28" s="3"/>
      <c r="S28" s="2">
        <v>3</v>
      </c>
      <c r="T28" s="3"/>
      <c r="U28" s="3"/>
      <c r="V28" s="3"/>
      <c r="W28" s="3"/>
      <c r="X28" s="3"/>
      <c r="Y28" s="3"/>
      <c r="Z28" s="3"/>
      <c r="AA28" s="3"/>
      <c r="AB28" s="3"/>
      <c r="AC28" s="2"/>
      <c r="AD28" s="3" t="s">
        <v>20</v>
      </c>
      <c r="AJ28" s="55"/>
    </row>
    <row r="29" spans="12:40" x14ac:dyDescent="0.45">
      <c r="L29" s="3" t="s">
        <v>19</v>
      </c>
      <c r="M29" s="2"/>
      <c r="N29" s="3"/>
      <c r="O29" s="3"/>
      <c r="P29" s="3"/>
      <c r="Q29" s="2">
        <v>5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D29" s="3" t="s">
        <v>21</v>
      </c>
    </row>
    <row r="30" spans="12:40" x14ac:dyDescent="0.45">
      <c r="L30" s="3" t="s">
        <v>20</v>
      </c>
      <c r="M30" s="2"/>
      <c r="N30" s="3"/>
      <c r="O30" s="2"/>
      <c r="P30" s="3"/>
      <c r="Q30" s="3"/>
      <c r="R30" s="3"/>
      <c r="S30" s="2">
        <v>3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 t="s">
        <v>21</v>
      </c>
    </row>
    <row r="32" spans="12:40" x14ac:dyDescent="0.45">
      <c r="L32" s="2" t="s">
        <v>46</v>
      </c>
      <c r="M32" s="82" t="s">
        <v>0</v>
      </c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4"/>
      <c r="AD32" s="2" t="s">
        <v>19</v>
      </c>
      <c r="AE32" s="2" t="s">
        <v>20</v>
      </c>
      <c r="AF32" s="2" t="s">
        <v>21</v>
      </c>
    </row>
    <row r="33" spans="12:32" x14ac:dyDescent="0.45">
      <c r="L33" s="2" t="s">
        <v>0</v>
      </c>
      <c r="M33" s="110">
        <v>1</v>
      </c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2"/>
      <c r="AD33" s="52">
        <v>9</v>
      </c>
      <c r="AE33" s="52">
        <v>9</v>
      </c>
      <c r="AF33" s="52">
        <v>9</v>
      </c>
    </row>
    <row r="34" spans="12:32" x14ac:dyDescent="0.45">
      <c r="L34" s="2" t="s">
        <v>19</v>
      </c>
      <c r="M34" s="105">
        <f>1/9</f>
        <v>0.1111111111111111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7"/>
      <c r="AD34" s="51">
        <v>1</v>
      </c>
      <c r="AE34" s="52">
        <v>3</v>
      </c>
      <c r="AF34" s="52">
        <v>5</v>
      </c>
    </row>
    <row r="35" spans="12:32" x14ac:dyDescent="0.45">
      <c r="L35" s="2" t="s">
        <v>20</v>
      </c>
      <c r="M35" s="105">
        <f>1/9</f>
        <v>0.1111111111111111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7"/>
      <c r="AD35" s="52">
        <f>1/3</f>
        <v>0.33333333333333331</v>
      </c>
      <c r="AE35" s="51">
        <v>1</v>
      </c>
      <c r="AF35" s="52">
        <v>3</v>
      </c>
    </row>
    <row r="36" spans="12:32" x14ac:dyDescent="0.45">
      <c r="L36" s="2" t="s">
        <v>21</v>
      </c>
      <c r="M36" s="105">
        <f>1/9</f>
        <v>0.1111111111111111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7"/>
      <c r="AD36" s="52">
        <f>1/5</f>
        <v>0.2</v>
      </c>
      <c r="AE36" s="52">
        <f>1/3</f>
        <v>0.33333333333333331</v>
      </c>
      <c r="AF36" s="51">
        <v>1</v>
      </c>
    </row>
    <row r="37" spans="12:32" x14ac:dyDescent="0.45">
      <c r="L37" s="3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3"/>
      <c r="AE37" s="3"/>
      <c r="AF37" s="3"/>
    </row>
    <row r="39" spans="12:32" x14ac:dyDescent="0.45">
      <c r="L39" s="101" t="s">
        <v>60</v>
      </c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3"/>
    </row>
    <row r="40" spans="12:32" x14ac:dyDescent="0.45">
      <c r="L40" s="80" t="s">
        <v>53</v>
      </c>
      <c r="M40" s="81" t="s">
        <v>56</v>
      </c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0" t="s">
        <v>54</v>
      </c>
    </row>
    <row r="41" spans="12:32" x14ac:dyDescent="0.45">
      <c r="L41" s="80"/>
      <c r="M41" s="2">
        <v>9</v>
      </c>
      <c r="N41" s="2">
        <v>8</v>
      </c>
      <c r="O41" s="2">
        <v>7</v>
      </c>
      <c r="P41" s="2">
        <v>6</v>
      </c>
      <c r="Q41" s="2">
        <v>5</v>
      </c>
      <c r="R41" s="2">
        <v>4</v>
      </c>
      <c r="S41" s="2">
        <v>3</v>
      </c>
      <c r="T41" s="2">
        <v>2</v>
      </c>
      <c r="U41" s="2">
        <v>1</v>
      </c>
      <c r="V41" s="2">
        <v>2</v>
      </c>
      <c r="W41" s="2">
        <v>3</v>
      </c>
      <c r="X41" s="2">
        <v>4</v>
      </c>
      <c r="Y41" s="2">
        <v>5</v>
      </c>
      <c r="Z41" s="2">
        <v>6</v>
      </c>
      <c r="AA41" s="2">
        <v>7</v>
      </c>
      <c r="AB41" s="2">
        <v>8</v>
      </c>
      <c r="AC41" s="2">
        <v>9</v>
      </c>
      <c r="AD41" s="80"/>
    </row>
    <row r="42" spans="12:32" x14ac:dyDescent="0.45">
      <c r="L42" s="3" t="s">
        <v>0</v>
      </c>
      <c r="M42" s="2"/>
      <c r="N42" s="3"/>
      <c r="O42" s="3"/>
      <c r="P42" s="3"/>
      <c r="Q42" s="3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 t="s">
        <v>19</v>
      </c>
    </row>
    <row r="43" spans="12:32" x14ac:dyDescent="0.45">
      <c r="L43" s="3" t="s">
        <v>0</v>
      </c>
      <c r="M43" s="2"/>
      <c r="N43" s="3"/>
      <c r="O43" s="3"/>
      <c r="P43" s="2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 t="s">
        <v>20</v>
      </c>
    </row>
    <row r="44" spans="12:32" x14ac:dyDescent="0.45">
      <c r="L44" s="3" t="s">
        <v>0</v>
      </c>
      <c r="M44" s="2"/>
      <c r="N44" s="3"/>
      <c r="O44" s="3"/>
      <c r="P44" s="2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 t="s">
        <v>21</v>
      </c>
    </row>
    <row r="45" spans="12:32" x14ac:dyDescent="0.45">
      <c r="L45" s="3" t="s">
        <v>19</v>
      </c>
      <c r="M45" s="3"/>
      <c r="N45" s="2"/>
      <c r="O45" s="3"/>
      <c r="P45" s="3"/>
      <c r="Q45" s="3"/>
      <c r="R45" s="3"/>
      <c r="S45" s="2"/>
      <c r="T45" s="3"/>
      <c r="U45" s="3"/>
      <c r="V45" s="3"/>
      <c r="W45" s="3"/>
      <c r="X45" s="3"/>
      <c r="Y45" s="3"/>
      <c r="Z45" s="3"/>
      <c r="AA45" s="3"/>
      <c r="AB45" s="3"/>
      <c r="AC45" s="2"/>
      <c r="AD45" s="3" t="s">
        <v>20</v>
      </c>
    </row>
    <row r="46" spans="12:32" x14ac:dyDescent="0.45">
      <c r="L46" s="3" t="s">
        <v>19</v>
      </c>
      <c r="M46" s="2"/>
      <c r="N46" s="3"/>
      <c r="O46" s="3"/>
      <c r="P46" s="3"/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D46" s="3" t="s">
        <v>21</v>
      </c>
    </row>
    <row r="47" spans="12:32" x14ac:dyDescent="0.45">
      <c r="L47" s="3" t="s">
        <v>20</v>
      </c>
      <c r="M47" s="2"/>
      <c r="N47" s="3"/>
      <c r="O47" s="2"/>
      <c r="P47" s="3"/>
      <c r="Q47" s="3"/>
      <c r="R47" s="3"/>
      <c r="S47" s="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 t="s">
        <v>21</v>
      </c>
    </row>
    <row r="49" spans="12:32" x14ac:dyDescent="0.45">
      <c r="L49" s="2" t="s">
        <v>46</v>
      </c>
      <c r="M49" s="82" t="s">
        <v>0</v>
      </c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4"/>
      <c r="AD49" s="2" t="s">
        <v>19</v>
      </c>
      <c r="AE49" s="2" t="s">
        <v>20</v>
      </c>
      <c r="AF49" s="2" t="s">
        <v>21</v>
      </c>
    </row>
    <row r="50" spans="12:32" x14ac:dyDescent="0.45">
      <c r="L50" s="2" t="s">
        <v>0</v>
      </c>
      <c r="M50" s="110">
        <v>1</v>
      </c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2"/>
      <c r="AD50" s="52">
        <v>1</v>
      </c>
      <c r="AE50" s="52">
        <v>1</v>
      </c>
      <c r="AF50" s="52">
        <v>1</v>
      </c>
    </row>
    <row r="51" spans="12:32" x14ac:dyDescent="0.45">
      <c r="L51" s="2" t="s">
        <v>19</v>
      </c>
      <c r="M51" s="105">
        <v>1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7"/>
      <c r="AD51" s="51">
        <v>1</v>
      </c>
      <c r="AE51" s="52">
        <v>1</v>
      </c>
      <c r="AF51" s="52">
        <v>1</v>
      </c>
    </row>
    <row r="52" spans="12:32" x14ac:dyDescent="0.45">
      <c r="L52" s="2" t="s">
        <v>20</v>
      </c>
      <c r="M52" s="105">
        <v>1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7"/>
      <c r="AD52" s="52">
        <v>1</v>
      </c>
      <c r="AE52" s="51">
        <v>1</v>
      </c>
      <c r="AF52" s="52">
        <v>1</v>
      </c>
    </row>
    <row r="53" spans="12:32" x14ac:dyDescent="0.45">
      <c r="L53" s="2" t="s">
        <v>21</v>
      </c>
      <c r="M53" s="105">
        <v>1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7"/>
      <c r="AD53" s="52">
        <v>1</v>
      </c>
      <c r="AE53" s="52">
        <v>1</v>
      </c>
      <c r="AF53" s="51">
        <v>1</v>
      </c>
    </row>
  </sheetData>
  <mergeCells count="44">
    <mergeCell ref="A2:A3"/>
    <mergeCell ref="B6:E6"/>
    <mergeCell ref="B5:E5"/>
    <mergeCell ref="B7:E7"/>
    <mergeCell ref="B8:E8"/>
    <mergeCell ref="B9:E9"/>
    <mergeCell ref="K2:K3"/>
    <mergeCell ref="B2:I3"/>
    <mergeCell ref="L2:AD3"/>
    <mergeCell ref="M6:AC6"/>
    <mergeCell ref="AD6:AD7"/>
    <mergeCell ref="L6:L7"/>
    <mergeCell ref="L5:AD5"/>
    <mergeCell ref="M53:AC53"/>
    <mergeCell ref="AH2:AH3"/>
    <mergeCell ref="AI2:AJ3"/>
    <mergeCell ref="AI5:AN5"/>
    <mergeCell ref="AD23:AD24"/>
    <mergeCell ref="M40:AC40"/>
    <mergeCell ref="M49:AC49"/>
    <mergeCell ref="M50:AC50"/>
    <mergeCell ref="M51:AC51"/>
    <mergeCell ref="M52:AC52"/>
    <mergeCell ref="L39:AD39"/>
    <mergeCell ref="M32:AC32"/>
    <mergeCell ref="M33:AC33"/>
    <mergeCell ref="M34:AC34"/>
    <mergeCell ref="M35:AC35"/>
    <mergeCell ref="M36:AC36"/>
    <mergeCell ref="L40:L41"/>
    <mergeCell ref="AD40:AD41"/>
    <mergeCell ref="M20:AC20"/>
    <mergeCell ref="M37:AC37"/>
    <mergeCell ref="AI11:AM11"/>
    <mergeCell ref="AI13:AN13"/>
    <mergeCell ref="AI19:AM19"/>
    <mergeCell ref="M19:AC19"/>
    <mergeCell ref="L22:AD22"/>
    <mergeCell ref="M23:AC23"/>
    <mergeCell ref="L23:L24"/>
    <mergeCell ref="M15:AC15"/>
    <mergeCell ref="M16:AC16"/>
    <mergeCell ref="M17:AC17"/>
    <mergeCell ref="M18:AC18"/>
  </mergeCells>
  <hyperlinks>
    <hyperlink ref="AF2" r:id="rId1" xr:uid="{2C281E94-297C-3446-A660-613509D09968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9B9A-BA57-F443-9E0B-86DE33F957F2}">
  <dimension ref="B1:AK329"/>
  <sheetViews>
    <sheetView topLeftCell="A193" zoomScale="40" zoomScaleNormal="40" workbookViewId="0">
      <selection activeCell="V35" sqref="V35"/>
    </sheetView>
  </sheetViews>
  <sheetFormatPr defaultColWidth="10.8125" defaultRowHeight="15.75" x14ac:dyDescent="0.5"/>
  <cols>
    <col min="1" max="1" width="10.8125" style="1"/>
    <col min="2" max="2" width="27.1875" bestFit="1" customWidth="1"/>
    <col min="3" max="19" width="2.1875" bestFit="1" customWidth="1"/>
    <col min="20" max="20" width="27.1875" bestFit="1" customWidth="1"/>
    <col min="21" max="21" width="10.8125" style="1"/>
    <col min="22" max="22" width="38.1875" style="1" bestFit="1" customWidth="1"/>
    <col min="23" max="24" width="25.8125" style="1" bestFit="1" customWidth="1"/>
    <col min="25" max="26" width="27.1875" style="1" bestFit="1" customWidth="1"/>
    <col min="27" max="29" width="19.5" style="1" bestFit="1" customWidth="1"/>
    <col min="30" max="31" width="15" style="1" bestFit="1" customWidth="1"/>
    <col min="32" max="32" width="22.3125" style="1" bestFit="1" customWidth="1"/>
    <col min="33" max="33" width="18.6875" style="1" bestFit="1" customWidth="1"/>
    <col min="34" max="34" width="22.6875" style="1" bestFit="1" customWidth="1"/>
    <col min="35" max="36" width="17.1875" style="1" bestFit="1" customWidth="1"/>
    <col min="37" max="37" width="18.3125" style="1" bestFit="1" customWidth="1"/>
    <col min="38" max="16384" width="10.8125" style="1"/>
  </cols>
  <sheetData>
    <row r="1" spans="2:37" ht="15.4" x14ac:dyDescent="0.45">
      <c r="B1" s="82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</row>
    <row r="2" spans="2:37" ht="15.4" x14ac:dyDescent="0.45">
      <c r="B2" s="85" t="s">
        <v>22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93"/>
    </row>
    <row r="3" spans="2:37" ht="15.4" x14ac:dyDescent="0.45">
      <c r="B3" s="80" t="s">
        <v>1</v>
      </c>
      <c r="C3" s="81" t="s">
        <v>2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0" t="s">
        <v>3</v>
      </c>
    </row>
    <row r="4" spans="2:37" ht="15.4" x14ac:dyDescent="0.45">
      <c r="B4" s="80"/>
      <c r="C4" s="3">
        <v>9</v>
      </c>
      <c r="D4" s="3">
        <v>8</v>
      </c>
      <c r="E4" s="3">
        <v>7</v>
      </c>
      <c r="F4" s="3">
        <v>6</v>
      </c>
      <c r="G4" s="3">
        <v>5</v>
      </c>
      <c r="H4" s="3">
        <v>4</v>
      </c>
      <c r="I4" s="3">
        <v>3</v>
      </c>
      <c r="J4" s="3">
        <v>2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80"/>
    </row>
    <row r="5" spans="2:37" ht="15.4" x14ac:dyDescent="0.4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5">
        <v>1</v>
      </c>
      <c r="L5" s="5">
        <v>2</v>
      </c>
      <c r="M5" s="58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63" t="s">
        <v>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ht="15.4" x14ac:dyDescent="0.4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59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2" t="s">
        <v>4</v>
      </c>
      <c r="W6" s="3">
        <v>1</v>
      </c>
      <c r="X6" s="3">
        <f>1/3</f>
        <v>0.33333333333333331</v>
      </c>
      <c r="Y6" s="3">
        <v>3</v>
      </c>
      <c r="Z6" s="3">
        <v>3</v>
      </c>
      <c r="AA6" s="3">
        <v>4</v>
      </c>
      <c r="AB6" s="3">
        <v>4</v>
      </c>
      <c r="AC6" s="3">
        <f>1/4</f>
        <v>0.25</v>
      </c>
      <c r="AD6" s="3">
        <f>1/5</f>
        <v>0.2</v>
      </c>
      <c r="AE6" s="3">
        <f>1/5</f>
        <v>0.2</v>
      </c>
      <c r="AF6" s="3">
        <f>1/5</f>
        <v>0.2</v>
      </c>
      <c r="AG6" s="3">
        <f>1/7</f>
        <v>0.14285714285714285</v>
      </c>
      <c r="AH6" s="3">
        <f>1/3</f>
        <v>0.33333333333333331</v>
      </c>
      <c r="AI6" s="3">
        <f>1/6</f>
        <v>0.16666666666666666</v>
      </c>
      <c r="AJ6" s="3">
        <f>1/6</f>
        <v>0.16666666666666666</v>
      </c>
      <c r="AK6" s="3">
        <f>1/5</f>
        <v>0.2</v>
      </c>
    </row>
    <row r="7" spans="2:37" ht="15.4" x14ac:dyDescent="0.4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59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2" t="s">
        <v>5</v>
      </c>
      <c r="W7" s="3">
        <f>1/X6</f>
        <v>3</v>
      </c>
      <c r="X7" s="3">
        <v>1</v>
      </c>
      <c r="Y7" s="3">
        <f>1/2</f>
        <v>0.5</v>
      </c>
      <c r="Z7" s="3">
        <v>3</v>
      </c>
      <c r="AA7" s="3">
        <v>3</v>
      </c>
      <c r="AB7" s="3">
        <v>3</v>
      </c>
      <c r="AC7" s="3">
        <f>1/2</f>
        <v>0.5</v>
      </c>
      <c r="AD7" s="3">
        <f>1/2</f>
        <v>0.5</v>
      </c>
      <c r="AE7" s="3">
        <f>1/2</f>
        <v>0.5</v>
      </c>
      <c r="AF7" s="3">
        <f>1/2</f>
        <v>0.5</v>
      </c>
      <c r="AG7" s="3">
        <f>1/5</f>
        <v>0.2</v>
      </c>
      <c r="AH7" s="3">
        <v>2</v>
      </c>
      <c r="AI7" s="3">
        <f>1/4</f>
        <v>0.25</v>
      </c>
      <c r="AJ7" s="3">
        <f>1/3</f>
        <v>0.33333333333333331</v>
      </c>
      <c r="AK7" s="3">
        <v>3</v>
      </c>
    </row>
    <row r="8" spans="2:37" ht="15.4" x14ac:dyDescent="0.4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59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2" t="s">
        <v>6</v>
      </c>
      <c r="W8" s="3">
        <f>1/Y6</f>
        <v>0.33333333333333331</v>
      </c>
      <c r="X8" s="3">
        <f>1/Y7</f>
        <v>2</v>
      </c>
      <c r="Y8" s="3">
        <v>1</v>
      </c>
      <c r="Z8" s="3">
        <v>4</v>
      </c>
      <c r="AA8" s="3">
        <v>4</v>
      </c>
      <c r="AB8" s="3">
        <v>3</v>
      </c>
      <c r="AC8" s="3">
        <f>1/3</f>
        <v>0.33333333333333331</v>
      </c>
      <c r="AD8" s="3">
        <v>1</v>
      </c>
      <c r="AE8" s="3">
        <v>3</v>
      </c>
      <c r="AF8" s="3">
        <v>1</v>
      </c>
      <c r="AG8" s="3">
        <f>1/3</f>
        <v>0.33333333333333331</v>
      </c>
      <c r="AH8" s="3">
        <v>2</v>
      </c>
      <c r="AI8" s="3">
        <v>1</v>
      </c>
      <c r="AJ8" s="3">
        <f>1/3</f>
        <v>0.33333333333333331</v>
      </c>
      <c r="AK8" s="3">
        <f>1/4</f>
        <v>0.25</v>
      </c>
    </row>
    <row r="9" spans="2:37" ht="15.4" x14ac:dyDescent="0.4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59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2" t="s">
        <v>7</v>
      </c>
      <c r="W9" s="3">
        <f>1/Z6</f>
        <v>0.33333333333333331</v>
      </c>
      <c r="X9" s="3">
        <f>1/Z7</f>
        <v>0.33333333333333331</v>
      </c>
      <c r="Y9" s="3">
        <f>1/Z8</f>
        <v>0.25</v>
      </c>
      <c r="Z9" s="3">
        <v>1</v>
      </c>
      <c r="AA9" s="3">
        <v>2</v>
      </c>
      <c r="AB9" s="3">
        <v>2</v>
      </c>
      <c r="AC9" s="3">
        <f>1/3</f>
        <v>0.33333333333333331</v>
      </c>
      <c r="AD9" s="3">
        <f>1/4</f>
        <v>0.25</v>
      </c>
      <c r="AE9" s="3">
        <f>1/4</f>
        <v>0.25</v>
      </c>
      <c r="AF9" s="3">
        <f>1/3</f>
        <v>0.33333333333333331</v>
      </c>
      <c r="AG9" s="3">
        <f>1/7</f>
        <v>0.14285714285714285</v>
      </c>
      <c r="AH9" s="3">
        <f>1/3</f>
        <v>0.33333333333333331</v>
      </c>
      <c r="AI9" s="3">
        <f>1/6</f>
        <v>0.16666666666666666</v>
      </c>
      <c r="AJ9" s="3">
        <f>1/5</f>
        <v>0.2</v>
      </c>
      <c r="AK9" s="3">
        <f>1/3</f>
        <v>0.33333333333333331</v>
      </c>
    </row>
    <row r="10" spans="2:37" ht="15.4" x14ac:dyDescent="0.4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1">
        <v>1</v>
      </c>
      <c r="L10" s="1">
        <v>2</v>
      </c>
      <c r="M10" s="1">
        <v>3</v>
      </c>
      <c r="N10" s="59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2" t="s">
        <v>8</v>
      </c>
      <c r="W10" s="3">
        <f>1/AA6</f>
        <v>0.25</v>
      </c>
      <c r="X10" s="3">
        <f>1/AA7</f>
        <v>0.33333333333333331</v>
      </c>
      <c r="Y10" s="3">
        <f>1/AA8</f>
        <v>0.25</v>
      </c>
      <c r="Z10" s="3">
        <f>1/AA9</f>
        <v>0.5</v>
      </c>
      <c r="AA10" s="3">
        <v>1</v>
      </c>
      <c r="AB10" s="3">
        <v>2</v>
      </c>
      <c r="AC10" s="3">
        <f>1/4</f>
        <v>0.25</v>
      </c>
      <c r="AD10" s="3">
        <f>1/5</f>
        <v>0.2</v>
      </c>
      <c r="AE10" s="3">
        <f>1/5</f>
        <v>0.2</v>
      </c>
      <c r="AF10" s="3">
        <f>1/5</f>
        <v>0.2</v>
      </c>
      <c r="AG10" s="3">
        <f>1/7</f>
        <v>0.14285714285714285</v>
      </c>
      <c r="AH10" s="3">
        <f>1/4</f>
        <v>0.25</v>
      </c>
      <c r="AI10" s="3">
        <f>1/6</f>
        <v>0.16666666666666666</v>
      </c>
      <c r="AJ10" s="3">
        <f>1/5</f>
        <v>0.2</v>
      </c>
      <c r="AK10" s="3">
        <f>1/6</f>
        <v>0.16666666666666666</v>
      </c>
    </row>
    <row r="11" spans="2:37" ht="15.4" x14ac:dyDescent="0.4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59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2" t="s">
        <v>9</v>
      </c>
      <c r="W11" s="3">
        <f>1/AB6</f>
        <v>0.25</v>
      </c>
      <c r="X11" s="3">
        <f>1/AB7</f>
        <v>0.33333333333333331</v>
      </c>
      <c r="Y11" s="3">
        <f>1/AB8</f>
        <v>0.33333333333333331</v>
      </c>
      <c r="Z11" s="3">
        <f>1/AB9</f>
        <v>0.5</v>
      </c>
      <c r="AA11" s="3">
        <f>1/AB10</f>
        <v>0.5</v>
      </c>
      <c r="AB11" s="3">
        <v>1</v>
      </c>
      <c r="AC11" s="3">
        <f>1/3</f>
        <v>0.33333333333333331</v>
      </c>
      <c r="AD11" s="3">
        <f>1/5</f>
        <v>0.2</v>
      </c>
      <c r="AE11" s="3">
        <f>1/5</f>
        <v>0.2</v>
      </c>
      <c r="AF11" s="3">
        <f>1/7</f>
        <v>0.14285714285714285</v>
      </c>
      <c r="AG11" s="3">
        <f>1/8</f>
        <v>0.125</v>
      </c>
      <c r="AH11" s="3">
        <f>1/5</f>
        <v>0.2</v>
      </c>
      <c r="AI11" s="3">
        <f>1/8</f>
        <v>0.125</v>
      </c>
      <c r="AJ11" s="3">
        <f>1/7</f>
        <v>0.14285714285714285</v>
      </c>
      <c r="AK11" s="3">
        <f>1/7</f>
        <v>0.14285714285714285</v>
      </c>
    </row>
    <row r="12" spans="2:37" ht="15.4" x14ac:dyDescent="0.4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59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2" t="s">
        <v>10</v>
      </c>
      <c r="W12" s="3">
        <f>1/AC6</f>
        <v>4</v>
      </c>
      <c r="X12" s="3">
        <f>1/AC7</f>
        <v>2</v>
      </c>
      <c r="Y12" s="3">
        <f>1/AC8</f>
        <v>3</v>
      </c>
      <c r="Z12" s="3">
        <f>1/AC9</f>
        <v>3</v>
      </c>
      <c r="AA12" s="3">
        <f>1/AC10</f>
        <v>4</v>
      </c>
      <c r="AB12" s="3">
        <f>1/AC11</f>
        <v>3</v>
      </c>
      <c r="AC12" s="3">
        <v>1</v>
      </c>
      <c r="AD12" s="3">
        <f>1/6</f>
        <v>0.16666666666666666</v>
      </c>
      <c r="AE12" s="3">
        <f>1/6</f>
        <v>0.16666666666666666</v>
      </c>
      <c r="AF12" s="3">
        <f>1/6</f>
        <v>0.16666666666666666</v>
      </c>
      <c r="AG12" s="3">
        <f>1/7</f>
        <v>0.14285714285714285</v>
      </c>
      <c r="AH12" s="3">
        <v>3</v>
      </c>
      <c r="AI12" s="3">
        <f>1/6</f>
        <v>0.16666666666666666</v>
      </c>
      <c r="AJ12" s="3">
        <f>1/3</f>
        <v>0.33333333333333331</v>
      </c>
      <c r="AK12" s="3">
        <v>3</v>
      </c>
    </row>
    <row r="13" spans="2:37" ht="15.4" x14ac:dyDescent="0.4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59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2" t="s">
        <v>11</v>
      </c>
      <c r="W13" s="3">
        <f>1/AD6</f>
        <v>5</v>
      </c>
      <c r="X13" s="3">
        <f>1/AD7</f>
        <v>2</v>
      </c>
      <c r="Y13" s="3">
        <f>1/AD8</f>
        <v>1</v>
      </c>
      <c r="Z13" s="3">
        <f>1/AD9</f>
        <v>4</v>
      </c>
      <c r="AA13" s="3">
        <f>1/AD10</f>
        <v>5</v>
      </c>
      <c r="AB13" s="3">
        <f>1/AD11</f>
        <v>5</v>
      </c>
      <c r="AC13" s="3">
        <f>1/AD12</f>
        <v>6</v>
      </c>
      <c r="AD13" s="3">
        <v>1</v>
      </c>
      <c r="AE13" s="3">
        <f>1/2</f>
        <v>0.5</v>
      </c>
      <c r="AF13" s="3">
        <v>2</v>
      </c>
      <c r="AG13" s="3">
        <f>1/4</f>
        <v>0.25</v>
      </c>
      <c r="AH13" s="3">
        <v>2</v>
      </c>
      <c r="AI13" s="3">
        <f>1/4</f>
        <v>0.25</v>
      </c>
      <c r="AJ13" s="3">
        <f>1/2</f>
        <v>0.5</v>
      </c>
      <c r="AK13" s="3">
        <v>3</v>
      </c>
    </row>
    <row r="14" spans="2:37" ht="15.4" x14ac:dyDescent="0.4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59">
        <v>7</v>
      </c>
      <c r="R14" s="1">
        <v>8</v>
      </c>
      <c r="S14" s="12">
        <v>9</v>
      </c>
      <c r="T14" s="12" t="s">
        <v>14</v>
      </c>
      <c r="V14" s="2" t="s">
        <v>12</v>
      </c>
      <c r="W14" s="3">
        <f>1/AE6</f>
        <v>5</v>
      </c>
      <c r="X14" s="3">
        <f>1/AE7</f>
        <v>2</v>
      </c>
      <c r="Y14" s="3">
        <f>1/AE8</f>
        <v>0.33333333333333331</v>
      </c>
      <c r="Z14" s="3">
        <f>1/AE9</f>
        <v>4</v>
      </c>
      <c r="AA14" s="3">
        <f>1/AE10</f>
        <v>5</v>
      </c>
      <c r="AB14" s="3">
        <f>1/AE11</f>
        <v>5</v>
      </c>
      <c r="AC14" s="3">
        <f>1/AE12</f>
        <v>6</v>
      </c>
      <c r="AD14" s="3">
        <f>1/AE13</f>
        <v>2</v>
      </c>
      <c r="AE14" s="3">
        <v>1</v>
      </c>
      <c r="AF14" s="3">
        <v>2</v>
      </c>
      <c r="AG14" s="3">
        <f>1/4</f>
        <v>0.25</v>
      </c>
      <c r="AH14" s="3">
        <v>2</v>
      </c>
      <c r="AI14" s="3">
        <f>1/3</f>
        <v>0.33333333333333331</v>
      </c>
      <c r="AJ14" s="3">
        <f>1/4</f>
        <v>0.25</v>
      </c>
      <c r="AK14" s="3">
        <v>3</v>
      </c>
    </row>
    <row r="15" spans="2:37" ht="15.4" x14ac:dyDescent="0.4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1">
        <v>1</v>
      </c>
      <c r="L15" s="1">
        <v>2</v>
      </c>
      <c r="M15" s="59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2" t="s">
        <v>13</v>
      </c>
      <c r="W15" s="3">
        <f>1/AF6</f>
        <v>5</v>
      </c>
      <c r="X15" s="3">
        <f>1/AF7</f>
        <v>2</v>
      </c>
      <c r="Y15" s="3">
        <f>1/AF8</f>
        <v>1</v>
      </c>
      <c r="Z15" s="3">
        <f>1/AF9</f>
        <v>3</v>
      </c>
      <c r="AA15" s="3">
        <f>1/AF10</f>
        <v>5</v>
      </c>
      <c r="AB15" s="3">
        <f>1/AF11</f>
        <v>7</v>
      </c>
      <c r="AC15" s="3">
        <f>1/AF12</f>
        <v>6</v>
      </c>
      <c r="AD15" s="3">
        <f>1/AF13</f>
        <v>0.5</v>
      </c>
      <c r="AE15" s="3">
        <f>1/AF14</f>
        <v>0.5</v>
      </c>
      <c r="AF15" s="3">
        <v>1</v>
      </c>
      <c r="AG15" s="3">
        <f>1/4</f>
        <v>0.25</v>
      </c>
      <c r="AH15" s="3">
        <v>2</v>
      </c>
      <c r="AI15" s="3">
        <f>1/3</f>
        <v>0.33333333333333331</v>
      </c>
      <c r="AJ15" s="3">
        <f>1/2</f>
        <v>0.5</v>
      </c>
      <c r="AK15" s="3">
        <v>3</v>
      </c>
    </row>
    <row r="16" spans="2:37" ht="15.4" x14ac:dyDescent="0.4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59">
        <v>6</v>
      </c>
      <c r="Q16" s="1">
        <v>7</v>
      </c>
      <c r="R16" s="1">
        <v>8</v>
      </c>
      <c r="S16" s="12">
        <v>9</v>
      </c>
      <c r="T16" s="12" t="s">
        <v>16</v>
      </c>
      <c r="V16" s="2" t="s">
        <v>14</v>
      </c>
      <c r="W16" s="3">
        <f>1/AG6</f>
        <v>7</v>
      </c>
      <c r="X16" s="3">
        <f>1/AG7</f>
        <v>5</v>
      </c>
      <c r="Y16" s="3">
        <f>1/AG8</f>
        <v>3</v>
      </c>
      <c r="Z16" s="3">
        <f>1/AG9</f>
        <v>7</v>
      </c>
      <c r="AA16" s="3">
        <f>1/AG10</f>
        <v>7</v>
      </c>
      <c r="AB16" s="3">
        <f>1/AG11</f>
        <v>8</v>
      </c>
      <c r="AC16" s="3">
        <f>1/AG12</f>
        <v>7</v>
      </c>
      <c r="AD16" s="3">
        <f>1/AG13</f>
        <v>4</v>
      </c>
      <c r="AE16" s="3">
        <f>1/AG14</f>
        <v>4</v>
      </c>
      <c r="AF16" s="3">
        <f>1/AG15</f>
        <v>4</v>
      </c>
      <c r="AG16" s="3">
        <v>1</v>
      </c>
      <c r="AH16" s="3">
        <v>5</v>
      </c>
      <c r="AI16" s="3">
        <v>2</v>
      </c>
      <c r="AJ16" s="3">
        <f>1/7</f>
        <v>0.14285714285714285</v>
      </c>
      <c r="AK16" s="3">
        <v>6</v>
      </c>
    </row>
    <row r="17" spans="2:37" ht="15.4" x14ac:dyDescent="0.4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1">
        <v>4</v>
      </c>
      <c r="O17" s="1">
        <v>5</v>
      </c>
      <c r="P17" s="59">
        <v>6</v>
      </c>
      <c r="Q17" s="1">
        <v>7</v>
      </c>
      <c r="R17" s="1">
        <v>8</v>
      </c>
      <c r="S17" s="12">
        <v>9</v>
      </c>
      <c r="T17" s="12" t="s">
        <v>17</v>
      </c>
      <c r="V17" s="2" t="s">
        <v>15</v>
      </c>
      <c r="W17" s="3">
        <f>1/AH6</f>
        <v>3</v>
      </c>
      <c r="X17" s="3">
        <f>1/AH7</f>
        <v>0.5</v>
      </c>
      <c r="Y17" s="3">
        <f>1/AH8</f>
        <v>0.5</v>
      </c>
      <c r="Z17" s="3">
        <f>1/AH9</f>
        <v>3</v>
      </c>
      <c r="AA17" s="3">
        <f>1/AH10</f>
        <v>4</v>
      </c>
      <c r="AB17" s="3">
        <f>1/AH11</f>
        <v>5</v>
      </c>
      <c r="AC17" s="3">
        <f>1/AH12</f>
        <v>0.33333333333333331</v>
      </c>
      <c r="AD17" s="3">
        <f>1/AH13</f>
        <v>0.5</v>
      </c>
      <c r="AE17" s="3">
        <f>1/AH14</f>
        <v>0.5</v>
      </c>
      <c r="AF17" s="3">
        <f>1/AH15</f>
        <v>0.5</v>
      </c>
      <c r="AG17" s="3">
        <f>1/AH16</f>
        <v>0.2</v>
      </c>
      <c r="AH17" s="3">
        <v>1</v>
      </c>
      <c r="AI17" s="3">
        <f>1/4</f>
        <v>0.25</v>
      </c>
      <c r="AJ17" s="3">
        <f>1/4</f>
        <v>0.25</v>
      </c>
      <c r="AK17" s="3">
        <v>1</v>
      </c>
    </row>
    <row r="18" spans="2:37" ht="15.4" x14ac:dyDescent="0.4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60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2" t="s">
        <v>16</v>
      </c>
      <c r="W18" s="3">
        <f>1/AI6</f>
        <v>6</v>
      </c>
      <c r="X18" s="3">
        <f>1/AI7</f>
        <v>4</v>
      </c>
      <c r="Y18" s="3">
        <f>1/AI8</f>
        <v>1</v>
      </c>
      <c r="Z18" s="3">
        <f>1/AI9</f>
        <v>6</v>
      </c>
      <c r="AA18" s="3">
        <f>1/AI10</f>
        <v>6</v>
      </c>
      <c r="AB18" s="3">
        <f>1/AI11</f>
        <v>8</v>
      </c>
      <c r="AC18" s="3">
        <f>1/AI12</f>
        <v>6</v>
      </c>
      <c r="AD18" s="3">
        <f>1/AI13</f>
        <v>4</v>
      </c>
      <c r="AE18" s="3">
        <f>1/AI14</f>
        <v>3</v>
      </c>
      <c r="AF18" s="3">
        <f>1/AI15</f>
        <v>3</v>
      </c>
      <c r="AG18" s="3">
        <f>1/AI16</f>
        <v>0.5</v>
      </c>
      <c r="AH18" s="3">
        <f>1/AI17</f>
        <v>4</v>
      </c>
      <c r="AI18" s="3">
        <v>1</v>
      </c>
      <c r="AJ18" s="3">
        <f>1/4</f>
        <v>0.25</v>
      </c>
      <c r="AK18" s="3">
        <v>6</v>
      </c>
    </row>
    <row r="19" spans="2:37" ht="15.4" x14ac:dyDescent="0.4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1">
        <v>1</v>
      </c>
      <c r="L19" s="59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" t="s">
        <v>17</v>
      </c>
      <c r="W19" s="3">
        <f>1/AJ6</f>
        <v>6</v>
      </c>
      <c r="X19" s="3">
        <f>1/AJ7</f>
        <v>3</v>
      </c>
      <c r="Y19" s="3">
        <f>1/AJ8</f>
        <v>3</v>
      </c>
      <c r="Z19" s="3">
        <f>1/AJ9</f>
        <v>5</v>
      </c>
      <c r="AA19" s="3">
        <f>1/AJ10</f>
        <v>5</v>
      </c>
      <c r="AB19" s="3">
        <f>1/AJ11</f>
        <v>7</v>
      </c>
      <c r="AC19" s="3">
        <f>1/AJ12</f>
        <v>3</v>
      </c>
      <c r="AD19" s="3">
        <f>1/AJ13</f>
        <v>2</v>
      </c>
      <c r="AE19" s="3">
        <f>1/AJ14</f>
        <v>4</v>
      </c>
      <c r="AF19" s="3">
        <f>1/AJ15</f>
        <v>2</v>
      </c>
      <c r="AG19" s="3">
        <f>1/AJ16</f>
        <v>7</v>
      </c>
      <c r="AH19" s="3">
        <f>1/AJ17</f>
        <v>4</v>
      </c>
      <c r="AI19" s="3">
        <f>1/AJ18</f>
        <v>4</v>
      </c>
      <c r="AJ19" s="3">
        <v>1</v>
      </c>
      <c r="AK19" s="3">
        <f>1/4</f>
        <v>0.25</v>
      </c>
    </row>
    <row r="20" spans="2:37" ht="15.4" x14ac:dyDescent="0.4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59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2" t="s">
        <v>18</v>
      </c>
      <c r="W20" s="3">
        <f>1/AK6</f>
        <v>5</v>
      </c>
      <c r="X20" s="3">
        <f>1/AK7</f>
        <v>0.33333333333333331</v>
      </c>
      <c r="Y20" s="3">
        <f>1/AK8</f>
        <v>4</v>
      </c>
      <c r="Z20" s="3">
        <f>1/AK9</f>
        <v>3</v>
      </c>
      <c r="AA20" s="3">
        <f>1/AK10</f>
        <v>6</v>
      </c>
      <c r="AB20" s="3">
        <f>1/AK11</f>
        <v>7</v>
      </c>
      <c r="AC20" s="3">
        <f>1/AK12</f>
        <v>0.33333333333333331</v>
      </c>
      <c r="AD20" s="3">
        <f>1/AK13</f>
        <v>0.33333333333333331</v>
      </c>
      <c r="AE20" s="3">
        <f>1/AK14</f>
        <v>0.33333333333333331</v>
      </c>
      <c r="AF20" s="3">
        <f>1/AK15</f>
        <v>0.33333333333333331</v>
      </c>
      <c r="AG20" s="3">
        <f>1/AK16</f>
        <v>0.16666666666666666</v>
      </c>
      <c r="AH20" s="3">
        <f>1/AK17</f>
        <v>1</v>
      </c>
      <c r="AI20" s="3">
        <f>1/AK18</f>
        <v>0.16666666666666666</v>
      </c>
      <c r="AJ20" s="3">
        <f>1/AK19</f>
        <v>4</v>
      </c>
      <c r="AK20" s="3">
        <v>1</v>
      </c>
    </row>
    <row r="21" spans="2:37" ht="15.4" x14ac:dyDescent="0.4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59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</row>
    <row r="22" spans="2:37" ht="15.4" x14ac:dyDescent="0.4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59">
        <v>3</v>
      </c>
      <c r="J22" s="1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</row>
    <row r="23" spans="2:37" ht="15.4" x14ac:dyDescent="0.4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59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</row>
    <row r="24" spans="2:37" ht="15.4" x14ac:dyDescent="0.4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59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</row>
    <row r="25" spans="2:37" ht="15.4" x14ac:dyDescent="0.4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59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</row>
    <row r="26" spans="2:37" ht="15.4" x14ac:dyDescent="0.4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59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</row>
    <row r="27" spans="2:37" ht="15.4" x14ac:dyDescent="0.4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59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</row>
    <row r="28" spans="2:37" ht="15.4" x14ac:dyDescent="0.4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59">
        <v>2</v>
      </c>
      <c r="K28" s="1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</row>
    <row r="29" spans="2:37" ht="15.4" x14ac:dyDescent="0.4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1">
        <v>3</v>
      </c>
      <c r="N29" s="59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</row>
    <row r="30" spans="2:37" ht="15.4" x14ac:dyDescent="0.4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1">
        <v>2</v>
      </c>
      <c r="M30" s="59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</row>
    <row r="31" spans="2:37" ht="15.4" x14ac:dyDescent="0.4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60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</row>
    <row r="32" spans="2:37" ht="15.4" x14ac:dyDescent="0.4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59">
        <v>4</v>
      </c>
      <c r="I32" s="18">
        <v>3</v>
      </c>
      <c r="J32" s="18">
        <v>2</v>
      </c>
      <c r="K32" s="18">
        <v>1</v>
      </c>
      <c r="L32" s="18">
        <v>2</v>
      </c>
      <c r="M32" s="18">
        <v>3</v>
      </c>
      <c r="N32" s="18">
        <v>4</v>
      </c>
      <c r="O32" s="18">
        <v>5</v>
      </c>
      <c r="P32" s="18">
        <v>6</v>
      </c>
      <c r="Q32" s="18">
        <v>7</v>
      </c>
      <c r="R32" s="1">
        <v>8</v>
      </c>
      <c r="S32" s="12">
        <v>9</v>
      </c>
      <c r="T32" s="12" t="s">
        <v>7</v>
      </c>
    </row>
    <row r="33" spans="2:20" ht="15.4" x14ac:dyDescent="0.45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59">
        <v>4</v>
      </c>
      <c r="I33" s="1">
        <v>3</v>
      </c>
      <c r="J33" s="18">
        <v>2</v>
      </c>
      <c r="K33" s="18">
        <v>1</v>
      </c>
      <c r="L33" s="18">
        <v>2</v>
      </c>
      <c r="M33" s="18">
        <v>3</v>
      </c>
      <c r="N33" s="18">
        <v>4</v>
      </c>
      <c r="O33" s="18">
        <v>5</v>
      </c>
      <c r="P33" s="18">
        <v>6</v>
      </c>
      <c r="Q33" s="18">
        <v>7</v>
      </c>
      <c r="R33" s="1">
        <v>8</v>
      </c>
      <c r="S33" s="12">
        <v>9</v>
      </c>
      <c r="T33" s="12" t="s">
        <v>8</v>
      </c>
    </row>
    <row r="34" spans="2:20" ht="15.4" x14ac:dyDescent="0.4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59">
        <v>3</v>
      </c>
      <c r="J34" s="18">
        <v>2</v>
      </c>
      <c r="K34" s="18">
        <v>1</v>
      </c>
      <c r="L34" s="18">
        <v>2</v>
      </c>
      <c r="M34" s="18">
        <v>3</v>
      </c>
      <c r="N34" s="18">
        <v>4</v>
      </c>
      <c r="O34" s="18">
        <v>5</v>
      </c>
      <c r="P34" s="18">
        <v>6</v>
      </c>
      <c r="Q34" s="18">
        <v>7</v>
      </c>
      <c r="R34" s="1">
        <v>8</v>
      </c>
      <c r="S34" s="12">
        <v>9</v>
      </c>
      <c r="T34" s="12" t="s">
        <v>9</v>
      </c>
    </row>
    <row r="35" spans="2:20" ht="15.4" x14ac:dyDescent="0.4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8">
        <v>2</v>
      </c>
      <c r="K35" s="18">
        <v>1</v>
      </c>
      <c r="L35" s="18">
        <v>2</v>
      </c>
      <c r="M35" s="59">
        <v>3</v>
      </c>
      <c r="N35" s="18">
        <v>4</v>
      </c>
      <c r="O35" s="18">
        <v>5</v>
      </c>
      <c r="P35" s="18">
        <v>6</v>
      </c>
      <c r="Q35" s="18">
        <v>7</v>
      </c>
      <c r="R35" s="1">
        <v>8</v>
      </c>
      <c r="S35" s="12">
        <v>9</v>
      </c>
      <c r="T35" s="12" t="s">
        <v>10</v>
      </c>
    </row>
    <row r="36" spans="2:20" ht="15.4" x14ac:dyDescent="0.4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8">
        <v>2</v>
      </c>
      <c r="K36" s="59">
        <v>1</v>
      </c>
      <c r="L36" s="18">
        <v>2</v>
      </c>
      <c r="M36" s="18">
        <v>3</v>
      </c>
      <c r="N36" s="18">
        <v>4</v>
      </c>
      <c r="O36" s="18">
        <v>5</v>
      </c>
      <c r="P36" s="18">
        <v>6</v>
      </c>
      <c r="Q36" s="18">
        <v>7</v>
      </c>
      <c r="R36" s="1">
        <v>8</v>
      </c>
      <c r="S36" s="12">
        <v>9</v>
      </c>
      <c r="T36" s="12" t="s">
        <v>11</v>
      </c>
    </row>
    <row r="37" spans="2:20" ht="15.4" x14ac:dyDescent="0.4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59">
        <v>3</v>
      </c>
      <c r="J37" s="18">
        <v>2</v>
      </c>
      <c r="K37" s="18">
        <v>1</v>
      </c>
      <c r="L37" s="18">
        <v>2</v>
      </c>
      <c r="M37" s="18">
        <v>3</v>
      </c>
      <c r="N37" s="18">
        <v>4</v>
      </c>
      <c r="O37" s="18">
        <v>5</v>
      </c>
      <c r="P37" s="18">
        <v>6</v>
      </c>
      <c r="Q37" s="18">
        <v>7</v>
      </c>
      <c r="R37" s="1">
        <v>8</v>
      </c>
      <c r="S37" s="12">
        <v>9</v>
      </c>
      <c r="T37" s="12" t="s">
        <v>12</v>
      </c>
    </row>
    <row r="38" spans="2:20" ht="15.4" x14ac:dyDescent="0.4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8">
        <v>2</v>
      </c>
      <c r="K38" s="59">
        <v>1</v>
      </c>
      <c r="L38" s="18">
        <v>2</v>
      </c>
      <c r="M38" s="18">
        <v>3</v>
      </c>
      <c r="N38" s="18">
        <v>4</v>
      </c>
      <c r="O38" s="18">
        <v>5</v>
      </c>
      <c r="P38" s="18">
        <v>6</v>
      </c>
      <c r="Q38" s="18">
        <v>7</v>
      </c>
      <c r="R38" s="1">
        <v>8</v>
      </c>
      <c r="S38" s="12">
        <v>9</v>
      </c>
      <c r="T38" s="12" t="s">
        <v>13</v>
      </c>
    </row>
    <row r="39" spans="2:20" ht="15.4" x14ac:dyDescent="0.4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8">
        <v>2</v>
      </c>
      <c r="K39" s="18">
        <v>1</v>
      </c>
      <c r="L39" s="18">
        <v>2</v>
      </c>
      <c r="M39" s="59">
        <v>3</v>
      </c>
      <c r="N39" s="18">
        <v>4</v>
      </c>
      <c r="O39" s="18">
        <v>5</v>
      </c>
      <c r="P39" s="18">
        <v>6</v>
      </c>
      <c r="Q39" s="18">
        <v>7</v>
      </c>
      <c r="R39" s="1">
        <v>8</v>
      </c>
      <c r="S39" s="12">
        <v>9</v>
      </c>
      <c r="T39" s="12" t="s">
        <v>14</v>
      </c>
    </row>
    <row r="40" spans="2:20" ht="15.4" x14ac:dyDescent="0.4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59">
        <v>2</v>
      </c>
      <c r="K40" s="18">
        <v>1</v>
      </c>
      <c r="L40" s="18">
        <v>2</v>
      </c>
      <c r="M40" s="18">
        <v>3</v>
      </c>
      <c r="N40" s="18">
        <v>4</v>
      </c>
      <c r="O40" s="18">
        <v>5</v>
      </c>
      <c r="P40" s="18">
        <v>6</v>
      </c>
      <c r="Q40" s="18">
        <v>7</v>
      </c>
      <c r="R40" s="1">
        <v>8</v>
      </c>
      <c r="S40" s="12">
        <v>9</v>
      </c>
      <c r="T40" s="12" t="s">
        <v>15</v>
      </c>
    </row>
    <row r="41" spans="2:20" ht="15.4" x14ac:dyDescent="0.4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8">
        <v>2</v>
      </c>
      <c r="K41" s="59">
        <v>1</v>
      </c>
      <c r="L41" s="18">
        <v>2</v>
      </c>
      <c r="M41" s="18">
        <v>3</v>
      </c>
      <c r="N41" s="18">
        <v>4</v>
      </c>
      <c r="O41" s="18">
        <v>5</v>
      </c>
      <c r="P41" s="18">
        <v>6</v>
      </c>
      <c r="Q41" s="18">
        <v>7</v>
      </c>
      <c r="R41" s="1">
        <v>8</v>
      </c>
      <c r="S41" s="12">
        <v>9</v>
      </c>
      <c r="T41" s="12" t="s">
        <v>16</v>
      </c>
    </row>
    <row r="42" spans="2:20" ht="15.4" x14ac:dyDescent="0.4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8">
        <v>2</v>
      </c>
      <c r="K42" s="18">
        <v>1</v>
      </c>
      <c r="L42" s="18">
        <v>2</v>
      </c>
      <c r="M42" s="59">
        <v>3</v>
      </c>
      <c r="N42" s="18">
        <v>4</v>
      </c>
      <c r="O42" s="18">
        <v>5</v>
      </c>
      <c r="P42" s="18">
        <v>6</v>
      </c>
      <c r="Q42" s="18">
        <v>7</v>
      </c>
      <c r="R42" s="1">
        <v>8</v>
      </c>
      <c r="S42" s="12">
        <v>9</v>
      </c>
      <c r="T42" s="12" t="s">
        <v>17</v>
      </c>
    </row>
    <row r="43" spans="2:20" ht="15.4" x14ac:dyDescent="0.4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60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</row>
    <row r="44" spans="2:20" ht="15.4" x14ac:dyDescent="0.4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59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</row>
    <row r="45" spans="2:20" ht="15.4" x14ac:dyDescent="0.4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59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</row>
    <row r="46" spans="2:20" ht="15.4" x14ac:dyDescent="0.4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1">
        <v>2</v>
      </c>
      <c r="M46" s="59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</row>
    <row r="47" spans="2:20" ht="15.4" x14ac:dyDescent="0.4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1">
        <v>1</v>
      </c>
      <c r="L47" s="1">
        <v>2</v>
      </c>
      <c r="M47" s="1">
        <v>3</v>
      </c>
      <c r="N47" s="59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</row>
    <row r="48" spans="2:20" ht="15.4" x14ac:dyDescent="0.4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59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</row>
    <row r="49" spans="2:20" ht="15.4" x14ac:dyDescent="0.4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59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</row>
    <row r="50" spans="2:20" ht="15.4" x14ac:dyDescent="0.4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59">
        <v>7</v>
      </c>
      <c r="R50" s="1">
        <v>8</v>
      </c>
      <c r="S50" s="12">
        <v>9</v>
      </c>
      <c r="T50" s="12" t="s">
        <v>14</v>
      </c>
    </row>
    <row r="51" spans="2:20" ht="15.4" x14ac:dyDescent="0.4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1">
        <v>2</v>
      </c>
      <c r="M51" s="59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</row>
    <row r="52" spans="2:20" ht="15.4" x14ac:dyDescent="0.4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59">
        <v>6</v>
      </c>
      <c r="Q52" s="1">
        <v>7</v>
      </c>
      <c r="R52" s="1">
        <v>8</v>
      </c>
      <c r="S52" s="12">
        <v>9</v>
      </c>
      <c r="T52" s="12" t="s">
        <v>16</v>
      </c>
    </row>
    <row r="53" spans="2:20" ht="15.4" x14ac:dyDescent="0.4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62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</row>
    <row r="54" spans="2:20" ht="15.4" x14ac:dyDescent="0.4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60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</row>
    <row r="55" spans="2:20" ht="15.4" x14ac:dyDescent="0.4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59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</row>
    <row r="56" spans="2:20" ht="15.4" x14ac:dyDescent="0.4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59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</row>
    <row r="57" spans="2:20" ht="15.4" x14ac:dyDescent="0.4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59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</row>
    <row r="58" spans="2:20" ht="15.4" x14ac:dyDescent="0.4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1">
        <v>2</v>
      </c>
      <c r="M58" s="1">
        <v>3</v>
      </c>
      <c r="N58" s="1">
        <v>4</v>
      </c>
      <c r="O58" s="59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</row>
    <row r="59" spans="2:20" ht="15.4" x14ac:dyDescent="0.4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59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</row>
    <row r="60" spans="2:20" ht="15.4" x14ac:dyDescent="0.4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59">
        <v>7</v>
      </c>
      <c r="R60" s="1">
        <v>8</v>
      </c>
      <c r="S60" s="12">
        <v>9</v>
      </c>
      <c r="T60" s="12" t="s">
        <v>14</v>
      </c>
    </row>
    <row r="61" spans="2:20" ht="15.4" x14ac:dyDescent="0.4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56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</row>
    <row r="62" spans="2:20" ht="15.4" x14ac:dyDescent="0.4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56">
        <v>6</v>
      </c>
      <c r="Q62" s="1">
        <v>7</v>
      </c>
      <c r="R62" s="1">
        <v>8</v>
      </c>
      <c r="S62" s="12">
        <v>9</v>
      </c>
      <c r="T62" s="12" t="s">
        <v>16</v>
      </c>
    </row>
    <row r="63" spans="2:20" ht="15.4" x14ac:dyDescent="0.45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59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</row>
    <row r="64" spans="2:20" ht="15.4" x14ac:dyDescent="0.4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57">
        <v>6</v>
      </c>
      <c r="Q64" s="14">
        <v>7</v>
      </c>
      <c r="R64" s="14">
        <v>8</v>
      </c>
      <c r="S64" s="15">
        <v>9</v>
      </c>
      <c r="T64" s="15" t="s">
        <v>18</v>
      </c>
    </row>
    <row r="65" spans="2:20" ht="15.4" x14ac:dyDescent="0.4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59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</row>
    <row r="66" spans="2:20" ht="15.4" x14ac:dyDescent="0.4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1">
        <v>2</v>
      </c>
      <c r="M66" s="1">
        <v>3</v>
      </c>
      <c r="N66" s="1">
        <v>4</v>
      </c>
      <c r="O66" s="59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</row>
    <row r="67" spans="2:20" ht="15.4" x14ac:dyDescent="0.4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59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</row>
    <row r="68" spans="2:20" ht="15.4" x14ac:dyDescent="0.4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59">
        <v>7</v>
      </c>
      <c r="R68" s="1">
        <v>8</v>
      </c>
      <c r="S68" s="12">
        <v>9</v>
      </c>
      <c r="T68" s="12" t="s">
        <v>13</v>
      </c>
    </row>
    <row r="69" spans="2:20" ht="15.4" x14ac:dyDescent="0.4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59">
        <v>8</v>
      </c>
      <c r="S69" s="12">
        <v>9</v>
      </c>
      <c r="T69" s="12" t="s">
        <v>14</v>
      </c>
    </row>
    <row r="70" spans="2:20" ht="15.4" x14ac:dyDescent="0.4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1">
        <v>3</v>
      </c>
      <c r="N70" s="1">
        <v>4</v>
      </c>
      <c r="O70" s="59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</row>
    <row r="71" spans="2:20" ht="15.4" x14ac:dyDescent="0.4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59">
        <v>8</v>
      </c>
      <c r="S71" s="12">
        <v>9</v>
      </c>
      <c r="T71" s="12" t="s">
        <v>16</v>
      </c>
    </row>
    <row r="72" spans="2:20" ht="15.4" x14ac:dyDescent="0.4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59">
        <v>7</v>
      </c>
      <c r="R72" s="1">
        <v>8</v>
      </c>
      <c r="S72" s="12">
        <v>9</v>
      </c>
      <c r="T72" s="12" t="s">
        <v>17</v>
      </c>
    </row>
    <row r="73" spans="2:20" ht="15.4" x14ac:dyDescent="0.4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60">
        <v>7</v>
      </c>
      <c r="R73" s="14">
        <v>8</v>
      </c>
      <c r="S73" s="15">
        <v>9</v>
      </c>
      <c r="T73" s="15" t="s">
        <v>18</v>
      </c>
    </row>
    <row r="74" spans="2:20" ht="15.4" x14ac:dyDescent="0.4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59">
        <v>6</v>
      </c>
      <c r="Q74" s="1">
        <v>7</v>
      </c>
      <c r="R74" s="1">
        <v>8</v>
      </c>
      <c r="S74" s="12">
        <v>9</v>
      </c>
      <c r="T74" s="12" t="s">
        <v>11</v>
      </c>
    </row>
    <row r="75" spans="2:20" ht="15.4" x14ac:dyDescent="0.4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59">
        <v>6</v>
      </c>
      <c r="Q75" s="1">
        <v>7</v>
      </c>
      <c r="R75" s="1">
        <v>8</v>
      </c>
      <c r="S75" s="12">
        <v>9</v>
      </c>
      <c r="T75" s="12" t="s">
        <v>12</v>
      </c>
    </row>
    <row r="76" spans="2:20" ht="15.4" x14ac:dyDescent="0.4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59">
        <v>6</v>
      </c>
      <c r="Q76" s="1">
        <v>7</v>
      </c>
      <c r="R76" s="1">
        <v>8</v>
      </c>
      <c r="S76" s="12">
        <v>9</v>
      </c>
      <c r="T76" s="12" t="s">
        <v>13</v>
      </c>
    </row>
    <row r="77" spans="2:20" ht="15.4" x14ac:dyDescent="0.4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59">
        <v>7</v>
      </c>
      <c r="R77" s="1">
        <v>8</v>
      </c>
      <c r="S77" s="12">
        <v>9</v>
      </c>
      <c r="T77" s="12" t="s">
        <v>14</v>
      </c>
    </row>
    <row r="78" spans="2:20" ht="15.4" x14ac:dyDescent="0.4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59">
        <v>3</v>
      </c>
      <c r="J78" s="1">
        <v>2</v>
      </c>
      <c r="K78" s="1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</row>
    <row r="79" spans="2:20" ht="15.4" x14ac:dyDescent="0.4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1">
        <v>2</v>
      </c>
      <c r="M79" s="1">
        <v>3</v>
      </c>
      <c r="N79" s="1">
        <v>4</v>
      </c>
      <c r="O79" s="1">
        <v>5</v>
      </c>
      <c r="P79" s="59">
        <v>6</v>
      </c>
      <c r="Q79" s="1">
        <v>7</v>
      </c>
      <c r="R79" s="1">
        <v>8</v>
      </c>
      <c r="S79" s="12">
        <v>9</v>
      </c>
      <c r="T79" s="12" t="s">
        <v>16</v>
      </c>
    </row>
    <row r="80" spans="2:20" ht="15.4" x14ac:dyDescent="0.4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1">
        <v>2</v>
      </c>
      <c r="M80" s="59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</row>
    <row r="81" spans="2:20" ht="15.4" x14ac:dyDescent="0.4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60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</row>
    <row r="82" spans="2:20" ht="15.4" x14ac:dyDescent="0.4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59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</row>
    <row r="83" spans="2:20" ht="15.4" x14ac:dyDescent="0.4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59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</row>
    <row r="84" spans="2:20" ht="15.4" x14ac:dyDescent="0.4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59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</row>
    <row r="85" spans="2:20" ht="15.4" x14ac:dyDescent="0.4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59">
        <v>2</v>
      </c>
      <c r="K85" s="1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</row>
    <row r="86" spans="2:20" ht="15.4" x14ac:dyDescent="0.4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1">
        <v>2</v>
      </c>
      <c r="M86" s="1">
        <v>3</v>
      </c>
      <c r="N86" s="59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</row>
    <row r="87" spans="2:20" ht="15.4" x14ac:dyDescent="0.4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59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</row>
    <row r="88" spans="2:20" ht="15.4" x14ac:dyDescent="0.4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60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</row>
    <row r="89" spans="2:20" ht="15.4" x14ac:dyDescent="0.4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59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</row>
    <row r="90" spans="2:20" ht="15.4" x14ac:dyDescent="0.4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1">
        <v>2</v>
      </c>
      <c r="M90" s="1">
        <v>3</v>
      </c>
      <c r="N90" s="59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</row>
    <row r="91" spans="2:20" ht="15.4" x14ac:dyDescent="0.4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59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</row>
    <row r="92" spans="2:20" ht="15.4" x14ac:dyDescent="0.4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59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</row>
    <row r="93" spans="2:20" ht="15.4" x14ac:dyDescent="0.4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1">
        <v>3</v>
      </c>
      <c r="N93" s="59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</row>
    <row r="94" spans="2:20" ht="15.4" x14ac:dyDescent="0.4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60">
        <v>3</v>
      </c>
      <c r="J94" s="14">
        <v>2</v>
      </c>
      <c r="K94" s="1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</row>
    <row r="95" spans="2:20" ht="15.4" x14ac:dyDescent="0.4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59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</row>
    <row r="96" spans="2:20" ht="15.4" x14ac:dyDescent="0.4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59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</row>
    <row r="97" spans="2:20" ht="15.4" x14ac:dyDescent="0.4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59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</row>
    <row r="98" spans="2:20" ht="15.4" x14ac:dyDescent="0.4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1">
        <v>1</v>
      </c>
      <c r="L98" s="59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</row>
    <row r="99" spans="2:20" ht="15.4" x14ac:dyDescent="0.4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59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</row>
    <row r="100" spans="2:20" ht="15.4" x14ac:dyDescent="0.4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8">
        <v>5</v>
      </c>
      <c r="H100" s="5">
        <v>4</v>
      </c>
      <c r="I100" s="5">
        <v>3</v>
      </c>
      <c r="J100" s="5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</row>
    <row r="101" spans="2:20" ht="15.4" x14ac:dyDescent="0.4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59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</row>
    <row r="102" spans="2:20" ht="15.4" x14ac:dyDescent="0.4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59">
        <v>7</v>
      </c>
      <c r="R102" s="1">
        <v>8</v>
      </c>
      <c r="S102" s="12">
        <v>9</v>
      </c>
      <c r="T102" s="12" t="s">
        <v>17</v>
      </c>
    </row>
    <row r="103" spans="2:20" ht="15.4" x14ac:dyDescent="0.45">
      <c r="B103" s="13" t="s">
        <v>14</v>
      </c>
      <c r="C103" s="13">
        <v>9</v>
      </c>
      <c r="D103" s="14">
        <v>8</v>
      </c>
      <c r="E103" s="14">
        <v>7</v>
      </c>
      <c r="F103" s="60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</row>
    <row r="104" spans="2:20" ht="15.4" x14ac:dyDescent="0.4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59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</row>
    <row r="105" spans="2:20" ht="15.4" x14ac:dyDescent="0.4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1">
        <v>3</v>
      </c>
      <c r="N105" s="59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</row>
    <row r="106" spans="2:20" ht="15.4" x14ac:dyDescent="0.4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61">
        <v>3</v>
      </c>
      <c r="J106" s="14">
        <v>2</v>
      </c>
      <c r="K106" s="60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</row>
    <row r="107" spans="2:20" ht="15.4" x14ac:dyDescent="0.4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59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</row>
    <row r="108" spans="2:20" ht="15.4" x14ac:dyDescent="0.45">
      <c r="B108" s="19" t="s">
        <v>16</v>
      </c>
      <c r="C108" s="13">
        <v>9</v>
      </c>
      <c r="D108" s="14">
        <v>8</v>
      </c>
      <c r="E108" s="14">
        <v>7</v>
      </c>
      <c r="F108" s="60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</row>
    <row r="109" spans="2:20" ht="15.4" x14ac:dyDescent="0.4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60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</row>
    <row r="110" spans="2:20" ht="15.4" x14ac:dyDescent="0.4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2:20" ht="15.4" x14ac:dyDescent="0.45">
      <c r="B111" s="82" t="s">
        <v>0</v>
      </c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4"/>
    </row>
    <row r="112" spans="2:20" ht="15.4" x14ac:dyDescent="0.45">
      <c r="B112" s="85" t="s">
        <v>23</v>
      </c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7"/>
    </row>
    <row r="113" spans="2:37" ht="15.4" x14ac:dyDescent="0.45">
      <c r="B113" s="80" t="s">
        <v>1</v>
      </c>
      <c r="C113" s="81" t="s">
        <v>2</v>
      </c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0" t="s">
        <v>3</v>
      </c>
    </row>
    <row r="114" spans="2:37" ht="15.4" x14ac:dyDescent="0.45">
      <c r="B114" s="80"/>
      <c r="C114" s="3">
        <v>9</v>
      </c>
      <c r="D114" s="3">
        <v>8</v>
      </c>
      <c r="E114" s="3">
        <v>7</v>
      </c>
      <c r="F114" s="3">
        <v>6</v>
      </c>
      <c r="G114" s="3">
        <v>5</v>
      </c>
      <c r="H114" s="3">
        <v>4</v>
      </c>
      <c r="I114" s="3">
        <v>3</v>
      </c>
      <c r="J114" s="3">
        <v>2</v>
      </c>
      <c r="K114" s="3">
        <v>1</v>
      </c>
      <c r="L114" s="3">
        <v>2</v>
      </c>
      <c r="M114" s="3">
        <v>3</v>
      </c>
      <c r="N114" s="3">
        <v>4</v>
      </c>
      <c r="O114" s="3">
        <v>5</v>
      </c>
      <c r="P114" s="3">
        <v>6</v>
      </c>
      <c r="Q114" s="3">
        <v>7</v>
      </c>
      <c r="R114" s="3">
        <v>8</v>
      </c>
      <c r="S114" s="3">
        <v>9</v>
      </c>
      <c r="T114" s="80"/>
    </row>
    <row r="115" spans="2:37" ht="15.4" x14ac:dyDescent="0.45">
      <c r="B115" s="16" t="s">
        <v>4</v>
      </c>
      <c r="C115" s="4">
        <v>9</v>
      </c>
      <c r="D115" s="5">
        <v>8</v>
      </c>
      <c r="E115" s="5">
        <v>7</v>
      </c>
      <c r="F115" s="5">
        <v>6</v>
      </c>
      <c r="G115" s="5">
        <v>5</v>
      </c>
      <c r="H115" s="5">
        <v>4</v>
      </c>
      <c r="I115" s="5">
        <v>3</v>
      </c>
      <c r="J115" s="5">
        <v>2</v>
      </c>
      <c r="K115" s="5">
        <v>1</v>
      </c>
      <c r="L115" s="58">
        <v>2</v>
      </c>
      <c r="M115" s="5">
        <v>3</v>
      </c>
      <c r="N115" s="122">
        <v>4</v>
      </c>
      <c r="O115" s="5">
        <v>5</v>
      </c>
      <c r="P115" s="5">
        <v>6</v>
      </c>
      <c r="Q115" s="5">
        <v>7</v>
      </c>
      <c r="R115" s="5">
        <v>8</v>
      </c>
      <c r="S115" s="7">
        <v>9</v>
      </c>
      <c r="T115" s="7" t="s">
        <v>5</v>
      </c>
      <c r="V115" s="63" t="s">
        <v>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ht="15.4" x14ac:dyDescent="0.45">
      <c r="B116" s="17" t="s">
        <v>4</v>
      </c>
      <c r="C116" s="11">
        <v>9</v>
      </c>
      <c r="D116" s="1">
        <v>8</v>
      </c>
      <c r="E116" s="1">
        <v>7</v>
      </c>
      <c r="F116" s="1">
        <v>6</v>
      </c>
      <c r="G116" s="1">
        <v>5</v>
      </c>
      <c r="H116" s="1">
        <v>4</v>
      </c>
      <c r="I116" s="59">
        <v>3</v>
      </c>
      <c r="J116" s="1">
        <v>2</v>
      </c>
      <c r="K116" s="1">
        <v>1</v>
      </c>
      <c r="L116" s="1">
        <v>2</v>
      </c>
      <c r="M116" s="1">
        <v>3</v>
      </c>
      <c r="N116" s="1">
        <v>4</v>
      </c>
      <c r="O116" s="1">
        <v>5</v>
      </c>
      <c r="P116" s="1">
        <v>6</v>
      </c>
      <c r="Q116" s="1">
        <v>7</v>
      </c>
      <c r="R116" s="1">
        <v>8</v>
      </c>
      <c r="S116" s="12">
        <v>9</v>
      </c>
      <c r="T116" s="12" t="s">
        <v>6</v>
      </c>
      <c r="V116" s="2" t="s">
        <v>4</v>
      </c>
      <c r="W116" s="3">
        <v>1</v>
      </c>
      <c r="X116" s="3">
        <f>1/2</f>
        <v>0.5</v>
      </c>
      <c r="Y116" s="3">
        <v>3</v>
      </c>
      <c r="Z116" s="3">
        <v>5</v>
      </c>
      <c r="AA116" s="3">
        <v>7</v>
      </c>
      <c r="AB116" s="3">
        <v>5</v>
      </c>
      <c r="AC116" s="3">
        <f>1/2</f>
        <v>0.5</v>
      </c>
      <c r="AD116" s="3">
        <f>1/4</f>
        <v>0.25</v>
      </c>
      <c r="AE116" s="3">
        <v>4</v>
      </c>
      <c r="AF116" s="3">
        <f>1/2</f>
        <v>0.5</v>
      </c>
      <c r="AG116" s="3">
        <f>1/4</f>
        <v>0.25</v>
      </c>
      <c r="AH116" s="3">
        <f>1/2</f>
        <v>0.5</v>
      </c>
      <c r="AI116" s="3">
        <f>1/2</f>
        <v>0.5</v>
      </c>
      <c r="AJ116" s="3">
        <f>1/4</f>
        <v>0.25</v>
      </c>
      <c r="AK116" s="3">
        <v>3</v>
      </c>
    </row>
    <row r="117" spans="2:37" ht="15.4" x14ac:dyDescent="0.45">
      <c r="B117" s="17" t="s">
        <v>4</v>
      </c>
      <c r="C117" s="11">
        <v>9</v>
      </c>
      <c r="D117" s="1">
        <v>8</v>
      </c>
      <c r="E117" s="1">
        <v>7</v>
      </c>
      <c r="F117" s="1">
        <v>6</v>
      </c>
      <c r="G117" s="59">
        <v>5</v>
      </c>
      <c r="H117" s="1">
        <v>4</v>
      </c>
      <c r="I117" s="18">
        <v>3</v>
      </c>
      <c r="J117" s="1">
        <v>2</v>
      </c>
      <c r="K117" s="1">
        <v>1</v>
      </c>
      <c r="L117" s="1">
        <v>2</v>
      </c>
      <c r="M117" s="1">
        <v>3</v>
      </c>
      <c r="N117" s="1">
        <v>4</v>
      </c>
      <c r="O117" s="1">
        <v>5</v>
      </c>
      <c r="P117" s="1">
        <v>6</v>
      </c>
      <c r="Q117" s="1">
        <v>7</v>
      </c>
      <c r="R117" s="1">
        <v>8</v>
      </c>
      <c r="S117" s="12">
        <v>9</v>
      </c>
      <c r="T117" s="12" t="s">
        <v>7</v>
      </c>
      <c r="V117" s="2" t="s">
        <v>5</v>
      </c>
      <c r="W117" s="3">
        <f>1/X116</f>
        <v>2</v>
      </c>
      <c r="X117" s="3">
        <v>1</v>
      </c>
      <c r="Y117" s="3">
        <v>3</v>
      </c>
      <c r="Z117" s="3">
        <v>4</v>
      </c>
      <c r="AA117" s="3">
        <v>5</v>
      </c>
      <c r="AB117" s="3">
        <v>4</v>
      </c>
      <c r="AC117" s="3">
        <v>3</v>
      </c>
      <c r="AD117" s="3">
        <v>2</v>
      </c>
      <c r="AE117" s="3">
        <v>4</v>
      </c>
      <c r="AF117" s="3">
        <f>1/2</f>
        <v>0.5</v>
      </c>
      <c r="AG117" s="3">
        <v>2</v>
      </c>
      <c r="AH117" s="3">
        <v>3</v>
      </c>
      <c r="AI117" s="3">
        <v>3</v>
      </c>
      <c r="AJ117" s="3">
        <v>2</v>
      </c>
      <c r="AK117" s="3">
        <v>4</v>
      </c>
    </row>
    <row r="118" spans="2:37" ht="15.4" x14ac:dyDescent="0.45">
      <c r="B118" s="17" t="s">
        <v>4</v>
      </c>
      <c r="C118" s="11">
        <v>9</v>
      </c>
      <c r="D118" s="1">
        <v>8</v>
      </c>
      <c r="E118" s="59">
        <v>7</v>
      </c>
      <c r="F118" s="1">
        <v>6</v>
      </c>
      <c r="G118" s="1">
        <v>5</v>
      </c>
      <c r="H118" s="1">
        <v>4</v>
      </c>
      <c r="I118" s="1">
        <v>3</v>
      </c>
      <c r="J118" s="1">
        <v>2</v>
      </c>
      <c r="K118" s="1">
        <v>1</v>
      </c>
      <c r="L118" s="1">
        <v>2</v>
      </c>
      <c r="M118" s="1">
        <v>3</v>
      </c>
      <c r="N118" s="1">
        <v>4</v>
      </c>
      <c r="O118" s="1">
        <v>5</v>
      </c>
      <c r="P118" s="1">
        <v>6</v>
      </c>
      <c r="Q118" s="1">
        <v>7</v>
      </c>
      <c r="R118" s="1">
        <v>8</v>
      </c>
      <c r="S118" s="12">
        <v>9</v>
      </c>
      <c r="T118" s="12" t="s">
        <v>8</v>
      </c>
      <c r="V118" s="2" t="s">
        <v>6</v>
      </c>
      <c r="W118" s="3">
        <f>1/Y116</f>
        <v>0.33333333333333331</v>
      </c>
      <c r="X118" s="3">
        <f>1/Y117</f>
        <v>0.33333333333333331</v>
      </c>
      <c r="Y118" s="3">
        <v>1</v>
      </c>
      <c r="Z118" s="3">
        <v>4</v>
      </c>
      <c r="AA118" s="3">
        <v>5</v>
      </c>
      <c r="AB118" s="3">
        <v>3</v>
      </c>
      <c r="AC118" s="3">
        <f>1/3</f>
        <v>0.33333333333333331</v>
      </c>
      <c r="AD118" s="3">
        <v>3</v>
      </c>
      <c r="AE118" s="3">
        <v>4</v>
      </c>
      <c r="AF118" s="3">
        <f>1/2</f>
        <v>0.5</v>
      </c>
      <c r="AG118" s="3">
        <v>2</v>
      </c>
      <c r="AH118" s="3">
        <v>4</v>
      </c>
      <c r="AI118" s="3">
        <v>3</v>
      </c>
      <c r="AJ118" s="3">
        <f>1/3</f>
        <v>0.33333333333333331</v>
      </c>
      <c r="AK118" s="3">
        <v>3</v>
      </c>
    </row>
    <row r="119" spans="2:37" ht="15.4" x14ac:dyDescent="0.45">
      <c r="B119" s="17" t="s">
        <v>4</v>
      </c>
      <c r="C119" s="11">
        <v>9</v>
      </c>
      <c r="D119" s="1">
        <v>8</v>
      </c>
      <c r="E119" s="1">
        <v>7</v>
      </c>
      <c r="F119" s="1">
        <v>6</v>
      </c>
      <c r="G119" s="59">
        <v>5</v>
      </c>
      <c r="H119" s="1">
        <v>4</v>
      </c>
      <c r="I119" s="1">
        <v>3</v>
      </c>
      <c r="J119" s="1">
        <v>2</v>
      </c>
      <c r="K119" s="1">
        <v>1</v>
      </c>
      <c r="L119" s="1">
        <v>2</v>
      </c>
      <c r="M119" s="1">
        <v>3</v>
      </c>
      <c r="N119" s="1">
        <v>4</v>
      </c>
      <c r="O119" s="1">
        <v>5</v>
      </c>
      <c r="P119" s="1">
        <v>6</v>
      </c>
      <c r="Q119" s="1">
        <v>7</v>
      </c>
      <c r="R119" s="1">
        <v>8</v>
      </c>
      <c r="S119" s="12">
        <v>9</v>
      </c>
      <c r="T119" s="12" t="s">
        <v>9</v>
      </c>
      <c r="V119" s="2" t="s">
        <v>7</v>
      </c>
      <c r="W119" s="3">
        <f>1/Z116</f>
        <v>0.2</v>
      </c>
      <c r="X119" s="3">
        <f>1/Z117</f>
        <v>0.25</v>
      </c>
      <c r="Y119" s="3">
        <f>1/Z118</f>
        <v>0.25</v>
      </c>
      <c r="Z119" s="3">
        <v>1</v>
      </c>
      <c r="AA119" s="3">
        <v>4</v>
      </c>
      <c r="AB119" s="3">
        <f>1/2</f>
        <v>0.5</v>
      </c>
      <c r="AC119" s="3">
        <f>1/4</f>
        <v>0.25</v>
      </c>
      <c r="AD119" s="3">
        <f>1/3</f>
        <v>0.33333333333333331</v>
      </c>
      <c r="AE119" s="3">
        <f>1/2</f>
        <v>0.5</v>
      </c>
      <c r="AF119" s="3">
        <f>1/3</f>
        <v>0.33333333333333331</v>
      </c>
      <c r="AG119" s="3">
        <f>1/3</f>
        <v>0.33333333333333331</v>
      </c>
      <c r="AH119" s="3">
        <f>1/2</f>
        <v>0.5</v>
      </c>
      <c r="AI119" s="3">
        <f>1/4</f>
        <v>0.25</v>
      </c>
      <c r="AJ119" s="3">
        <f>1/5</f>
        <v>0.2</v>
      </c>
      <c r="AK119" s="3">
        <f>1/2</f>
        <v>0.5</v>
      </c>
    </row>
    <row r="120" spans="2:37" ht="15.4" x14ac:dyDescent="0.45">
      <c r="B120" s="17" t="s">
        <v>4</v>
      </c>
      <c r="C120" s="11">
        <v>9</v>
      </c>
      <c r="D120" s="1">
        <v>8</v>
      </c>
      <c r="E120" s="1">
        <v>7</v>
      </c>
      <c r="F120" s="1">
        <v>6</v>
      </c>
      <c r="G120" s="1">
        <v>5</v>
      </c>
      <c r="H120" s="1">
        <v>4</v>
      </c>
      <c r="I120" s="1">
        <v>3</v>
      </c>
      <c r="J120" s="1">
        <v>2</v>
      </c>
      <c r="K120" s="1">
        <v>1</v>
      </c>
      <c r="L120" s="59">
        <v>2</v>
      </c>
      <c r="M120" s="1">
        <v>3</v>
      </c>
      <c r="N120" s="1">
        <v>4</v>
      </c>
      <c r="O120" s="1">
        <v>5</v>
      </c>
      <c r="P120" s="1">
        <v>6</v>
      </c>
      <c r="Q120" s="1">
        <v>7</v>
      </c>
      <c r="R120" s="1">
        <v>8</v>
      </c>
      <c r="S120" s="12">
        <v>9</v>
      </c>
      <c r="T120" s="12" t="s">
        <v>10</v>
      </c>
      <c r="V120" s="2" t="s">
        <v>8</v>
      </c>
      <c r="W120" s="3">
        <f>1/AA116</f>
        <v>0.14285714285714285</v>
      </c>
      <c r="X120" s="3">
        <f>1/AA117</f>
        <v>0.2</v>
      </c>
      <c r="Y120" s="3">
        <f>1/AA118</f>
        <v>0.2</v>
      </c>
      <c r="Z120" s="3">
        <f>1/AA119</f>
        <v>0.25</v>
      </c>
      <c r="AA120" s="3">
        <v>1</v>
      </c>
      <c r="AB120" s="3">
        <f>1/3</f>
        <v>0.33333333333333331</v>
      </c>
      <c r="AC120" s="3">
        <f>1/5</f>
        <v>0.2</v>
      </c>
      <c r="AD120" s="3">
        <f>1/5</f>
        <v>0.2</v>
      </c>
      <c r="AE120" s="3">
        <f>1/2</f>
        <v>0.5</v>
      </c>
      <c r="AF120" s="3">
        <f>1/6</f>
        <v>0.16666666666666666</v>
      </c>
      <c r="AG120" s="3">
        <f>1/4</f>
        <v>0.25</v>
      </c>
      <c r="AH120" s="3">
        <f>1/4</f>
        <v>0.25</v>
      </c>
      <c r="AI120" s="3">
        <f>1/4</f>
        <v>0.25</v>
      </c>
      <c r="AJ120" s="3">
        <f>1/6</f>
        <v>0.16666666666666666</v>
      </c>
      <c r="AK120" s="3">
        <f>1/5</f>
        <v>0.2</v>
      </c>
    </row>
    <row r="121" spans="2:37" ht="15.4" x14ac:dyDescent="0.45">
      <c r="B121" s="17" t="s">
        <v>4</v>
      </c>
      <c r="C121" s="11">
        <v>9</v>
      </c>
      <c r="D121" s="1">
        <v>8</v>
      </c>
      <c r="E121" s="1">
        <v>7</v>
      </c>
      <c r="F121" s="1">
        <v>6</v>
      </c>
      <c r="G121" s="1">
        <v>5</v>
      </c>
      <c r="H121" s="1">
        <v>4</v>
      </c>
      <c r="I121" s="1">
        <v>3</v>
      </c>
      <c r="J121" s="1">
        <v>2</v>
      </c>
      <c r="K121" s="1">
        <v>1</v>
      </c>
      <c r="L121" s="1">
        <v>2</v>
      </c>
      <c r="M121" s="1">
        <v>3</v>
      </c>
      <c r="N121" s="59">
        <v>4</v>
      </c>
      <c r="O121" s="1">
        <v>5</v>
      </c>
      <c r="P121" s="1">
        <v>6</v>
      </c>
      <c r="Q121" s="1">
        <v>7</v>
      </c>
      <c r="R121" s="1">
        <v>8</v>
      </c>
      <c r="S121" s="12">
        <v>9</v>
      </c>
      <c r="T121" s="12" t="s">
        <v>11</v>
      </c>
      <c r="V121" s="2" t="s">
        <v>9</v>
      </c>
      <c r="W121" s="3">
        <f>1/AB116</f>
        <v>0.2</v>
      </c>
      <c r="X121" s="3">
        <f>1/AB117</f>
        <v>0.25</v>
      </c>
      <c r="Y121" s="3">
        <f>1/AB118</f>
        <v>0.33333333333333331</v>
      </c>
      <c r="Z121" s="3">
        <f>1/AB119</f>
        <v>2</v>
      </c>
      <c r="AA121" s="3">
        <f>1/AB120</f>
        <v>3</v>
      </c>
      <c r="AB121" s="3">
        <v>1</v>
      </c>
      <c r="AC121" s="3">
        <f>1/3</f>
        <v>0.33333333333333331</v>
      </c>
      <c r="AD121" s="3">
        <f>1/3</f>
        <v>0.33333333333333331</v>
      </c>
      <c r="AE121" s="3">
        <f>1/2</f>
        <v>0.5</v>
      </c>
      <c r="AF121" s="3">
        <f>1/4</f>
        <v>0.25</v>
      </c>
      <c r="AG121" s="3">
        <f>1/3</f>
        <v>0.33333333333333331</v>
      </c>
      <c r="AH121" s="3">
        <f>1/2</f>
        <v>0.5</v>
      </c>
      <c r="AI121" s="3">
        <f>1/2</f>
        <v>0.5</v>
      </c>
      <c r="AJ121" s="3">
        <f>1/4</f>
        <v>0.25</v>
      </c>
      <c r="AK121" s="3">
        <f>1/2</f>
        <v>0.5</v>
      </c>
    </row>
    <row r="122" spans="2:37" ht="15.4" x14ac:dyDescent="0.45">
      <c r="B122" s="17" t="s">
        <v>4</v>
      </c>
      <c r="C122" s="11">
        <v>9</v>
      </c>
      <c r="D122" s="1">
        <v>8</v>
      </c>
      <c r="E122" s="1">
        <v>7</v>
      </c>
      <c r="F122" s="1">
        <v>6</v>
      </c>
      <c r="G122" s="1">
        <v>5</v>
      </c>
      <c r="H122" s="59">
        <v>4</v>
      </c>
      <c r="I122" s="1">
        <v>3</v>
      </c>
      <c r="J122" s="1">
        <v>2</v>
      </c>
      <c r="K122" s="1">
        <v>1</v>
      </c>
      <c r="L122" s="1">
        <v>2</v>
      </c>
      <c r="M122" s="1">
        <v>3</v>
      </c>
      <c r="N122" s="18">
        <v>4</v>
      </c>
      <c r="O122" s="1">
        <v>5</v>
      </c>
      <c r="P122" s="1">
        <v>6</v>
      </c>
      <c r="Q122" s="1">
        <v>7</v>
      </c>
      <c r="R122" s="1">
        <v>8</v>
      </c>
      <c r="S122" s="12">
        <v>9</v>
      </c>
      <c r="T122" s="12" t="s">
        <v>12</v>
      </c>
      <c r="V122" s="2" t="s">
        <v>10</v>
      </c>
      <c r="W122" s="3">
        <f>1/AC116</f>
        <v>2</v>
      </c>
      <c r="X122" s="3">
        <f>1/AC117</f>
        <v>0.33333333333333331</v>
      </c>
      <c r="Y122" s="3">
        <f>1/AC118</f>
        <v>3</v>
      </c>
      <c r="Z122" s="3">
        <f>1/AC119</f>
        <v>4</v>
      </c>
      <c r="AA122" s="3">
        <f>1/AC120</f>
        <v>5</v>
      </c>
      <c r="AB122" s="3">
        <f>1/AC121</f>
        <v>3</v>
      </c>
      <c r="AC122" s="3">
        <v>1</v>
      </c>
      <c r="AD122" s="3">
        <v>2</v>
      </c>
      <c r="AE122" s="3">
        <v>4</v>
      </c>
      <c r="AF122" s="3">
        <f>1/3</f>
        <v>0.33333333333333331</v>
      </c>
      <c r="AG122" s="3">
        <v>2</v>
      </c>
      <c r="AH122" s="3">
        <v>3</v>
      </c>
      <c r="AI122" s="3">
        <v>3</v>
      </c>
      <c r="AJ122" s="3">
        <f>1/3</f>
        <v>0.33333333333333331</v>
      </c>
      <c r="AK122" s="3">
        <v>3</v>
      </c>
    </row>
    <row r="123" spans="2:37" ht="15.4" x14ac:dyDescent="0.45">
      <c r="B123" s="17" t="s">
        <v>4</v>
      </c>
      <c r="C123" s="11">
        <v>9</v>
      </c>
      <c r="D123" s="1">
        <v>8</v>
      </c>
      <c r="E123" s="1">
        <v>7</v>
      </c>
      <c r="F123" s="1">
        <v>6</v>
      </c>
      <c r="G123" s="1">
        <v>5</v>
      </c>
      <c r="H123" s="1">
        <v>4</v>
      </c>
      <c r="I123" s="1">
        <v>3</v>
      </c>
      <c r="J123" s="1">
        <v>2</v>
      </c>
      <c r="K123" s="1">
        <v>1</v>
      </c>
      <c r="L123" s="59">
        <v>2</v>
      </c>
      <c r="M123" s="1">
        <v>3</v>
      </c>
      <c r="N123" s="1">
        <v>4</v>
      </c>
      <c r="O123" s="1">
        <v>5</v>
      </c>
      <c r="P123" s="1">
        <v>6</v>
      </c>
      <c r="Q123" s="1">
        <v>7</v>
      </c>
      <c r="R123" s="1">
        <v>8</v>
      </c>
      <c r="S123" s="12">
        <v>9</v>
      </c>
      <c r="T123" s="12" t="s">
        <v>13</v>
      </c>
      <c r="V123" s="2" t="s">
        <v>11</v>
      </c>
      <c r="W123" s="3">
        <f>1/AD116</f>
        <v>4</v>
      </c>
      <c r="X123" s="3">
        <f>1/AD117</f>
        <v>0.5</v>
      </c>
      <c r="Y123" s="3">
        <f>1/AD118</f>
        <v>0.33333333333333331</v>
      </c>
      <c r="Z123" s="3">
        <f>1/AD119</f>
        <v>3</v>
      </c>
      <c r="AA123" s="3">
        <f>1/AD120</f>
        <v>5</v>
      </c>
      <c r="AB123" s="3">
        <f>1/AD121</f>
        <v>3</v>
      </c>
      <c r="AC123" s="3">
        <f>1/AD122</f>
        <v>0.5</v>
      </c>
      <c r="AD123" s="3">
        <v>1</v>
      </c>
      <c r="AE123" s="3">
        <v>4</v>
      </c>
      <c r="AF123" s="3">
        <f>1/3</f>
        <v>0.33333333333333331</v>
      </c>
      <c r="AG123" s="3">
        <f>1/2</f>
        <v>0.5</v>
      </c>
      <c r="AH123" s="3">
        <f>1/2</f>
        <v>0.5</v>
      </c>
      <c r="AI123" s="3">
        <f>1/2</f>
        <v>0.5</v>
      </c>
      <c r="AJ123" s="3">
        <f>1/4</f>
        <v>0.25</v>
      </c>
      <c r="AK123" s="3">
        <f>1/2</f>
        <v>0.5</v>
      </c>
    </row>
    <row r="124" spans="2:37" ht="15.4" x14ac:dyDescent="0.45">
      <c r="B124" s="17" t="s">
        <v>4</v>
      </c>
      <c r="C124" s="11">
        <v>9</v>
      </c>
      <c r="D124" s="1">
        <v>8</v>
      </c>
      <c r="E124" s="1">
        <v>7</v>
      </c>
      <c r="F124" s="1">
        <v>6</v>
      </c>
      <c r="G124" s="1">
        <v>5</v>
      </c>
      <c r="H124" s="1">
        <v>4</v>
      </c>
      <c r="I124" s="1">
        <v>3</v>
      </c>
      <c r="J124" s="1">
        <v>2</v>
      </c>
      <c r="K124" s="1">
        <v>1</v>
      </c>
      <c r="L124" s="1">
        <v>2</v>
      </c>
      <c r="M124" s="1">
        <v>3</v>
      </c>
      <c r="N124" s="59">
        <v>4</v>
      </c>
      <c r="O124" s="1">
        <v>5</v>
      </c>
      <c r="P124" s="1">
        <v>6</v>
      </c>
      <c r="Q124" s="1">
        <v>7</v>
      </c>
      <c r="R124" s="1">
        <v>8</v>
      </c>
      <c r="S124" s="12">
        <v>9</v>
      </c>
      <c r="T124" s="12" t="s">
        <v>14</v>
      </c>
      <c r="V124" s="2" t="s">
        <v>12</v>
      </c>
      <c r="W124" s="3">
        <f>1/AE116</f>
        <v>0.25</v>
      </c>
      <c r="X124" s="3">
        <f>1/AE117</f>
        <v>0.25</v>
      </c>
      <c r="Y124" s="3">
        <f>1/AE118</f>
        <v>0.25</v>
      </c>
      <c r="Z124" s="3">
        <f>1/AE119</f>
        <v>2</v>
      </c>
      <c r="AA124" s="3">
        <f>1/AE120</f>
        <v>2</v>
      </c>
      <c r="AB124" s="3">
        <f>1/AE121</f>
        <v>2</v>
      </c>
      <c r="AC124" s="3">
        <f>1/AE122</f>
        <v>0.25</v>
      </c>
      <c r="AD124" s="3">
        <f>1/AE123</f>
        <v>0.25</v>
      </c>
      <c r="AE124" s="3">
        <v>1</v>
      </c>
      <c r="AF124" s="3">
        <v>2</v>
      </c>
      <c r="AG124" s="3">
        <f>1/4</f>
        <v>0.25</v>
      </c>
      <c r="AH124" s="3">
        <v>2</v>
      </c>
      <c r="AI124" s="3">
        <f>1/2</f>
        <v>0.5</v>
      </c>
      <c r="AJ124" s="3">
        <f>1/4</f>
        <v>0.25</v>
      </c>
      <c r="AK124" s="3">
        <f>1/3</f>
        <v>0.33333333333333331</v>
      </c>
    </row>
    <row r="125" spans="2:37" ht="15.4" x14ac:dyDescent="0.45">
      <c r="B125" s="17" t="s">
        <v>4</v>
      </c>
      <c r="C125" s="11">
        <v>9</v>
      </c>
      <c r="D125" s="1">
        <v>8</v>
      </c>
      <c r="E125" s="1">
        <v>7</v>
      </c>
      <c r="F125" s="1">
        <v>6</v>
      </c>
      <c r="G125" s="1">
        <v>5</v>
      </c>
      <c r="H125" s="1">
        <v>4</v>
      </c>
      <c r="I125" s="1">
        <v>3</v>
      </c>
      <c r="J125" s="1">
        <v>2</v>
      </c>
      <c r="K125" s="1">
        <v>1</v>
      </c>
      <c r="L125" s="59">
        <v>2</v>
      </c>
      <c r="M125" s="1">
        <v>3</v>
      </c>
      <c r="N125" s="1">
        <v>4</v>
      </c>
      <c r="O125" s="1">
        <v>5</v>
      </c>
      <c r="P125" s="1">
        <v>6</v>
      </c>
      <c r="Q125" s="1">
        <v>7</v>
      </c>
      <c r="R125" s="1">
        <v>8</v>
      </c>
      <c r="S125" s="12">
        <v>9</v>
      </c>
      <c r="T125" s="12" t="s">
        <v>15</v>
      </c>
      <c r="V125" s="2" t="s">
        <v>13</v>
      </c>
      <c r="W125" s="3">
        <f>1/AF116</f>
        <v>2</v>
      </c>
      <c r="X125" s="3">
        <f>1/AF117</f>
        <v>2</v>
      </c>
      <c r="Y125" s="3">
        <f>1/AF118</f>
        <v>2</v>
      </c>
      <c r="Z125" s="3">
        <f>1/AF119</f>
        <v>3</v>
      </c>
      <c r="AA125" s="3">
        <f>1/AF120</f>
        <v>6</v>
      </c>
      <c r="AB125" s="3">
        <f>1/AF121</f>
        <v>4</v>
      </c>
      <c r="AC125" s="3">
        <f>1/AF122</f>
        <v>3</v>
      </c>
      <c r="AD125" s="3">
        <f>1/AF123</f>
        <v>3</v>
      </c>
      <c r="AE125" s="3">
        <f>1/AF124</f>
        <v>0.5</v>
      </c>
      <c r="AF125" s="3">
        <v>1</v>
      </c>
      <c r="AG125" s="3">
        <f>1/3</f>
        <v>0.33333333333333331</v>
      </c>
      <c r="AH125" s="3">
        <v>2</v>
      </c>
      <c r="AI125" s="3">
        <f>1/3</f>
        <v>0.33333333333333331</v>
      </c>
      <c r="AJ125" s="3">
        <f>1/4</f>
        <v>0.25</v>
      </c>
      <c r="AK125" s="3">
        <f>1/2</f>
        <v>0.5</v>
      </c>
    </row>
    <row r="126" spans="2:37" ht="15.4" x14ac:dyDescent="0.45">
      <c r="B126" s="17" t="s">
        <v>4</v>
      </c>
      <c r="C126" s="11">
        <v>9</v>
      </c>
      <c r="D126" s="1">
        <v>8</v>
      </c>
      <c r="E126" s="1">
        <v>7</v>
      </c>
      <c r="F126" s="1">
        <v>6</v>
      </c>
      <c r="G126" s="1">
        <v>5</v>
      </c>
      <c r="H126" s="1">
        <v>4</v>
      </c>
      <c r="I126" s="1">
        <v>3</v>
      </c>
      <c r="J126" s="1">
        <v>2</v>
      </c>
      <c r="K126" s="1">
        <v>1</v>
      </c>
      <c r="L126" s="59">
        <v>2</v>
      </c>
      <c r="M126" s="1">
        <v>3</v>
      </c>
      <c r="N126" s="1">
        <v>4</v>
      </c>
      <c r="O126" s="1">
        <v>5</v>
      </c>
      <c r="P126" s="1">
        <v>6</v>
      </c>
      <c r="Q126" s="1">
        <v>7</v>
      </c>
      <c r="R126" s="1">
        <v>8</v>
      </c>
      <c r="S126" s="12">
        <v>9</v>
      </c>
      <c r="T126" s="12" t="s">
        <v>16</v>
      </c>
      <c r="V126" s="2" t="s">
        <v>14</v>
      </c>
      <c r="W126" s="3">
        <f>1/AG116</f>
        <v>4</v>
      </c>
      <c r="X126" s="3">
        <f>1/AG117</f>
        <v>0.5</v>
      </c>
      <c r="Y126" s="3">
        <f>1/AG118</f>
        <v>0.5</v>
      </c>
      <c r="Z126" s="3">
        <f>1/AG119</f>
        <v>3</v>
      </c>
      <c r="AA126" s="3">
        <f>1/AG120</f>
        <v>4</v>
      </c>
      <c r="AB126" s="3">
        <f>1/AG121</f>
        <v>3</v>
      </c>
      <c r="AC126" s="3">
        <f>1/AG122</f>
        <v>0.5</v>
      </c>
      <c r="AD126" s="3">
        <f>1/AG123</f>
        <v>2</v>
      </c>
      <c r="AE126" s="3">
        <f>1/AG124</f>
        <v>4</v>
      </c>
      <c r="AF126" s="3">
        <f>1/AG125</f>
        <v>3</v>
      </c>
      <c r="AG126" s="3">
        <v>1</v>
      </c>
      <c r="AH126" s="3">
        <v>4</v>
      </c>
      <c r="AI126" s="3">
        <v>2</v>
      </c>
      <c r="AJ126" s="3">
        <f>1/3</f>
        <v>0.33333333333333331</v>
      </c>
      <c r="AK126" s="3">
        <f>1/2</f>
        <v>0.5</v>
      </c>
    </row>
    <row r="127" spans="2:37" ht="15.4" x14ac:dyDescent="0.45">
      <c r="B127" s="17" t="s">
        <v>4</v>
      </c>
      <c r="C127" s="11">
        <v>9</v>
      </c>
      <c r="D127" s="1">
        <v>8</v>
      </c>
      <c r="E127" s="1">
        <v>7</v>
      </c>
      <c r="F127" s="1">
        <v>6</v>
      </c>
      <c r="G127" s="1">
        <v>5</v>
      </c>
      <c r="H127" s="1">
        <v>4</v>
      </c>
      <c r="I127" s="1">
        <v>3</v>
      </c>
      <c r="J127" s="1">
        <v>2</v>
      </c>
      <c r="K127" s="1">
        <v>1</v>
      </c>
      <c r="L127" s="1">
        <v>2</v>
      </c>
      <c r="M127" s="1">
        <v>3</v>
      </c>
      <c r="N127" s="59">
        <v>4</v>
      </c>
      <c r="O127" s="1">
        <v>5</v>
      </c>
      <c r="P127" s="1">
        <v>6</v>
      </c>
      <c r="Q127" s="1">
        <v>7</v>
      </c>
      <c r="R127" s="1">
        <v>8</v>
      </c>
      <c r="S127" s="12">
        <v>9</v>
      </c>
      <c r="T127" s="12" t="s">
        <v>17</v>
      </c>
      <c r="V127" s="2" t="s">
        <v>15</v>
      </c>
      <c r="W127" s="3">
        <f>1/AH116</f>
        <v>2</v>
      </c>
      <c r="X127" s="3">
        <f>1/AH117</f>
        <v>0.33333333333333331</v>
      </c>
      <c r="Y127" s="3">
        <f>1/AH118</f>
        <v>0.25</v>
      </c>
      <c r="Z127" s="3">
        <f>1/AH119</f>
        <v>2</v>
      </c>
      <c r="AA127" s="3">
        <f>1/AH120</f>
        <v>4</v>
      </c>
      <c r="AB127" s="3">
        <f>1/AH121</f>
        <v>2</v>
      </c>
      <c r="AC127" s="3">
        <f>1/AH122</f>
        <v>0.33333333333333331</v>
      </c>
      <c r="AD127" s="3">
        <f>1/AH123</f>
        <v>2</v>
      </c>
      <c r="AE127" s="3">
        <f>1/AH124</f>
        <v>0.5</v>
      </c>
      <c r="AF127" s="3">
        <f>1/AH125</f>
        <v>0.5</v>
      </c>
      <c r="AG127" s="3">
        <f>1/AH126</f>
        <v>0.25</v>
      </c>
      <c r="AH127" s="3">
        <v>1</v>
      </c>
      <c r="AI127" s="3">
        <f>1/4</f>
        <v>0.25</v>
      </c>
      <c r="AJ127" s="3">
        <f>1/5</f>
        <v>0.2</v>
      </c>
      <c r="AK127" s="3">
        <f>1/3</f>
        <v>0.33333333333333331</v>
      </c>
    </row>
    <row r="128" spans="2:37" ht="15.4" x14ac:dyDescent="0.45">
      <c r="B128" s="13" t="s">
        <v>4</v>
      </c>
      <c r="C128" s="13">
        <v>9</v>
      </c>
      <c r="D128" s="14">
        <v>8</v>
      </c>
      <c r="E128" s="14">
        <v>7</v>
      </c>
      <c r="F128" s="14">
        <v>6</v>
      </c>
      <c r="G128" s="14">
        <v>5</v>
      </c>
      <c r="H128" s="14">
        <v>4</v>
      </c>
      <c r="I128" s="60">
        <v>3</v>
      </c>
      <c r="J128" s="14">
        <v>2</v>
      </c>
      <c r="K128" s="14">
        <v>1</v>
      </c>
      <c r="L128" s="14">
        <v>2</v>
      </c>
      <c r="M128" s="14">
        <v>3</v>
      </c>
      <c r="N128" s="14">
        <v>4</v>
      </c>
      <c r="O128" s="14">
        <v>5</v>
      </c>
      <c r="P128" s="14">
        <v>6</v>
      </c>
      <c r="Q128" s="14">
        <v>7</v>
      </c>
      <c r="R128" s="14">
        <v>8</v>
      </c>
      <c r="S128" s="15">
        <v>9</v>
      </c>
      <c r="T128" s="15" t="s">
        <v>18</v>
      </c>
      <c r="V128" s="2" t="s">
        <v>16</v>
      </c>
      <c r="W128" s="3">
        <f>1/AI116</f>
        <v>2</v>
      </c>
      <c r="X128" s="3">
        <f>1/AI117</f>
        <v>0.33333333333333331</v>
      </c>
      <c r="Y128" s="3">
        <f>1/AI118</f>
        <v>0.33333333333333331</v>
      </c>
      <c r="Z128" s="3">
        <f>1/AI119</f>
        <v>4</v>
      </c>
      <c r="AA128" s="3">
        <f>1/AI120</f>
        <v>4</v>
      </c>
      <c r="AB128" s="3">
        <f>1/AI121</f>
        <v>2</v>
      </c>
      <c r="AC128" s="3">
        <f>1/AI122</f>
        <v>0.33333333333333331</v>
      </c>
      <c r="AD128" s="3">
        <f>1/AI123</f>
        <v>2</v>
      </c>
      <c r="AE128" s="3">
        <f>1/AI124</f>
        <v>2</v>
      </c>
      <c r="AF128" s="3">
        <f>1/AI125</f>
        <v>3</v>
      </c>
      <c r="AG128" s="3">
        <f>1/AI126</f>
        <v>0.5</v>
      </c>
      <c r="AH128" s="3">
        <f>1/AI127</f>
        <v>4</v>
      </c>
      <c r="AI128" s="3">
        <v>1</v>
      </c>
      <c r="AJ128" s="3">
        <f>1/3</f>
        <v>0.33333333333333331</v>
      </c>
      <c r="AK128" s="3">
        <f>1/2</f>
        <v>0.5</v>
      </c>
    </row>
    <row r="129" spans="2:37" ht="15.4" x14ac:dyDescent="0.45">
      <c r="B129" s="16" t="s">
        <v>5</v>
      </c>
      <c r="C129" s="11">
        <v>9</v>
      </c>
      <c r="D129" s="1">
        <v>8</v>
      </c>
      <c r="E129" s="1">
        <v>7</v>
      </c>
      <c r="F129" s="1">
        <v>6</v>
      </c>
      <c r="G129" s="1">
        <v>5</v>
      </c>
      <c r="H129" s="1">
        <v>4</v>
      </c>
      <c r="I129" s="59">
        <v>3</v>
      </c>
      <c r="J129" s="1">
        <v>2</v>
      </c>
      <c r="K129" s="1">
        <v>1</v>
      </c>
      <c r="L129" s="1">
        <v>2</v>
      </c>
      <c r="M129" s="1">
        <v>3</v>
      </c>
      <c r="N129" s="1">
        <v>4</v>
      </c>
      <c r="O129" s="1">
        <v>5</v>
      </c>
      <c r="P129" s="1">
        <v>6</v>
      </c>
      <c r="Q129" s="1">
        <v>7</v>
      </c>
      <c r="R129" s="1">
        <v>8</v>
      </c>
      <c r="S129" s="12">
        <v>9</v>
      </c>
      <c r="T129" s="12" t="s">
        <v>6</v>
      </c>
      <c r="V129" s="2" t="s">
        <v>17</v>
      </c>
      <c r="W129" s="3">
        <f>1/AJ116</f>
        <v>4</v>
      </c>
      <c r="X129" s="3">
        <f>1/AJ117</f>
        <v>0.5</v>
      </c>
      <c r="Y129" s="3">
        <f>1/AJ118</f>
        <v>3</v>
      </c>
      <c r="Z129" s="3">
        <f>1/AJ119</f>
        <v>5</v>
      </c>
      <c r="AA129" s="3">
        <f>1/AJ120</f>
        <v>6</v>
      </c>
      <c r="AB129" s="3">
        <f>1/AJ121</f>
        <v>4</v>
      </c>
      <c r="AC129" s="3">
        <f>1/AJ122</f>
        <v>3</v>
      </c>
      <c r="AD129" s="3">
        <f>1/AJ123</f>
        <v>4</v>
      </c>
      <c r="AE129" s="3">
        <f>1/AJ124</f>
        <v>4</v>
      </c>
      <c r="AF129" s="3">
        <f>1/AJ125</f>
        <v>4</v>
      </c>
      <c r="AG129" s="3">
        <f>1/AJ126</f>
        <v>3</v>
      </c>
      <c r="AH129" s="3">
        <f>1/AJ127</f>
        <v>5</v>
      </c>
      <c r="AI129" s="3">
        <f>1/AJ128</f>
        <v>3</v>
      </c>
      <c r="AJ129" s="3">
        <v>1</v>
      </c>
      <c r="AK129" s="3">
        <v>2</v>
      </c>
    </row>
    <row r="130" spans="2:37" ht="15.4" x14ac:dyDescent="0.45">
      <c r="B130" s="17" t="s">
        <v>5</v>
      </c>
      <c r="C130" s="11">
        <v>9</v>
      </c>
      <c r="D130" s="1">
        <v>8</v>
      </c>
      <c r="E130" s="1">
        <v>7</v>
      </c>
      <c r="F130" s="1">
        <v>6</v>
      </c>
      <c r="G130" s="1">
        <v>5</v>
      </c>
      <c r="H130" s="59">
        <v>4</v>
      </c>
      <c r="I130" s="18">
        <v>3</v>
      </c>
      <c r="J130" s="1">
        <v>2</v>
      </c>
      <c r="K130" s="1">
        <v>1</v>
      </c>
      <c r="L130" s="1">
        <v>2</v>
      </c>
      <c r="M130" s="1">
        <v>3</v>
      </c>
      <c r="N130" s="1">
        <v>4</v>
      </c>
      <c r="O130" s="1">
        <v>5</v>
      </c>
      <c r="P130" s="1">
        <v>6</v>
      </c>
      <c r="Q130" s="1">
        <v>7</v>
      </c>
      <c r="R130" s="1">
        <v>8</v>
      </c>
      <c r="S130" s="12">
        <v>9</v>
      </c>
      <c r="T130" s="12" t="s">
        <v>7</v>
      </c>
      <c r="V130" s="2" t="s">
        <v>18</v>
      </c>
      <c r="W130" s="3">
        <f>1/AK116</f>
        <v>0.33333333333333331</v>
      </c>
      <c r="X130" s="3">
        <f>1/AK117</f>
        <v>0.25</v>
      </c>
      <c r="Y130" s="3">
        <f>1/AK118</f>
        <v>0.33333333333333331</v>
      </c>
      <c r="Z130" s="3">
        <f>1/AK119</f>
        <v>2</v>
      </c>
      <c r="AA130" s="3">
        <f>1/AK120</f>
        <v>5</v>
      </c>
      <c r="AB130" s="3">
        <f>1/AK121</f>
        <v>2</v>
      </c>
      <c r="AC130" s="3">
        <f>1/AK122</f>
        <v>0.33333333333333331</v>
      </c>
      <c r="AD130" s="3">
        <f>1/AK123</f>
        <v>2</v>
      </c>
      <c r="AE130" s="3">
        <f>1/AK124</f>
        <v>3</v>
      </c>
      <c r="AF130" s="3">
        <f>1/AK125</f>
        <v>2</v>
      </c>
      <c r="AG130" s="3">
        <f>1/AK126</f>
        <v>2</v>
      </c>
      <c r="AH130" s="3">
        <f>1/AK127</f>
        <v>3</v>
      </c>
      <c r="AI130" s="3">
        <f>1/AK128</f>
        <v>2</v>
      </c>
      <c r="AJ130" s="3">
        <f>1/AK129</f>
        <v>0.5</v>
      </c>
      <c r="AK130" s="3">
        <v>1</v>
      </c>
    </row>
    <row r="131" spans="2:37" ht="15.4" x14ac:dyDescent="0.45">
      <c r="B131" s="17" t="s">
        <v>5</v>
      </c>
      <c r="C131" s="11">
        <v>9</v>
      </c>
      <c r="D131" s="1">
        <v>8</v>
      </c>
      <c r="E131" s="1">
        <v>7</v>
      </c>
      <c r="F131" s="1">
        <v>6</v>
      </c>
      <c r="G131" s="59">
        <v>5</v>
      </c>
      <c r="H131" s="1">
        <v>4</v>
      </c>
      <c r="I131" s="1">
        <v>3</v>
      </c>
      <c r="J131" s="1">
        <v>2</v>
      </c>
      <c r="K131" s="1">
        <v>1</v>
      </c>
      <c r="L131" s="1">
        <v>2</v>
      </c>
      <c r="M131" s="1">
        <v>3</v>
      </c>
      <c r="N131" s="1">
        <v>4</v>
      </c>
      <c r="O131" s="1">
        <v>5</v>
      </c>
      <c r="P131" s="1">
        <v>6</v>
      </c>
      <c r="Q131" s="1">
        <v>7</v>
      </c>
      <c r="R131" s="1">
        <v>8</v>
      </c>
      <c r="S131" s="12">
        <v>9</v>
      </c>
      <c r="T131" s="12" t="s">
        <v>8</v>
      </c>
    </row>
    <row r="132" spans="2:37" ht="15.4" x14ac:dyDescent="0.45">
      <c r="B132" s="17" t="s">
        <v>5</v>
      </c>
      <c r="C132" s="11">
        <v>9</v>
      </c>
      <c r="D132" s="1">
        <v>8</v>
      </c>
      <c r="E132" s="1">
        <v>7</v>
      </c>
      <c r="F132" s="1">
        <v>6</v>
      </c>
      <c r="G132" s="1">
        <v>5</v>
      </c>
      <c r="H132" s="59">
        <v>4</v>
      </c>
      <c r="I132" s="1">
        <v>3</v>
      </c>
      <c r="J132" s="1">
        <v>2</v>
      </c>
      <c r="K132" s="1">
        <v>1</v>
      </c>
      <c r="L132" s="1">
        <v>2</v>
      </c>
      <c r="M132" s="1">
        <v>3</v>
      </c>
      <c r="N132" s="1">
        <v>4</v>
      </c>
      <c r="O132" s="1">
        <v>5</v>
      </c>
      <c r="P132" s="1">
        <v>6</v>
      </c>
      <c r="Q132" s="1">
        <v>7</v>
      </c>
      <c r="R132" s="1">
        <v>8</v>
      </c>
      <c r="S132" s="12">
        <v>9</v>
      </c>
      <c r="T132" s="12" t="s">
        <v>9</v>
      </c>
    </row>
    <row r="133" spans="2:37" ht="15.4" x14ac:dyDescent="0.45">
      <c r="B133" s="17" t="s">
        <v>5</v>
      </c>
      <c r="C133" s="11">
        <v>9</v>
      </c>
      <c r="D133" s="1">
        <v>8</v>
      </c>
      <c r="E133" s="1">
        <v>7</v>
      </c>
      <c r="F133" s="1">
        <v>6</v>
      </c>
      <c r="G133" s="1">
        <v>5</v>
      </c>
      <c r="H133" s="1">
        <v>4</v>
      </c>
      <c r="I133" s="59">
        <v>3</v>
      </c>
      <c r="J133" s="1">
        <v>2</v>
      </c>
      <c r="K133" s="1">
        <v>1</v>
      </c>
      <c r="L133" s="1">
        <v>2</v>
      </c>
      <c r="M133" s="1">
        <v>3</v>
      </c>
      <c r="N133" s="1">
        <v>4</v>
      </c>
      <c r="O133" s="1">
        <v>5</v>
      </c>
      <c r="P133" s="1">
        <v>6</v>
      </c>
      <c r="Q133" s="1">
        <v>7</v>
      </c>
      <c r="R133" s="1">
        <v>8</v>
      </c>
      <c r="S133" s="12">
        <v>9</v>
      </c>
      <c r="T133" s="12" t="s">
        <v>10</v>
      </c>
    </row>
    <row r="134" spans="2:37" ht="15.4" x14ac:dyDescent="0.45">
      <c r="B134" s="17" t="s">
        <v>5</v>
      </c>
      <c r="C134" s="11">
        <v>9</v>
      </c>
      <c r="D134" s="1">
        <v>8</v>
      </c>
      <c r="E134" s="1">
        <v>7</v>
      </c>
      <c r="F134" s="1">
        <v>6</v>
      </c>
      <c r="G134" s="1">
        <v>5</v>
      </c>
      <c r="H134" s="1">
        <v>4</v>
      </c>
      <c r="I134" s="1">
        <v>3</v>
      </c>
      <c r="J134" s="59">
        <v>2</v>
      </c>
      <c r="K134" s="1">
        <v>1</v>
      </c>
      <c r="L134" s="1">
        <v>2</v>
      </c>
      <c r="M134" s="1">
        <v>3</v>
      </c>
      <c r="N134" s="1">
        <v>4</v>
      </c>
      <c r="O134" s="1">
        <v>5</v>
      </c>
      <c r="P134" s="1">
        <v>6</v>
      </c>
      <c r="Q134" s="1">
        <v>7</v>
      </c>
      <c r="R134" s="1">
        <v>8</v>
      </c>
      <c r="S134" s="12">
        <v>9</v>
      </c>
      <c r="T134" s="12" t="s">
        <v>11</v>
      </c>
    </row>
    <row r="135" spans="2:37" ht="15.4" x14ac:dyDescent="0.45">
      <c r="B135" s="17" t="s">
        <v>5</v>
      </c>
      <c r="C135" s="11">
        <v>9</v>
      </c>
      <c r="D135" s="1">
        <v>8</v>
      </c>
      <c r="E135" s="1">
        <v>7</v>
      </c>
      <c r="F135" s="1">
        <v>6</v>
      </c>
      <c r="G135" s="1">
        <v>5</v>
      </c>
      <c r="H135" s="59">
        <v>4</v>
      </c>
      <c r="I135" s="1">
        <v>3</v>
      </c>
      <c r="J135" s="1">
        <v>2</v>
      </c>
      <c r="K135" s="1">
        <v>1</v>
      </c>
      <c r="L135" s="1">
        <v>2</v>
      </c>
      <c r="M135" s="1">
        <v>3</v>
      </c>
      <c r="N135" s="1">
        <v>4</v>
      </c>
      <c r="O135" s="1">
        <v>5</v>
      </c>
      <c r="P135" s="1">
        <v>6</v>
      </c>
      <c r="Q135" s="1">
        <v>7</v>
      </c>
      <c r="R135" s="1">
        <v>8</v>
      </c>
      <c r="S135" s="12">
        <v>9</v>
      </c>
      <c r="T135" s="12" t="s">
        <v>12</v>
      </c>
    </row>
    <row r="136" spans="2:37" ht="15.4" x14ac:dyDescent="0.45">
      <c r="B136" s="17" t="s">
        <v>5</v>
      </c>
      <c r="C136" s="11">
        <v>9</v>
      </c>
      <c r="D136" s="1">
        <v>8</v>
      </c>
      <c r="E136" s="1">
        <v>7</v>
      </c>
      <c r="F136" s="1">
        <v>6</v>
      </c>
      <c r="G136" s="1">
        <v>5</v>
      </c>
      <c r="H136" s="1">
        <v>4</v>
      </c>
      <c r="I136" s="1">
        <v>3</v>
      </c>
      <c r="J136" s="1">
        <v>2</v>
      </c>
      <c r="K136" s="1">
        <v>1</v>
      </c>
      <c r="L136" s="59">
        <v>2</v>
      </c>
      <c r="M136" s="1">
        <v>3</v>
      </c>
      <c r="N136" s="1">
        <v>4</v>
      </c>
      <c r="O136" s="1">
        <v>5</v>
      </c>
      <c r="P136" s="1">
        <v>6</v>
      </c>
      <c r="Q136" s="1">
        <v>7</v>
      </c>
      <c r="R136" s="1">
        <v>8</v>
      </c>
      <c r="S136" s="12">
        <v>9</v>
      </c>
      <c r="T136" s="12" t="s">
        <v>13</v>
      </c>
    </row>
    <row r="137" spans="2:37" ht="15.4" x14ac:dyDescent="0.45">
      <c r="B137" s="17" t="s">
        <v>5</v>
      </c>
      <c r="C137" s="11">
        <v>9</v>
      </c>
      <c r="D137" s="1">
        <v>8</v>
      </c>
      <c r="E137" s="1">
        <v>7</v>
      </c>
      <c r="F137" s="1">
        <v>6</v>
      </c>
      <c r="G137" s="1">
        <v>5</v>
      </c>
      <c r="H137" s="1">
        <v>4</v>
      </c>
      <c r="I137" s="1">
        <v>3</v>
      </c>
      <c r="J137" s="59">
        <v>2</v>
      </c>
      <c r="K137" s="1">
        <v>1</v>
      </c>
      <c r="L137" s="1">
        <v>2</v>
      </c>
      <c r="M137" s="1">
        <v>3</v>
      </c>
      <c r="N137" s="1">
        <v>4</v>
      </c>
      <c r="O137" s="1">
        <v>5</v>
      </c>
      <c r="P137" s="1">
        <v>6</v>
      </c>
      <c r="Q137" s="1">
        <v>7</v>
      </c>
      <c r="R137" s="1">
        <v>8</v>
      </c>
      <c r="S137" s="12">
        <v>9</v>
      </c>
      <c r="T137" s="12" t="s">
        <v>14</v>
      </c>
    </row>
    <row r="138" spans="2:37" ht="15.4" x14ac:dyDescent="0.45">
      <c r="B138" s="17" t="s">
        <v>5</v>
      </c>
      <c r="C138" s="11">
        <v>9</v>
      </c>
      <c r="D138" s="1">
        <v>8</v>
      </c>
      <c r="E138" s="1">
        <v>7</v>
      </c>
      <c r="F138" s="1">
        <v>6</v>
      </c>
      <c r="G138" s="1">
        <v>5</v>
      </c>
      <c r="H138" s="1">
        <v>4</v>
      </c>
      <c r="I138" s="59">
        <v>3</v>
      </c>
      <c r="J138" s="1">
        <v>2</v>
      </c>
      <c r="K138" s="1">
        <v>1</v>
      </c>
      <c r="L138" s="1">
        <v>2</v>
      </c>
      <c r="M138" s="1">
        <v>3</v>
      </c>
      <c r="N138" s="1">
        <v>4</v>
      </c>
      <c r="O138" s="1">
        <v>5</v>
      </c>
      <c r="P138" s="1">
        <v>6</v>
      </c>
      <c r="Q138" s="1">
        <v>7</v>
      </c>
      <c r="R138" s="1">
        <v>8</v>
      </c>
      <c r="S138" s="12">
        <v>9</v>
      </c>
      <c r="T138" s="12" t="s">
        <v>15</v>
      </c>
    </row>
    <row r="139" spans="2:37" ht="15.4" x14ac:dyDescent="0.45">
      <c r="B139" s="17" t="s">
        <v>5</v>
      </c>
      <c r="C139" s="11">
        <v>9</v>
      </c>
      <c r="D139" s="1">
        <v>8</v>
      </c>
      <c r="E139" s="1">
        <v>7</v>
      </c>
      <c r="F139" s="1">
        <v>6</v>
      </c>
      <c r="G139" s="1">
        <v>5</v>
      </c>
      <c r="H139" s="1">
        <v>4</v>
      </c>
      <c r="I139" s="59">
        <v>3</v>
      </c>
      <c r="J139" s="1">
        <v>2</v>
      </c>
      <c r="K139" s="1">
        <v>1</v>
      </c>
      <c r="L139" s="1">
        <v>2</v>
      </c>
      <c r="M139" s="1">
        <v>3</v>
      </c>
      <c r="N139" s="1">
        <v>4</v>
      </c>
      <c r="O139" s="1">
        <v>5</v>
      </c>
      <c r="P139" s="1">
        <v>6</v>
      </c>
      <c r="Q139" s="1">
        <v>7</v>
      </c>
      <c r="R139" s="1">
        <v>8</v>
      </c>
      <c r="S139" s="12">
        <v>9</v>
      </c>
      <c r="T139" s="12" t="s">
        <v>16</v>
      </c>
    </row>
    <row r="140" spans="2:37" ht="15.4" x14ac:dyDescent="0.45">
      <c r="B140" s="17" t="s">
        <v>5</v>
      </c>
      <c r="C140" s="11">
        <v>9</v>
      </c>
      <c r="D140" s="1">
        <v>8</v>
      </c>
      <c r="E140" s="1">
        <v>7</v>
      </c>
      <c r="F140" s="1">
        <v>6</v>
      </c>
      <c r="G140" s="1">
        <v>5</v>
      </c>
      <c r="H140" s="1">
        <v>4</v>
      </c>
      <c r="I140" s="1">
        <v>3</v>
      </c>
      <c r="J140" s="59">
        <v>2</v>
      </c>
      <c r="K140" s="1">
        <v>1</v>
      </c>
      <c r="L140" s="1">
        <v>2</v>
      </c>
      <c r="M140" s="1">
        <v>3</v>
      </c>
      <c r="N140" s="1">
        <v>4</v>
      </c>
      <c r="O140" s="1">
        <v>5</v>
      </c>
      <c r="P140" s="1">
        <v>6</v>
      </c>
      <c r="Q140" s="1">
        <v>7</v>
      </c>
      <c r="R140" s="1">
        <v>8</v>
      </c>
      <c r="S140" s="12">
        <v>9</v>
      </c>
      <c r="T140" s="12" t="s">
        <v>17</v>
      </c>
    </row>
    <row r="141" spans="2:37" ht="15.4" x14ac:dyDescent="0.45">
      <c r="B141" s="19" t="s">
        <v>5</v>
      </c>
      <c r="C141" s="13">
        <v>9</v>
      </c>
      <c r="D141" s="14">
        <v>8</v>
      </c>
      <c r="E141" s="14">
        <v>7</v>
      </c>
      <c r="F141" s="14">
        <v>6</v>
      </c>
      <c r="G141" s="14">
        <v>5</v>
      </c>
      <c r="H141" s="60">
        <v>4</v>
      </c>
      <c r="I141" s="14">
        <v>3</v>
      </c>
      <c r="J141" s="14">
        <v>2</v>
      </c>
      <c r="K141" s="14">
        <v>1</v>
      </c>
      <c r="L141" s="14">
        <v>2</v>
      </c>
      <c r="M141" s="14">
        <v>3</v>
      </c>
      <c r="N141" s="14">
        <v>4</v>
      </c>
      <c r="O141" s="14">
        <v>5</v>
      </c>
      <c r="P141" s="14">
        <v>6</v>
      </c>
      <c r="Q141" s="14">
        <v>7</v>
      </c>
      <c r="R141" s="14">
        <v>8</v>
      </c>
      <c r="S141" s="15">
        <v>9</v>
      </c>
      <c r="T141" s="15" t="s">
        <v>18</v>
      </c>
    </row>
    <row r="142" spans="2:37" ht="15.4" x14ac:dyDescent="0.45">
      <c r="B142" s="16" t="s">
        <v>6</v>
      </c>
      <c r="C142" s="11">
        <v>9</v>
      </c>
      <c r="D142" s="1">
        <v>8</v>
      </c>
      <c r="E142" s="1">
        <v>7</v>
      </c>
      <c r="F142" s="1">
        <v>6</v>
      </c>
      <c r="G142" s="1">
        <v>5</v>
      </c>
      <c r="H142" s="59">
        <v>4</v>
      </c>
      <c r="I142" s="18">
        <v>3</v>
      </c>
      <c r="J142" s="1">
        <v>2</v>
      </c>
      <c r="K142" s="1">
        <v>1</v>
      </c>
      <c r="L142" s="1">
        <v>2</v>
      </c>
      <c r="M142" s="1">
        <v>3</v>
      </c>
      <c r="N142" s="1">
        <v>4</v>
      </c>
      <c r="O142" s="1">
        <v>5</v>
      </c>
      <c r="P142" s="1">
        <v>6</v>
      </c>
      <c r="Q142" s="1">
        <v>7</v>
      </c>
      <c r="R142" s="1">
        <v>8</v>
      </c>
      <c r="S142" s="12">
        <v>9</v>
      </c>
      <c r="T142" s="12" t="s">
        <v>7</v>
      </c>
    </row>
    <row r="143" spans="2:37" ht="15.4" x14ac:dyDescent="0.45">
      <c r="B143" s="17" t="s">
        <v>6</v>
      </c>
      <c r="C143" s="11">
        <v>9</v>
      </c>
      <c r="D143" s="1">
        <v>8</v>
      </c>
      <c r="E143" s="1">
        <v>7</v>
      </c>
      <c r="F143" s="1">
        <v>6</v>
      </c>
      <c r="G143" s="59">
        <v>5</v>
      </c>
      <c r="H143" s="1">
        <v>4</v>
      </c>
      <c r="I143" s="1">
        <v>3</v>
      </c>
      <c r="J143" s="1">
        <v>2</v>
      </c>
      <c r="K143" s="1">
        <v>1</v>
      </c>
      <c r="L143" s="1">
        <v>2</v>
      </c>
      <c r="M143" s="1">
        <v>3</v>
      </c>
      <c r="N143" s="1">
        <v>4</v>
      </c>
      <c r="O143" s="1">
        <v>5</v>
      </c>
      <c r="P143" s="1">
        <v>6</v>
      </c>
      <c r="Q143" s="1">
        <v>7</v>
      </c>
      <c r="R143" s="1">
        <v>8</v>
      </c>
      <c r="S143" s="12">
        <v>9</v>
      </c>
      <c r="T143" s="12" t="s">
        <v>8</v>
      </c>
    </row>
    <row r="144" spans="2:37" ht="15.4" x14ac:dyDescent="0.45">
      <c r="B144" s="17" t="s">
        <v>6</v>
      </c>
      <c r="C144" s="11">
        <v>9</v>
      </c>
      <c r="D144" s="1">
        <v>8</v>
      </c>
      <c r="E144" s="1">
        <v>7</v>
      </c>
      <c r="F144" s="1">
        <v>6</v>
      </c>
      <c r="G144" s="1">
        <v>5</v>
      </c>
      <c r="H144" s="1">
        <v>4</v>
      </c>
      <c r="I144" s="59">
        <v>3</v>
      </c>
      <c r="J144" s="1">
        <v>2</v>
      </c>
      <c r="K144" s="1">
        <v>1</v>
      </c>
      <c r="L144" s="1">
        <v>2</v>
      </c>
      <c r="M144" s="1">
        <v>3</v>
      </c>
      <c r="N144" s="1">
        <v>4</v>
      </c>
      <c r="O144" s="1">
        <v>5</v>
      </c>
      <c r="P144" s="1">
        <v>6</v>
      </c>
      <c r="Q144" s="1">
        <v>7</v>
      </c>
      <c r="R144" s="1">
        <v>8</v>
      </c>
      <c r="S144" s="12">
        <v>9</v>
      </c>
      <c r="T144" s="12" t="s">
        <v>9</v>
      </c>
    </row>
    <row r="145" spans="2:20" ht="15.4" x14ac:dyDescent="0.45">
      <c r="B145" s="17" t="s">
        <v>6</v>
      </c>
      <c r="C145" s="11">
        <v>9</v>
      </c>
      <c r="D145" s="1">
        <v>8</v>
      </c>
      <c r="E145" s="1">
        <v>7</v>
      </c>
      <c r="F145" s="1">
        <v>6</v>
      </c>
      <c r="G145" s="1">
        <v>5</v>
      </c>
      <c r="H145" s="1">
        <v>4</v>
      </c>
      <c r="I145" s="1">
        <v>3</v>
      </c>
      <c r="J145" s="1">
        <v>2</v>
      </c>
      <c r="K145" s="1">
        <v>1</v>
      </c>
      <c r="L145" s="1">
        <v>2</v>
      </c>
      <c r="M145" s="59">
        <v>3</v>
      </c>
      <c r="N145" s="1">
        <v>4</v>
      </c>
      <c r="O145" s="1">
        <v>5</v>
      </c>
      <c r="P145" s="1">
        <v>6</v>
      </c>
      <c r="Q145" s="1">
        <v>7</v>
      </c>
      <c r="R145" s="1">
        <v>8</v>
      </c>
      <c r="S145" s="12">
        <v>9</v>
      </c>
      <c r="T145" s="12" t="s">
        <v>10</v>
      </c>
    </row>
    <row r="146" spans="2:20" ht="15.4" x14ac:dyDescent="0.45">
      <c r="B146" s="17" t="s">
        <v>6</v>
      </c>
      <c r="C146" s="11">
        <v>9</v>
      </c>
      <c r="D146" s="1">
        <v>8</v>
      </c>
      <c r="E146" s="1">
        <v>7</v>
      </c>
      <c r="F146" s="1">
        <v>6</v>
      </c>
      <c r="G146" s="1">
        <v>5</v>
      </c>
      <c r="H146" s="1">
        <v>4</v>
      </c>
      <c r="I146" s="59">
        <v>3</v>
      </c>
      <c r="J146" s="1">
        <v>2</v>
      </c>
      <c r="K146" s="1">
        <v>1</v>
      </c>
      <c r="L146" s="1">
        <v>2</v>
      </c>
      <c r="M146" s="1">
        <v>3</v>
      </c>
      <c r="N146" s="1">
        <v>4</v>
      </c>
      <c r="O146" s="1">
        <v>5</v>
      </c>
      <c r="P146" s="1">
        <v>6</v>
      </c>
      <c r="Q146" s="1">
        <v>7</v>
      </c>
      <c r="R146" s="1">
        <v>8</v>
      </c>
      <c r="S146" s="12">
        <v>9</v>
      </c>
      <c r="T146" s="12" t="s">
        <v>11</v>
      </c>
    </row>
    <row r="147" spans="2:20" ht="15.4" x14ac:dyDescent="0.45">
      <c r="B147" s="17" t="s">
        <v>6</v>
      </c>
      <c r="C147" s="11">
        <v>9</v>
      </c>
      <c r="D147" s="1">
        <v>8</v>
      </c>
      <c r="E147" s="1">
        <v>7</v>
      </c>
      <c r="F147" s="1">
        <v>6</v>
      </c>
      <c r="G147" s="1">
        <v>5</v>
      </c>
      <c r="H147" s="59">
        <v>4</v>
      </c>
      <c r="I147" s="1">
        <v>3</v>
      </c>
      <c r="J147" s="1">
        <v>2</v>
      </c>
      <c r="K147" s="1">
        <v>1</v>
      </c>
      <c r="L147" s="1">
        <v>2</v>
      </c>
      <c r="M147" s="1">
        <v>3</v>
      </c>
      <c r="N147" s="1">
        <v>4</v>
      </c>
      <c r="O147" s="1">
        <v>5</v>
      </c>
      <c r="P147" s="1">
        <v>6</v>
      </c>
      <c r="Q147" s="1">
        <v>7</v>
      </c>
      <c r="R147" s="1">
        <v>8</v>
      </c>
      <c r="S147" s="12">
        <v>9</v>
      </c>
      <c r="T147" s="12" t="s">
        <v>12</v>
      </c>
    </row>
    <row r="148" spans="2:20" ht="15.4" x14ac:dyDescent="0.45">
      <c r="B148" s="17" t="s">
        <v>6</v>
      </c>
      <c r="C148" s="11">
        <v>9</v>
      </c>
      <c r="D148" s="1">
        <v>8</v>
      </c>
      <c r="E148" s="1">
        <v>7</v>
      </c>
      <c r="F148" s="1">
        <v>6</v>
      </c>
      <c r="G148" s="1">
        <v>5</v>
      </c>
      <c r="H148" s="1">
        <v>4</v>
      </c>
      <c r="I148" s="1">
        <v>3</v>
      </c>
      <c r="J148" s="1">
        <v>2</v>
      </c>
      <c r="K148" s="1">
        <v>1</v>
      </c>
      <c r="L148" s="59">
        <v>2</v>
      </c>
      <c r="M148" s="1">
        <v>3</v>
      </c>
      <c r="N148" s="1">
        <v>4</v>
      </c>
      <c r="O148" s="1">
        <v>5</v>
      </c>
      <c r="P148" s="1">
        <v>6</v>
      </c>
      <c r="Q148" s="1">
        <v>7</v>
      </c>
      <c r="R148" s="1">
        <v>8</v>
      </c>
      <c r="S148" s="12">
        <v>9</v>
      </c>
      <c r="T148" s="12" t="s">
        <v>13</v>
      </c>
    </row>
    <row r="149" spans="2:20" ht="15.4" x14ac:dyDescent="0.45">
      <c r="B149" s="17" t="s">
        <v>6</v>
      </c>
      <c r="C149" s="11">
        <v>9</v>
      </c>
      <c r="D149" s="1">
        <v>8</v>
      </c>
      <c r="E149" s="1">
        <v>7</v>
      </c>
      <c r="F149" s="1">
        <v>6</v>
      </c>
      <c r="G149" s="1">
        <v>5</v>
      </c>
      <c r="H149" s="1">
        <v>4</v>
      </c>
      <c r="I149" s="1">
        <v>3</v>
      </c>
      <c r="J149" s="59">
        <v>2</v>
      </c>
      <c r="K149" s="1">
        <v>1</v>
      </c>
      <c r="L149" s="1">
        <v>2</v>
      </c>
      <c r="M149" s="1">
        <v>3</v>
      </c>
      <c r="N149" s="1">
        <v>4</v>
      </c>
      <c r="O149" s="1">
        <v>5</v>
      </c>
      <c r="P149" s="1">
        <v>6</v>
      </c>
      <c r="Q149" s="1">
        <v>7</v>
      </c>
      <c r="R149" s="1">
        <v>8</v>
      </c>
      <c r="S149" s="12">
        <v>9</v>
      </c>
      <c r="T149" s="12" t="s">
        <v>14</v>
      </c>
    </row>
    <row r="150" spans="2:20" ht="15.4" x14ac:dyDescent="0.45">
      <c r="B150" s="17" t="s">
        <v>6</v>
      </c>
      <c r="C150" s="11">
        <v>9</v>
      </c>
      <c r="D150" s="1">
        <v>8</v>
      </c>
      <c r="E150" s="1">
        <v>7</v>
      </c>
      <c r="F150" s="1">
        <v>6</v>
      </c>
      <c r="G150" s="1">
        <v>5</v>
      </c>
      <c r="H150" s="59">
        <v>4</v>
      </c>
      <c r="I150" s="1">
        <v>3</v>
      </c>
      <c r="J150" s="1">
        <v>2</v>
      </c>
      <c r="K150" s="1">
        <v>1</v>
      </c>
      <c r="L150" s="1">
        <v>2</v>
      </c>
      <c r="M150" s="1">
        <v>3</v>
      </c>
      <c r="N150" s="1">
        <v>4</v>
      </c>
      <c r="O150" s="1">
        <v>5</v>
      </c>
      <c r="P150" s="1">
        <v>6</v>
      </c>
      <c r="Q150" s="1">
        <v>7</v>
      </c>
      <c r="R150" s="1">
        <v>8</v>
      </c>
      <c r="S150" s="12">
        <v>9</v>
      </c>
      <c r="T150" s="12" t="s">
        <v>15</v>
      </c>
    </row>
    <row r="151" spans="2:20" ht="15.4" x14ac:dyDescent="0.45">
      <c r="B151" s="17" t="s">
        <v>6</v>
      </c>
      <c r="C151" s="11">
        <v>9</v>
      </c>
      <c r="D151" s="1">
        <v>8</v>
      </c>
      <c r="E151" s="1">
        <v>7</v>
      </c>
      <c r="F151" s="1">
        <v>6</v>
      </c>
      <c r="G151" s="1">
        <v>5</v>
      </c>
      <c r="H151" s="1">
        <v>4</v>
      </c>
      <c r="I151" s="59">
        <v>3</v>
      </c>
      <c r="J151" s="1">
        <v>2</v>
      </c>
      <c r="K151" s="1">
        <v>1</v>
      </c>
      <c r="L151" s="1">
        <v>2</v>
      </c>
      <c r="M151" s="1">
        <v>3</v>
      </c>
      <c r="N151" s="1">
        <v>4</v>
      </c>
      <c r="O151" s="1">
        <v>5</v>
      </c>
      <c r="P151" s="1">
        <v>6</v>
      </c>
      <c r="Q151" s="1">
        <v>7</v>
      </c>
      <c r="R151" s="1">
        <v>8</v>
      </c>
      <c r="S151" s="12">
        <v>9</v>
      </c>
      <c r="T151" s="12" t="s">
        <v>16</v>
      </c>
    </row>
    <row r="152" spans="2:20" ht="15.4" x14ac:dyDescent="0.45">
      <c r="B152" s="17" t="s">
        <v>6</v>
      </c>
      <c r="C152" s="11">
        <v>9</v>
      </c>
      <c r="D152" s="1">
        <v>8</v>
      </c>
      <c r="E152" s="1">
        <v>7</v>
      </c>
      <c r="F152" s="1">
        <v>6</v>
      </c>
      <c r="G152" s="1">
        <v>5</v>
      </c>
      <c r="H152" s="1">
        <v>4</v>
      </c>
      <c r="I152" s="1">
        <v>3</v>
      </c>
      <c r="J152" s="1">
        <v>2</v>
      </c>
      <c r="K152" s="1">
        <v>1</v>
      </c>
      <c r="L152" s="1">
        <v>2</v>
      </c>
      <c r="M152" s="59">
        <v>3</v>
      </c>
      <c r="N152" s="1">
        <v>4</v>
      </c>
      <c r="O152" s="1">
        <v>5</v>
      </c>
      <c r="P152" s="1">
        <v>6</v>
      </c>
      <c r="Q152" s="1">
        <v>7</v>
      </c>
      <c r="R152" s="1">
        <v>8</v>
      </c>
      <c r="S152" s="12">
        <v>9</v>
      </c>
      <c r="T152" s="12" t="s">
        <v>17</v>
      </c>
    </row>
    <row r="153" spans="2:20" ht="15.4" x14ac:dyDescent="0.45">
      <c r="B153" s="17" t="s">
        <v>6</v>
      </c>
      <c r="C153" s="13">
        <v>9</v>
      </c>
      <c r="D153" s="14">
        <v>8</v>
      </c>
      <c r="E153" s="14">
        <v>7</v>
      </c>
      <c r="F153" s="14">
        <v>6</v>
      </c>
      <c r="G153" s="14">
        <v>5</v>
      </c>
      <c r="H153" s="14">
        <v>4</v>
      </c>
      <c r="I153" s="60">
        <v>3</v>
      </c>
      <c r="J153" s="14">
        <v>2</v>
      </c>
      <c r="K153" s="14">
        <v>1</v>
      </c>
      <c r="L153" s="14">
        <v>2</v>
      </c>
      <c r="M153" s="14">
        <v>3</v>
      </c>
      <c r="N153" s="14">
        <v>4</v>
      </c>
      <c r="O153" s="14">
        <v>5</v>
      </c>
      <c r="P153" s="14">
        <v>6</v>
      </c>
      <c r="Q153" s="14">
        <v>7</v>
      </c>
      <c r="R153" s="14">
        <v>8</v>
      </c>
      <c r="S153" s="15">
        <v>9</v>
      </c>
      <c r="T153" s="15" t="s">
        <v>18</v>
      </c>
    </row>
    <row r="154" spans="2:20" ht="15.4" x14ac:dyDescent="0.45">
      <c r="B154" s="16" t="s">
        <v>7</v>
      </c>
      <c r="C154" s="11">
        <v>9</v>
      </c>
      <c r="D154" s="1">
        <v>8</v>
      </c>
      <c r="E154" s="1">
        <v>7</v>
      </c>
      <c r="F154" s="1">
        <v>6</v>
      </c>
      <c r="G154" s="1">
        <v>5</v>
      </c>
      <c r="H154" s="59">
        <v>4</v>
      </c>
      <c r="I154" s="1">
        <v>3</v>
      </c>
      <c r="J154" s="1">
        <v>2</v>
      </c>
      <c r="K154" s="1">
        <v>1</v>
      </c>
      <c r="L154" s="1">
        <v>2</v>
      </c>
      <c r="M154" s="1">
        <v>3</v>
      </c>
      <c r="N154" s="1">
        <v>4</v>
      </c>
      <c r="O154" s="1">
        <v>5</v>
      </c>
      <c r="P154" s="1">
        <v>6</v>
      </c>
      <c r="Q154" s="1">
        <v>7</v>
      </c>
      <c r="R154" s="1">
        <v>8</v>
      </c>
      <c r="S154" s="12">
        <v>9</v>
      </c>
      <c r="T154" s="12" t="s">
        <v>8</v>
      </c>
    </row>
    <row r="155" spans="2:20" ht="15.4" x14ac:dyDescent="0.45">
      <c r="B155" s="17" t="s">
        <v>7</v>
      </c>
      <c r="C155" s="11">
        <v>9</v>
      </c>
      <c r="D155" s="1">
        <v>8</v>
      </c>
      <c r="E155" s="1">
        <v>7</v>
      </c>
      <c r="F155" s="1">
        <v>6</v>
      </c>
      <c r="G155" s="1">
        <v>5</v>
      </c>
      <c r="H155" s="1">
        <v>4</v>
      </c>
      <c r="I155" s="1">
        <v>3</v>
      </c>
      <c r="J155" s="1">
        <v>2</v>
      </c>
      <c r="K155" s="1">
        <v>1</v>
      </c>
      <c r="L155" s="59">
        <v>2</v>
      </c>
      <c r="M155" s="1">
        <v>3</v>
      </c>
      <c r="N155" s="1">
        <v>4</v>
      </c>
      <c r="O155" s="1">
        <v>5</v>
      </c>
      <c r="P155" s="1">
        <v>6</v>
      </c>
      <c r="Q155" s="1">
        <v>7</v>
      </c>
      <c r="R155" s="1">
        <v>8</v>
      </c>
      <c r="S155" s="12">
        <v>9</v>
      </c>
      <c r="T155" s="12" t="s">
        <v>9</v>
      </c>
    </row>
    <row r="156" spans="2:20" ht="15.4" x14ac:dyDescent="0.45">
      <c r="B156" s="17" t="s">
        <v>7</v>
      </c>
      <c r="C156" s="11">
        <v>9</v>
      </c>
      <c r="D156" s="1">
        <v>8</v>
      </c>
      <c r="E156" s="1">
        <v>7</v>
      </c>
      <c r="F156" s="1">
        <v>6</v>
      </c>
      <c r="G156" s="1">
        <v>5</v>
      </c>
      <c r="H156" s="1">
        <v>4</v>
      </c>
      <c r="I156" s="1">
        <v>3</v>
      </c>
      <c r="J156" s="1">
        <v>2</v>
      </c>
      <c r="K156" s="1">
        <v>1</v>
      </c>
      <c r="L156" s="1">
        <v>2</v>
      </c>
      <c r="M156" s="1">
        <v>3</v>
      </c>
      <c r="N156" s="59">
        <v>4</v>
      </c>
      <c r="O156" s="1">
        <v>5</v>
      </c>
      <c r="P156" s="1">
        <v>6</v>
      </c>
      <c r="Q156" s="1">
        <v>7</v>
      </c>
      <c r="R156" s="1">
        <v>8</v>
      </c>
      <c r="S156" s="12">
        <v>9</v>
      </c>
      <c r="T156" s="12" t="s">
        <v>10</v>
      </c>
    </row>
    <row r="157" spans="2:20" ht="15.4" x14ac:dyDescent="0.45">
      <c r="B157" s="17" t="s">
        <v>7</v>
      </c>
      <c r="C157" s="11">
        <v>9</v>
      </c>
      <c r="D157" s="1">
        <v>8</v>
      </c>
      <c r="E157" s="1">
        <v>7</v>
      </c>
      <c r="F157" s="1">
        <v>6</v>
      </c>
      <c r="G157" s="1">
        <v>5</v>
      </c>
      <c r="H157" s="1">
        <v>4</v>
      </c>
      <c r="I157" s="1">
        <v>3</v>
      </c>
      <c r="J157" s="1">
        <v>2</v>
      </c>
      <c r="K157" s="1">
        <v>1</v>
      </c>
      <c r="L157" s="1">
        <v>2</v>
      </c>
      <c r="M157" s="59">
        <v>3</v>
      </c>
      <c r="N157" s="1">
        <v>4</v>
      </c>
      <c r="O157" s="1">
        <v>5</v>
      </c>
      <c r="P157" s="1">
        <v>6</v>
      </c>
      <c r="Q157" s="1">
        <v>7</v>
      </c>
      <c r="R157" s="1">
        <v>8</v>
      </c>
      <c r="S157" s="12">
        <v>9</v>
      </c>
      <c r="T157" s="12" t="s">
        <v>11</v>
      </c>
    </row>
    <row r="158" spans="2:20" ht="15.4" x14ac:dyDescent="0.45">
      <c r="B158" s="17" t="s">
        <v>7</v>
      </c>
      <c r="C158" s="11">
        <v>9</v>
      </c>
      <c r="D158" s="1">
        <v>8</v>
      </c>
      <c r="E158" s="1">
        <v>7</v>
      </c>
      <c r="F158" s="1">
        <v>6</v>
      </c>
      <c r="G158" s="1">
        <v>5</v>
      </c>
      <c r="H158" s="1">
        <v>4</v>
      </c>
      <c r="I158" s="1">
        <v>3</v>
      </c>
      <c r="J158" s="1">
        <v>2</v>
      </c>
      <c r="K158" s="1">
        <v>1</v>
      </c>
      <c r="L158" s="59">
        <v>2</v>
      </c>
      <c r="M158" s="1">
        <v>3</v>
      </c>
      <c r="N158" s="1">
        <v>4</v>
      </c>
      <c r="O158" s="1">
        <v>5</v>
      </c>
      <c r="P158" s="1">
        <v>6</v>
      </c>
      <c r="Q158" s="1">
        <v>7</v>
      </c>
      <c r="R158" s="1">
        <v>8</v>
      </c>
      <c r="S158" s="12">
        <v>9</v>
      </c>
      <c r="T158" s="12" t="s">
        <v>12</v>
      </c>
    </row>
    <row r="159" spans="2:20" ht="15.4" x14ac:dyDescent="0.45">
      <c r="B159" s="17" t="s">
        <v>7</v>
      </c>
      <c r="C159" s="11">
        <v>9</v>
      </c>
      <c r="D159" s="1">
        <v>8</v>
      </c>
      <c r="E159" s="1">
        <v>7</v>
      </c>
      <c r="F159" s="1">
        <v>6</v>
      </c>
      <c r="G159" s="1">
        <v>5</v>
      </c>
      <c r="H159" s="1">
        <v>4</v>
      </c>
      <c r="I159" s="1">
        <v>3</v>
      </c>
      <c r="J159" s="1">
        <v>2</v>
      </c>
      <c r="K159" s="1">
        <v>1</v>
      </c>
      <c r="L159" s="1">
        <v>2</v>
      </c>
      <c r="M159" s="59">
        <v>3</v>
      </c>
      <c r="N159" s="1">
        <v>4</v>
      </c>
      <c r="O159" s="1">
        <v>5</v>
      </c>
      <c r="P159" s="1">
        <v>6</v>
      </c>
      <c r="Q159" s="1">
        <v>7</v>
      </c>
      <c r="R159" s="1">
        <v>8</v>
      </c>
      <c r="S159" s="12">
        <v>9</v>
      </c>
      <c r="T159" s="12" t="s">
        <v>13</v>
      </c>
    </row>
    <row r="160" spans="2:20" ht="15.4" x14ac:dyDescent="0.45">
      <c r="B160" s="17" t="s">
        <v>7</v>
      </c>
      <c r="C160" s="11">
        <v>9</v>
      </c>
      <c r="D160" s="1">
        <v>8</v>
      </c>
      <c r="E160" s="1">
        <v>7</v>
      </c>
      <c r="F160" s="1">
        <v>6</v>
      </c>
      <c r="G160" s="1">
        <v>5</v>
      </c>
      <c r="H160" s="1">
        <v>4</v>
      </c>
      <c r="I160" s="1">
        <v>3</v>
      </c>
      <c r="J160" s="1">
        <v>2</v>
      </c>
      <c r="K160" s="1">
        <v>1</v>
      </c>
      <c r="L160" s="1">
        <v>2</v>
      </c>
      <c r="M160" s="59">
        <v>3</v>
      </c>
      <c r="N160" s="1">
        <v>4</v>
      </c>
      <c r="O160" s="1">
        <v>5</v>
      </c>
      <c r="P160" s="1">
        <v>6</v>
      </c>
      <c r="Q160" s="1">
        <v>7</v>
      </c>
      <c r="R160" s="1">
        <v>8</v>
      </c>
      <c r="S160" s="12">
        <v>9</v>
      </c>
      <c r="T160" s="12" t="s">
        <v>14</v>
      </c>
    </row>
    <row r="161" spans="2:20" ht="15.4" x14ac:dyDescent="0.45">
      <c r="B161" s="17" t="s">
        <v>7</v>
      </c>
      <c r="C161" s="11">
        <v>9</v>
      </c>
      <c r="D161" s="1">
        <v>8</v>
      </c>
      <c r="E161" s="1">
        <v>7</v>
      </c>
      <c r="F161" s="1">
        <v>6</v>
      </c>
      <c r="G161" s="1">
        <v>5</v>
      </c>
      <c r="H161" s="1">
        <v>4</v>
      </c>
      <c r="I161" s="1">
        <v>3</v>
      </c>
      <c r="J161" s="1">
        <v>2</v>
      </c>
      <c r="K161" s="1">
        <v>1</v>
      </c>
      <c r="L161" s="59">
        <v>2</v>
      </c>
      <c r="M161" s="1">
        <v>3</v>
      </c>
      <c r="N161" s="1">
        <v>4</v>
      </c>
      <c r="O161" s="1">
        <v>5</v>
      </c>
      <c r="P161" s="1">
        <v>6</v>
      </c>
      <c r="Q161" s="1">
        <v>7</v>
      </c>
      <c r="R161" s="1">
        <v>8</v>
      </c>
      <c r="S161" s="12">
        <v>9</v>
      </c>
      <c r="T161" s="12" t="s">
        <v>15</v>
      </c>
    </row>
    <row r="162" spans="2:20" ht="15.4" x14ac:dyDescent="0.45">
      <c r="B162" s="17" t="s">
        <v>7</v>
      </c>
      <c r="C162" s="11">
        <v>9</v>
      </c>
      <c r="D162" s="1">
        <v>8</v>
      </c>
      <c r="E162" s="1">
        <v>7</v>
      </c>
      <c r="F162" s="1">
        <v>6</v>
      </c>
      <c r="G162" s="1">
        <v>5</v>
      </c>
      <c r="H162" s="1">
        <v>4</v>
      </c>
      <c r="I162" s="1">
        <v>3</v>
      </c>
      <c r="J162" s="1">
        <v>2</v>
      </c>
      <c r="K162" s="1">
        <v>1</v>
      </c>
      <c r="L162" s="1">
        <v>2</v>
      </c>
      <c r="M162" s="1">
        <v>3</v>
      </c>
      <c r="N162" s="59">
        <v>4</v>
      </c>
      <c r="O162" s="1">
        <v>5</v>
      </c>
      <c r="P162" s="1">
        <v>6</v>
      </c>
      <c r="Q162" s="1">
        <v>7</v>
      </c>
      <c r="R162" s="1">
        <v>8</v>
      </c>
      <c r="S162" s="12">
        <v>9</v>
      </c>
      <c r="T162" s="12" t="s">
        <v>16</v>
      </c>
    </row>
    <row r="163" spans="2:20" ht="15.4" x14ac:dyDescent="0.45">
      <c r="B163" s="17" t="s">
        <v>7</v>
      </c>
      <c r="C163" s="11">
        <v>9</v>
      </c>
      <c r="D163" s="1">
        <v>8</v>
      </c>
      <c r="E163" s="1">
        <v>7</v>
      </c>
      <c r="F163" s="1">
        <v>6</v>
      </c>
      <c r="G163" s="1">
        <v>5</v>
      </c>
      <c r="H163" s="1">
        <v>4</v>
      </c>
      <c r="I163" s="1">
        <v>3</v>
      </c>
      <c r="J163" s="1">
        <v>2</v>
      </c>
      <c r="K163" s="1">
        <v>1</v>
      </c>
      <c r="L163" s="1">
        <v>2</v>
      </c>
      <c r="M163" s="1">
        <v>3</v>
      </c>
      <c r="N163" s="1">
        <v>4</v>
      </c>
      <c r="O163" s="59">
        <v>5</v>
      </c>
      <c r="P163" s="1">
        <v>6</v>
      </c>
      <c r="Q163" s="1">
        <v>7</v>
      </c>
      <c r="R163" s="1">
        <v>8</v>
      </c>
      <c r="S163" s="12">
        <v>9</v>
      </c>
      <c r="T163" s="12" t="s">
        <v>17</v>
      </c>
    </row>
    <row r="164" spans="2:20" ht="15.4" x14ac:dyDescent="0.45">
      <c r="B164" s="19" t="s">
        <v>7</v>
      </c>
      <c r="C164" s="13">
        <v>9</v>
      </c>
      <c r="D164" s="14">
        <v>8</v>
      </c>
      <c r="E164" s="14">
        <v>7</v>
      </c>
      <c r="F164" s="14">
        <v>6</v>
      </c>
      <c r="G164" s="14">
        <v>5</v>
      </c>
      <c r="H164" s="14">
        <v>4</v>
      </c>
      <c r="I164" s="14">
        <v>3</v>
      </c>
      <c r="J164" s="14">
        <v>2</v>
      </c>
      <c r="K164" s="14">
        <v>1</v>
      </c>
      <c r="L164" s="60">
        <v>2</v>
      </c>
      <c r="M164" s="14">
        <v>3</v>
      </c>
      <c r="N164" s="14">
        <v>4</v>
      </c>
      <c r="O164" s="14">
        <v>5</v>
      </c>
      <c r="P164" s="14">
        <v>6</v>
      </c>
      <c r="Q164" s="14">
        <v>7</v>
      </c>
      <c r="R164" s="14">
        <v>8</v>
      </c>
      <c r="S164" s="15">
        <v>9</v>
      </c>
      <c r="T164" s="15" t="s">
        <v>18</v>
      </c>
    </row>
    <row r="165" spans="2:20" ht="15.4" x14ac:dyDescent="0.45">
      <c r="B165" s="16" t="s">
        <v>8</v>
      </c>
      <c r="C165" s="11">
        <v>9</v>
      </c>
      <c r="D165" s="1">
        <v>8</v>
      </c>
      <c r="E165" s="1">
        <v>7</v>
      </c>
      <c r="F165" s="1">
        <v>6</v>
      </c>
      <c r="G165" s="1">
        <v>5</v>
      </c>
      <c r="H165" s="1">
        <v>4</v>
      </c>
      <c r="I165" s="1">
        <v>3</v>
      </c>
      <c r="J165" s="1">
        <v>2</v>
      </c>
      <c r="K165" s="1">
        <v>1</v>
      </c>
      <c r="L165" s="1">
        <v>2</v>
      </c>
      <c r="M165" s="59">
        <v>3</v>
      </c>
      <c r="N165" s="1">
        <v>4</v>
      </c>
      <c r="O165" s="1">
        <v>5</v>
      </c>
      <c r="P165" s="1">
        <v>6</v>
      </c>
      <c r="Q165" s="1">
        <v>7</v>
      </c>
      <c r="R165" s="1">
        <v>8</v>
      </c>
      <c r="S165" s="12">
        <v>9</v>
      </c>
      <c r="T165" s="12" t="s">
        <v>9</v>
      </c>
    </row>
    <row r="166" spans="2:20" ht="15.4" x14ac:dyDescent="0.45">
      <c r="B166" s="17" t="s">
        <v>8</v>
      </c>
      <c r="C166" s="11">
        <v>9</v>
      </c>
      <c r="D166" s="1">
        <v>8</v>
      </c>
      <c r="E166" s="1">
        <v>7</v>
      </c>
      <c r="F166" s="1">
        <v>6</v>
      </c>
      <c r="G166" s="1">
        <v>5</v>
      </c>
      <c r="H166" s="1">
        <v>4</v>
      </c>
      <c r="I166" s="1">
        <v>3</v>
      </c>
      <c r="J166" s="1">
        <v>2</v>
      </c>
      <c r="K166" s="1">
        <v>1</v>
      </c>
      <c r="L166" s="1">
        <v>2</v>
      </c>
      <c r="M166" s="1">
        <v>3</v>
      </c>
      <c r="N166" s="1">
        <v>4</v>
      </c>
      <c r="O166" s="59">
        <v>5</v>
      </c>
      <c r="P166" s="1">
        <v>6</v>
      </c>
      <c r="Q166" s="1">
        <v>7</v>
      </c>
      <c r="R166" s="1">
        <v>8</v>
      </c>
      <c r="S166" s="12">
        <v>9</v>
      </c>
      <c r="T166" s="12" t="s">
        <v>10</v>
      </c>
    </row>
    <row r="167" spans="2:20" ht="15.4" x14ac:dyDescent="0.45">
      <c r="B167" s="17" t="s">
        <v>8</v>
      </c>
      <c r="C167" s="11">
        <v>9</v>
      </c>
      <c r="D167" s="1">
        <v>8</v>
      </c>
      <c r="E167" s="1">
        <v>7</v>
      </c>
      <c r="F167" s="1">
        <v>6</v>
      </c>
      <c r="G167" s="1">
        <v>5</v>
      </c>
      <c r="H167" s="1">
        <v>4</v>
      </c>
      <c r="I167" s="1">
        <v>3</v>
      </c>
      <c r="J167" s="1">
        <v>2</v>
      </c>
      <c r="K167" s="1">
        <v>1</v>
      </c>
      <c r="L167" s="1">
        <v>2</v>
      </c>
      <c r="M167" s="1">
        <v>3</v>
      </c>
      <c r="N167" s="1">
        <v>4</v>
      </c>
      <c r="O167" s="59">
        <v>5</v>
      </c>
      <c r="P167" s="1">
        <v>6</v>
      </c>
      <c r="Q167" s="1">
        <v>7</v>
      </c>
      <c r="R167" s="1">
        <v>8</v>
      </c>
      <c r="S167" s="12">
        <v>9</v>
      </c>
      <c r="T167" s="12" t="s">
        <v>11</v>
      </c>
    </row>
    <row r="168" spans="2:20" ht="15.4" x14ac:dyDescent="0.45">
      <c r="B168" s="17" t="s">
        <v>8</v>
      </c>
      <c r="C168" s="11">
        <v>9</v>
      </c>
      <c r="D168" s="1">
        <v>8</v>
      </c>
      <c r="E168" s="1">
        <v>7</v>
      </c>
      <c r="F168" s="1">
        <v>6</v>
      </c>
      <c r="G168" s="1">
        <v>5</v>
      </c>
      <c r="H168" s="1">
        <v>4</v>
      </c>
      <c r="I168" s="1">
        <v>3</v>
      </c>
      <c r="J168" s="1">
        <v>2</v>
      </c>
      <c r="K168" s="1">
        <v>1</v>
      </c>
      <c r="L168" s="59">
        <v>2</v>
      </c>
      <c r="M168" s="1">
        <v>3</v>
      </c>
      <c r="N168" s="1">
        <v>4</v>
      </c>
      <c r="O168" s="1">
        <v>5</v>
      </c>
      <c r="P168" s="1">
        <v>6</v>
      </c>
      <c r="Q168" s="1">
        <v>7</v>
      </c>
      <c r="R168" s="1">
        <v>8</v>
      </c>
      <c r="S168" s="12">
        <v>9</v>
      </c>
      <c r="T168" s="12" t="s">
        <v>12</v>
      </c>
    </row>
    <row r="169" spans="2:20" ht="15.4" x14ac:dyDescent="0.45">
      <c r="B169" s="17" t="s">
        <v>8</v>
      </c>
      <c r="C169" s="11">
        <v>9</v>
      </c>
      <c r="D169" s="1">
        <v>8</v>
      </c>
      <c r="E169" s="1">
        <v>7</v>
      </c>
      <c r="F169" s="1">
        <v>6</v>
      </c>
      <c r="G169" s="1">
        <v>5</v>
      </c>
      <c r="H169" s="1">
        <v>4</v>
      </c>
      <c r="I169" s="1">
        <v>3</v>
      </c>
      <c r="J169" s="1">
        <v>2</v>
      </c>
      <c r="K169" s="1">
        <v>1</v>
      </c>
      <c r="L169" s="1">
        <v>2</v>
      </c>
      <c r="M169" s="1">
        <v>3</v>
      </c>
      <c r="N169" s="1">
        <v>4</v>
      </c>
      <c r="O169" s="1">
        <v>5</v>
      </c>
      <c r="P169" s="59">
        <v>6</v>
      </c>
      <c r="Q169" s="1">
        <v>7</v>
      </c>
      <c r="R169" s="1">
        <v>8</v>
      </c>
      <c r="S169" s="12">
        <v>9</v>
      </c>
      <c r="T169" s="12" t="s">
        <v>13</v>
      </c>
    </row>
    <row r="170" spans="2:20" ht="15.4" x14ac:dyDescent="0.45">
      <c r="B170" s="17" t="s">
        <v>8</v>
      </c>
      <c r="C170" s="11">
        <v>9</v>
      </c>
      <c r="D170" s="1">
        <v>8</v>
      </c>
      <c r="E170" s="1">
        <v>7</v>
      </c>
      <c r="F170" s="1">
        <v>6</v>
      </c>
      <c r="G170" s="1">
        <v>5</v>
      </c>
      <c r="H170" s="1">
        <v>4</v>
      </c>
      <c r="I170" s="1">
        <v>3</v>
      </c>
      <c r="J170" s="1">
        <v>2</v>
      </c>
      <c r="K170" s="1">
        <v>1</v>
      </c>
      <c r="L170" s="1">
        <v>2</v>
      </c>
      <c r="M170" s="1">
        <v>3</v>
      </c>
      <c r="N170" s="59">
        <v>4</v>
      </c>
      <c r="O170" s="1">
        <v>5</v>
      </c>
      <c r="P170" s="1">
        <v>6</v>
      </c>
      <c r="Q170" s="1">
        <v>7</v>
      </c>
      <c r="R170" s="1">
        <v>8</v>
      </c>
      <c r="S170" s="12">
        <v>9</v>
      </c>
      <c r="T170" s="12" t="s">
        <v>14</v>
      </c>
    </row>
    <row r="171" spans="2:20" ht="15.4" x14ac:dyDescent="0.45">
      <c r="B171" s="17" t="s">
        <v>8</v>
      </c>
      <c r="C171" s="11">
        <v>9</v>
      </c>
      <c r="D171" s="1">
        <v>8</v>
      </c>
      <c r="E171" s="1">
        <v>7</v>
      </c>
      <c r="F171" s="1">
        <v>6</v>
      </c>
      <c r="G171" s="1">
        <v>5</v>
      </c>
      <c r="H171" s="1">
        <v>4</v>
      </c>
      <c r="I171" s="1">
        <v>3</v>
      </c>
      <c r="J171" s="1">
        <v>2</v>
      </c>
      <c r="K171" s="1">
        <v>1</v>
      </c>
      <c r="L171" s="1">
        <v>2</v>
      </c>
      <c r="M171" s="1">
        <v>3</v>
      </c>
      <c r="N171" s="59">
        <v>4</v>
      </c>
      <c r="O171" s="1">
        <v>5</v>
      </c>
      <c r="P171" s="1">
        <v>6</v>
      </c>
      <c r="Q171" s="1">
        <v>7</v>
      </c>
      <c r="R171" s="1">
        <v>8</v>
      </c>
      <c r="S171" s="12">
        <v>9</v>
      </c>
      <c r="T171" s="12" t="s">
        <v>15</v>
      </c>
    </row>
    <row r="172" spans="2:20" ht="15.4" x14ac:dyDescent="0.45">
      <c r="B172" s="17" t="s">
        <v>8</v>
      </c>
      <c r="C172" s="11">
        <v>9</v>
      </c>
      <c r="D172" s="1">
        <v>8</v>
      </c>
      <c r="E172" s="1">
        <v>7</v>
      </c>
      <c r="F172" s="1">
        <v>6</v>
      </c>
      <c r="G172" s="1">
        <v>5</v>
      </c>
      <c r="H172" s="1">
        <v>4</v>
      </c>
      <c r="I172" s="1">
        <v>3</v>
      </c>
      <c r="J172" s="1">
        <v>2</v>
      </c>
      <c r="K172" s="1">
        <v>1</v>
      </c>
      <c r="L172" s="1">
        <v>2</v>
      </c>
      <c r="M172" s="1">
        <v>3</v>
      </c>
      <c r="N172" s="59">
        <v>4</v>
      </c>
      <c r="O172" s="1">
        <v>5</v>
      </c>
      <c r="P172" s="1">
        <v>6</v>
      </c>
      <c r="Q172" s="1">
        <v>7</v>
      </c>
      <c r="R172" s="1">
        <v>8</v>
      </c>
      <c r="S172" s="12">
        <v>9</v>
      </c>
      <c r="T172" s="12" t="s">
        <v>16</v>
      </c>
    </row>
    <row r="173" spans="2:20" ht="15.4" x14ac:dyDescent="0.45">
      <c r="B173" s="17" t="s">
        <v>8</v>
      </c>
      <c r="C173" s="11">
        <v>9</v>
      </c>
      <c r="D173" s="1">
        <v>8</v>
      </c>
      <c r="E173" s="1">
        <v>7</v>
      </c>
      <c r="F173" s="1">
        <v>6</v>
      </c>
      <c r="G173" s="1">
        <v>5</v>
      </c>
      <c r="H173" s="1">
        <v>4</v>
      </c>
      <c r="I173" s="1">
        <v>3</v>
      </c>
      <c r="J173" s="1">
        <v>2</v>
      </c>
      <c r="K173" s="1">
        <v>1</v>
      </c>
      <c r="L173" s="1">
        <v>2</v>
      </c>
      <c r="M173" s="1">
        <v>3</v>
      </c>
      <c r="N173" s="1">
        <v>4</v>
      </c>
      <c r="O173" s="1">
        <v>5</v>
      </c>
      <c r="P173" s="59">
        <v>6</v>
      </c>
      <c r="Q173" s="1">
        <v>7</v>
      </c>
      <c r="R173" s="1">
        <v>8</v>
      </c>
      <c r="S173" s="12">
        <v>9</v>
      </c>
      <c r="T173" s="12" t="s">
        <v>17</v>
      </c>
    </row>
    <row r="174" spans="2:20" ht="15.4" x14ac:dyDescent="0.45">
      <c r="B174" s="19" t="s">
        <v>8</v>
      </c>
      <c r="C174" s="13">
        <v>9</v>
      </c>
      <c r="D174" s="14">
        <v>8</v>
      </c>
      <c r="E174" s="14">
        <v>7</v>
      </c>
      <c r="F174" s="14">
        <v>6</v>
      </c>
      <c r="G174" s="14">
        <v>5</v>
      </c>
      <c r="H174" s="14">
        <v>4</v>
      </c>
      <c r="I174" s="14">
        <v>3</v>
      </c>
      <c r="J174" s="14">
        <v>2</v>
      </c>
      <c r="K174" s="14">
        <v>1</v>
      </c>
      <c r="L174" s="14">
        <v>2</v>
      </c>
      <c r="M174" s="14">
        <v>3</v>
      </c>
      <c r="N174" s="14">
        <v>4</v>
      </c>
      <c r="O174" s="60">
        <v>5</v>
      </c>
      <c r="P174" s="14">
        <v>6</v>
      </c>
      <c r="Q174" s="14">
        <v>7</v>
      </c>
      <c r="R174" s="14">
        <v>8</v>
      </c>
      <c r="S174" s="15">
        <v>9</v>
      </c>
      <c r="T174" s="15" t="s">
        <v>18</v>
      </c>
    </row>
    <row r="175" spans="2:20" ht="15.4" x14ac:dyDescent="0.45">
      <c r="B175" s="16" t="s">
        <v>9</v>
      </c>
      <c r="C175" s="11">
        <v>9</v>
      </c>
      <c r="D175" s="1">
        <v>8</v>
      </c>
      <c r="E175" s="1">
        <v>7</v>
      </c>
      <c r="F175" s="1">
        <v>6</v>
      </c>
      <c r="G175" s="1">
        <v>5</v>
      </c>
      <c r="H175" s="1">
        <v>4</v>
      </c>
      <c r="I175" s="1">
        <v>3</v>
      </c>
      <c r="J175" s="1">
        <v>2</v>
      </c>
      <c r="K175" s="1">
        <v>1</v>
      </c>
      <c r="L175" s="1">
        <v>2</v>
      </c>
      <c r="M175" s="59">
        <v>3</v>
      </c>
      <c r="N175" s="1">
        <v>4</v>
      </c>
      <c r="O175" s="1">
        <v>5</v>
      </c>
      <c r="P175" s="1">
        <v>6</v>
      </c>
      <c r="Q175" s="1">
        <v>7</v>
      </c>
      <c r="R175" s="1">
        <v>8</v>
      </c>
      <c r="S175" s="12">
        <v>9</v>
      </c>
      <c r="T175" s="12" t="s">
        <v>10</v>
      </c>
    </row>
    <row r="176" spans="2:20" ht="15.4" x14ac:dyDescent="0.45">
      <c r="B176" s="17" t="s">
        <v>9</v>
      </c>
      <c r="C176" s="11">
        <v>9</v>
      </c>
      <c r="D176" s="1">
        <v>8</v>
      </c>
      <c r="E176" s="1">
        <v>7</v>
      </c>
      <c r="F176" s="1">
        <v>6</v>
      </c>
      <c r="G176" s="1">
        <v>5</v>
      </c>
      <c r="H176" s="1">
        <v>4</v>
      </c>
      <c r="I176" s="1">
        <v>3</v>
      </c>
      <c r="J176" s="1">
        <v>2</v>
      </c>
      <c r="K176" s="1">
        <v>1</v>
      </c>
      <c r="L176" s="1">
        <v>2</v>
      </c>
      <c r="M176" s="59">
        <v>3</v>
      </c>
      <c r="N176" s="1">
        <v>4</v>
      </c>
      <c r="O176" s="1">
        <v>5</v>
      </c>
      <c r="P176" s="1">
        <v>6</v>
      </c>
      <c r="Q176" s="1">
        <v>7</v>
      </c>
      <c r="R176" s="1">
        <v>8</v>
      </c>
      <c r="S176" s="12">
        <v>9</v>
      </c>
      <c r="T176" s="12" t="s">
        <v>11</v>
      </c>
    </row>
    <row r="177" spans="2:20" ht="15.4" x14ac:dyDescent="0.45">
      <c r="B177" s="17" t="s">
        <v>9</v>
      </c>
      <c r="C177" s="11">
        <v>9</v>
      </c>
      <c r="D177" s="1">
        <v>8</v>
      </c>
      <c r="E177" s="1">
        <v>7</v>
      </c>
      <c r="F177" s="1">
        <v>6</v>
      </c>
      <c r="G177" s="1">
        <v>5</v>
      </c>
      <c r="H177" s="1">
        <v>4</v>
      </c>
      <c r="I177" s="1">
        <v>3</v>
      </c>
      <c r="J177" s="1">
        <v>2</v>
      </c>
      <c r="K177" s="1">
        <v>1</v>
      </c>
      <c r="L177" s="59">
        <v>2</v>
      </c>
      <c r="M177" s="1">
        <v>3</v>
      </c>
      <c r="N177" s="1">
        <v>4</v>
      </c>
      <c r="O177" s="1">
        <v>5</v>
      </c>
      <c r="P177" s="1">
        <v>6</v>
      </c>
      <c r="Q177" s="1">
        <v>7</v>
      </c>
      <c r="R177" s="1">
        <v>8</v>
      </c>
      <c r="S177" s="12">
        <v>9</v>
      </c>
      <c r="T177" s="12" t="s">
        <v>12</v>
      </c>
    </row>
    <row r="178" spans="2:20" ht="15.4" x14ac:dyDescent="0.45">
      <c r="B178" s="17" t="s">
        <v>9</v>
      </c>
      <c r="C178" s="11">
        <v>9</v>
      </c>
      <c r="D178" s="1">
        <v>8</v>
      </c>
      <c r="E178" s="1">
        <v>7</v>
      </c>
      <c r="F178" s="1">
        <v>6</v>
      </c>
      <c r="G178" s="1">
        <v>5</v>
      </c>
      <c r="H178" s="1">
        <v>4</v>
      </c>
      <c r="I178" s="1">
        <v>3</v>
      </c>
      <c r="J178" s="1">
        <v>2</v>
      </c>
      <c r="K178" s="1">
        <v>1</v>
      </c>
      <c r="L178" s="1">
        <v>2</v>
      </c>
      <c r="M178" s="1">
        <v>3</v>
      </c>
      <c r="N178" s="59">
        <v>4</v>
      </c>
      <c r="O178" s="1">
        <v>5</v>
      </c>
      <c r="P178" s="1">
        <v>6</v>
      </c>
      <c r="Q178" s="1">
        <v>7</v>
      </c>
      <c r="R178" s="1">
        <v>8</v>
      </c>
      <c r="S178" s="12">
        <v>9</v>
      </c>
      <c r="T178" s="12" t="s">
        <v>13</v>
      </c>
    </row>
    <row r="179" spans="2:20" ht="15.4" x14ac:dyDescent="0.45">
      <c r="B179" s="17" t="s">
        <v>9</v>
      </c>
      <c r="C179" s="11">
        <v>9</v>
      </c>
      <c r="D179" s="1">
        <v>8</v>
      </c>
      <c r="E179" s="1">
        <v>7</v>
      </c>
      <c r="F179" s="1">
        <v>6</v>
      </c>
      <c r="G179" s="1">
        <v>5</v>
      </c>
      <c r="H179" s="1">
        <v>4</v>
      </c>
      <c r="I179" s="1">
        <v>3</v>
      </c>
      <c r="J179" s="1">
        <v>2</v>
      </c>
      <c r="K179" s="1">
        <v>1</v>
      </c>
      <c r="L179" s="1">
        <v>2</v>
      </c>
      <c r="M179" s="59">
        <v>3</v>
      </c>
      <c r="N179" s="1">
        <v>4</v>
      </c>
      <c r="O179" s="1">
        <v>5</v>
      </c>
      <c r="P179" s="1">
        <v>6</v>
      </c>
      <c r="Q179" s="1">
        <v>7</v>
      </c>
      <c r="R179" s="1">
        <v>8</v>
      </c>
      <c r="S179" s="12">
        <v>9</v>
      </c>
      <c r="T179" s="12" t="s">
        <v>14</v>
      </c>
    </row>
    <row r="180" spans="2:20" ht="15.4" x14ac:dyDescent="0.45">
      <c r="B180" s="17" t="s">
        <v>9</v>
      </c>
      <c r="C180" s="11">
        <v>9</v>
      </c>
      <c r="D180" s="1">
        <v>8</v>
      </c>
      <c r="E180" s="1">
        <v>7</v>
      </c>
      <c r="F180" s="1">
        <v>6</v>
      </c>
      <c r="G180" s="1">
        <v>5</v>
      </c>
      <c r="H180" s="1">
        <v>4</v>
      </c>
      <c r="I180" s="1">
        <v>3</v>
      </c>
      <c r="J180" s="1">
        <v>2</v>
      </c>
      <c r="K180" s="1">
        <v>1</v>
      </c>
      <c r="L180" s="59">
        <v>2</v>
      </c>
      <c r="M180" s="1">
        <v>3</v>
      </c>
      <c r="N180" s="1">
        <v>4</v>
      </c>
      <c r="O180" s="1">
        <v>5</v>
      </c>
      <c r="P180" s="1">
        <v>6</v>
      </c>
      <c r="Q180" s="1">
        <v>7</v>
      </c>
      <c r="R180" s="1">
        <v>8</v>
      </c>
      <c r="S180" s="12">
        <v>9</v>
      </c>
      <c r="T180" s="12" t="s">
        <v>15</v>
      </c>
    </row>
    <row r="181" spans="2:20" ht="15.4" x14ac:dyDescent="0.45">
      <c r="B181" s="17" t="s">
        <v>9</v>
      </c>
      <c r="C181" s="11">
        <v>9</v>
      </c>
      <c r="D181" s="1">
        <v>8</v>
      </c>
      <c r="E181" s="1">
        <v>7</v>
      </c>
      <c r="F181" s="1">
        <v>6</v>
      </c>
      <c r="G181" s="1">
        <v>5</v>
      </c>
      <c r="H181" s="1">
        <v>4</v>
      </c>
      <c r="I181" s="1">
        <v>3</v>
      </c>
      <c r="J181" s="1">
        <v>2</v>
      </c>
      <c r="K181" s="1">
        <v>1</v>
      </c>
      <c r="L181" s="59">
        <v>2</v>
      </c>
      <c r="M181" s="1">
        <v>3</v>
      </c>
      <c r="N181" s="1">
        <v>4</v>
      </c>
      <c r="O181" s="1">
        <v>5</v>
      </c>
      <c r="P181" s="1">
        <v>6</v>
      </c>
      <c r="Q181" s="1">
        <v>7</v>
      </c>
      <c r="R181" s="1">
        <v>8</v>
      </c>
      <c r="S181" s="12">
        <v>9</v>
      </c>
      <c r="T181" s="12" t="s">
        <v>16</v>
      </c>
    </row>
    <row r="182" spans="2:20" ht="15.4" x14ac:dyDescent="0.45">
      <c r="B182" s="17" t="s">
        <v>9</v>
      </c>
      <c r="C182" s="11">
        <v>9</v>
      </c>
      <c r="D182" s="1">
        <v>8</v>
      </c>
      <c r="E182" s="1">
        <v>7</v>
      </c>
      <c r="F182" s="1">
        <v>6</v>
      </c>
      <c r="G182" s="1">
        <v>5</v>
      </c>
      <c r="H182" s="1">
        <v>4</v>
      </c>
      <c r="I182" s="1">
        <v>3</v>
      </c>
      <c r="J182" s="1">
        <v>2</v>
      </c>
      <c r="K182" s="1">
        <v>1</v>
      </c>
      <c r="L182" s="1">
        <v>2</v>
      </c>
      <c r="M182" s="1">
        <v>3</v>
      </c>
      <c r="N182" s="59">
        <v>4</v>
      </c>
      <c r="O182" s="1">
        <v>5</v>
      </c>
      <c r="P182" s="1">
        <v>6</v>
      </c>
      <c r="Q182" s="1">
        <v>7</v>
      </c>
      <c r="R182" s="1">
        <v>8</v>
      </c>
      <c r="S182" s="12">
        <v>9</v>
      </c>
      <c r="T182" s="12" t="s">
        <v>17</v>
      </c>
    </row>
    <row r="183" spans="2:20" ht="15.4" x14ac:dyDescent="0.45">
      <c r="B183" s="19" t="s">
        <v>9</v>
      </c>
      <c r="C183" s="13">
        <v>9</v>
      </c>
      <c r="D183" s="14">
        <v>8</v>
      </c>
      <c r="E183" s="14">
        <v>7</v>
      </c>
      <c r="F183" s="14">
        <v>6</v>
      </c>
      <c r="G183" s="14">
        <v>5</v>
      </c>
      <c r="H183" s="14">
        <v>4</v>
      </c>
      <c r="I183" s="14">
        <v>3</v>
      </c>
      <c r="J183" s="14">
        <v>2</v>
      </c>
      <c r="K183" s="14">
        <v>1</v>
      </c>
      <c r="L183" s="60">
        <v>2</v>
      </c>
      <c r="M183" s="14">
        <v>3</v>
      </c>
      <c r="N183" s="14">
        <v>4</v>
      </c>
      <c r="O183" s="14">
        <v>5</v>
      </c>
      <c r="P183" s="14">
        <v>6</v>
      </c>
      <c r="Q183" s="14">
        <v>7</v>
      </c>
      <c r="R183" s="14">
        <v>8</v>
      </c>
      <c r="S183" s="15">
        <v>9</v>
      </c>
      <c r="T183" s="15" t="s">
        <v>18</v>
      </c>
    </row>
    <row r="184" spans="2:20" ht="15.4" x14ac:dyDescent="0.45">
      <c r="B184" s="16" t="s">
        <v>10</v>
      </c>
      <c r="C184" s="11">
        <v>9</v>
      </c>
      <c r="D184" s="1">
        <v>8</v>
      </c>
      <c r="E184" s="1">
        <v>7</v>
      </c>
      <c r="F184" s="1">
        <v>6</v>
      </c>
      <c r="G184" s="1">
        <v>5</v>
      </c>
      <c r="H184" s="1">
        <v>4</v>
      </c>
      <c r="I184" s="1">
        <v>3</v>
      </c>
      <c r="J184" s="59">
        <v>2</v>
      </c>
      <c r="K184" s="1">
        <v>1</v>
      </c>
      <c r="L184" s="1">
        <v>2</v>
      </c>
      <c r="M184" s="1">
        <v>3</v>
      </c>
      <c r="N184" s="1">
        <v>4</v>
      </c>
      <c r="O184" s="1">
        <v>5</v>
      </c>
      <c r="P184" s="1">
        <v>6</v>
      </c>
      <c r="Q184" s="1">
        <v>7</v>
      </c>
      <c r="R184" s="1">
        <v>8</v>
      </c>
      <c r="S184" s="12">
        <v>9</v>
      </c>
      <c r="T184" s="12" t="s">
        <v>11</v>
      </c>
    </row>
    <row r="185" spans="2:20" ht="15.4" x14ac:dyDescent="0.45">
      <c r="B185" s="17" t="s">
        <v>10</v>
      </c>
      <c r="C185" s="11">
        <v>9</v>
      </c>
      <c r="D185" s="1">
        <v>8</v>
      </c>
      <c r="E185" s="1">
        <v>7</v>
      </c>
      <c r="F185" s="1">
        <v>6</v>
      </c>
      <c r="G185" s="1">
        <v>5</v>
      </c>
      <c r="H185" s="59">
        <v>4</v>
      </c>
      <c r="I185" s="1">
        <v>3</v>
      </c>
      <c r="J185" s="1">
        <v>2</v>
      </c>
      <c r="K185" s="1">
        <v>1</v>
      </c>
      <c r="L185" s="1">
        <v>2</v>
      </c>
      <c r="M185" s="1">
        <v>3</v>
      </c>
      <c r="N185" s="1">
        <v>4</v>
      </c>
      <c r="O185" s="1">
        <v>5</v>
      </c>
      <c r="P185" s="1">
        <v>6</v>
      </c>
      <c r="Q185" s="1">
        <v>7</v>
      </c>
      <c r="R185" s="1">
        <v>8</v>
      </c>
      <c r="S185" s="12">
        <v>9</v>
      </c>
      <c r="T185" s="12" t="s">
        <v>12</v>
      </c>
    </row>
    <row r="186" spans="2:20" ht="15.4" x14ac:dyDescent="0.45">
      <c r="B186" s="17" t="s">
        <v>10</v>
      </c>
      <c r="C186" s="11">
        <v>9</v>
      </c>
      <c r="D186" s="1">
        <v>8</v>
      </c>
      <c r="E186" s="1">
        <v>7</v>
      </c>
      <c r="F186" s="1">
        <v>6</v>
      </c>
      <c r="G186" s="1">
        <v>5</v>
      </c>
      <c r="H186" s="1">
        <v>4</v>
      </c>
      <c r="I186" s="1">
        <v>3</v>
      </c>
      <c r="J186" s="1">
        <v>2</v>
      </c>
      <c r="K186" s="1">
        <v>1</v>
      </c>
      <c r="L186" s="1">
        <v>2</v>
      </c>
      <c r="M186" s="59">
        <v>3</v>
      </c>
      <c r="N186" s="1">
        <v>4</v>
      </c>
      <c r="O186" s="1">
        <v>5</v>
      </c>
      <c r="P186" s="1">
        <v>6</v>
      </c>
      <c r="Q186" s="1">
        <v>7</v>
      </c>
      <c r="R186" s="1">
        <v>8</v>
      </c>
      <c r="S186" s="12">
        <v>9</v>
      </c>
      <c r="T186" s="12" t="s">
        <v>13</v>
      </c>
    </row>
    <row r="187" spans="2:20" ht="15.4" x14ac:dyDescent="0.45">
      <c r="B187" s="17" t="s">
        <v>10</v>
      </c>
      <c r="C187" s="11">
        <v>9</v>
      </c>
      <c r="D187" s="1">
        <v>8</v>
      </c>
      <c r="E187" s="1">
        <v>7</v>
      </c>
      <c r="F187" s="1">
        <v>6</v>
      </c>
      <c r="G187" s="1">
        <v>5</v>
      </c>
      <c r="H187" s="1">
        <v>4</v>
      </c>
      <c r="I187" s="1">
        <v>3</v>
      </c>
      <c r="J187" s="59">
        <v>2</v>
      </c>
      <c r="K187" s="1">
        <v>1</v>
      </c>
      <c r="L187" s="1">
        <v>2</v>
      </c>
      <c r="M187" s="1">
        <v>3</v>
      </c>
      <c r="N187" s="1">
        <v>4</v>
      </c>
      <c r="O187" s="1">
        <v>5</v>
      </c>
      <c r="P187" s="1">
        <v>6</v>
      </c>
      <c r="Q187" s="1">
        <v>7</v>
      </c>
      <c r="R187" s="1">
        <v>8</v>
      </c>
      <c r="S187" s="12">
        <v>9</v>
      </c>
      <c r="T187" s="12" t="s">
        <v>14</v>
      </c>
    </row>
    <row r="188" spans="2:20" ht="15.4" x14ac:dyDescent="0.45">
      <c r="B188" s="17" t="s">
        <v>10</v>
      </c>
      <c r="C188" s="11">
        <v>9</v>
      </c>
      <c r="D188" s="1">
        <v>8</v>
      </c>
      <c r="E188" s="1">
        <v>7</v>
      </c>
      <c r="F188" s="1">
        <v>6</v>
      </c>
      <c r="G188" s="1">
        <v>5</v>
      </c>
      <c r="H188" s="1">
        <v>4</v>
      </c>
      <c r="I188" s="59">
        <v>3</v>
      </c>
      <c r="J188" s="1">
        <v>2</v>
      </c>
      <c r="K188" s="1">
        <v>1</v>
      </c>
      <c r="L188" s="1">
        <v>2</v>
      </c>
      <c r="M188" s="1">
        <v>3</v>
      </c>
      <c r="N188" s="1">
        <v>4</v>
      </c>
      <c r="O188" s="1">
        <v>5</v>
      </c>
      <c r="P188" s="1">
        <v>6</v>
      </c>
      <c r="Q188" s="1">
        <v>7</v>
      </c>
      <c r="R188" s="1">
        <v>8</v>
      </c>
      <c r="S188" s="12">
        <v>9</v>
      </c>
      <c r="T188" s="12" t="s">
        <v>15</v>
      </c>
    </row>
    <row r="189" spans="2:20" ht="15.4" x14ac:dyDescent="0.45">
      <c r="B189" s="17" t="s">
        <v>10</v>
      </c>
      <c r="C189" s="11">
        <v>9</v>
      </c>
      <c r="D189" s="1">
        <v>8</v>
      </c>
      <c r="E189" s="1">
        <v>7</v>
      </c>
      <c r="F189" s="1">
        <v>6</v>
      </c>
      <c r="G189" s="1">
        <v>5</v>
      </c>
      <c r="H189" s="1">
        <v>4</v>
      </c>
      <c r="I189" s="59">
        <v>3</v>
      </c>
      <c r="J189" s="1">
        <v>2</v>
      </c>
      <c r="K189" s="1">
        <v>1</v>
      </c>
      <c r="L189" s="1">
        <v>2</v>
      </c>
      <c r="M189" s="1">
        <v>3</v>
      </c>
      <c r="N189" s="1">
        <v>4</v>
      </c>
      <c r="O189" s="1">
        <v>5</v>
      </c>
      <c r="P189" s="1">
        <v>6</v>
      </c>
      <c r="Q189" s="1">
        <v>7</v>
      </c>
      <c r="R189" s="1">
        <v>8</v>
      </c>
      <c r="S189" s="12">
        <v>9</v>
      </c>
      <c r="T189" s="12" t="s">
        <v>16</v>
      </c>
    </row>
    <row r="190" spans="2:20" ht="15.4" x14ac:dyDescent="0.45">
      <c r="B190" s="17" t="s">
        <v>10</v>
      </c>
      <c r="C190" s="11">
        <v>9</v>
      </c>
      <c r="D190" s="1">
        <v>8</v>
      </c>
      <c r="E190" s="1">
        <v>7</v>
      </c>
      <c r="F190" s="1">
        <v>6</v>
      </c>
      <c r="G190" s="1">
        <v>5</v>
      </c>
      <c r="H190" s="1">
        <v>4</v>
      </c>
      <c r="I190" s="1">
        <v>3</v>
      </c>
      <c r="J190" s="1">
        <v>2</v>
      </c>
      <c r="K190" s="1">
        <v>1</v>
      </c>
      <c r="L190" s="1">
        <v>2</v>
      </c>
      <c r="M190" s="59">
        <v>3</v>
      </c>
      <c r="N190" s="1">
        <v>4</v>
      </c>
      <c r="O190" s="1">
        <v>5</v>
      </c>
      <c r="P190" s="1">
        <v>6</v>
      </c>
      <c r="Q190" s="1">
        <v>7</v>
      </c>
      <c r="R190" s="1">
        <v>8</v>
      </c>
      <c r="S190" s="12">
        <v>9</v>
      </c>
      <c r="T190" s="12" t="s">
        <v>17</v>
      </c>
    </row>
    <row r="191" spans="2:20" ht="15.4" x14ac:dyDescent="0.45">
      <c r="B191" s="19" t="s">
        <v>10</v>
      </c>
      <c r="C191" s="13">
        <v>9</v>
      </c>
      <c r="D191" s="14">
        <v>8</v>
      </c>
      <c r="E191" s="14">
        <v>7</v>
      </c>
      <c r="F191" s="14">
        <v>6</v>
      </c>
      <c r="G191" s="14">
        <v>5</v>
      </c>
      <c r="H191" s="14">
        <v>4</v>
      </c>
      <c r="I191" s="60">
        <v>3</v>
      </c>
      <c r="J191" s="14">
        <v>2</v>
      </c>
      <c r="K191" s="14">
        <v>1</v>
      </c>
      <c r="L191" s="14">
        <v>2</v>
      </c>
      <c r="M191" s="14">
        <v>3</v>
      </c>
      <c r="N191" s="14">
        <v>4</v>
      </c>
      <c r="O191" s="14">
        <v>5</v>
      </c>
      <c r="P191" s="14">
        <v>6</v>
      </c>
      <c r="Q191" s="14">
        <v>7</v>
      </c>
      <c r="R191" s="14">
        <v>8</v>
      </c>
      <c r="S191" s="15">
        <v>9</v>
      </c>
      <c r="T191" s="15" t="s">
        <v>18</v>
      </c>
    </row>
    <row r="192" spans="2:20" ht="15.4" x14ac:dyDescent="0.45">
      <c r="B192" s="16" t="s">
        <v>11</v>
      </c>
      <c r="C192" s="11">
        <v>9</v>
      </c>
      <c r="D192" s="1">
        <v>8</v>
      </c>
      <c r="E192" s="1">
        <v>7</v>
      </c>
      <c r="F192" s="1">
        <v>6</v>
      </c>
      <c r="G192" s="1">
        <v>5</v>
      </c>
      <c r="H192" s="59">
        <v>4</v>
      </c>
      <c r="I192" s="1">
        <v>3</v>
      </c>
      <c r="J192" s="1">
        <v>2</v>
      </c>
      <c r="K192" s="1">
        <v>1</v>
      </c>
      <c r="L192" s="1">
        <v>2</v>
      </c>
      <c r="M192" s="1">
        <v>3</v>
      </c>
      <c r="N192" s="1">
        <v>4</v>
      </c>
      <c r="O192" s="1">
        <v>5</v>
      </c>
      <c r="P192" s="1">
        <v>6</v>
      </c>
      <c r="Q192" s="1">
        <v>7</v>
      </c>
      <c r="R192" s="1">
        <v>8</v>
      </c>
      <c r="S192" s="12">
        <v>9</v>
      </c>
      <c r="T192" s="12" t="s">
        <v>12</v>
      </c>
    </row>
    <row r="193" spans="2:20" ht="15.4" x14ac:dyDescent="0.45">
      <c r="B193" s="17" t="s">
        <v>11</v>
      </c>
      <c r="C193" s="11">
        <v>9</v>
      </c>
      <c r="D193" s="1">
        <v>8</v>
      </c>
      <c r="E193" s="1">
        <v>7</v>
      </c>
      <c r="F193" s="1">
        <v>6</v>
      </c>
      <c r="G193" s="1">
        <v>5</v>
      </c>
      <c r="H193" s="1">
        <v>4</v>
      </c>
      <c r="I193" s="1">
        <v>3</v>
      </c>
      <c r="J193" s="1">
        <v>2</v>
      </c>
      <c r="K193" s="1">
        <v>1</v>
      </c>
      <c r="L193" s="1">
        <v>2</v>
      </c>
      <c r="M193" s="59">
        <v>3</v>
      </c>
      <c r="N193" s="1">
        <v>4</v>
      </c>
      <c r="O193" s="1">
        <v>5</v>
      </c>
      <c r="P193" s="1">
        <v>6</v>
      </c>
      <c r="Q193" s="1">
        <v>7</v>
      </c>
      <c r="R193" s="1">
        <v>8</v>
      </c>
      <c r="S193" s="12">
        <v>9</v>
      </c>
      <c r="T193" s="12" t="s">
        <v>13</v>
      </c>
    </row>
    <row r="194" spans="2:20" ht="15.4" x14ac:dyDescent="0.45">
      <c r="B194" s="17" t="s">
        <v>11</v>
      </c>
      <c r="C194" s="11">
        <v>9</v>
      </c>
      <c r="D194" s="1">
        <v>8</v>
      </c>
      <c r="E194" s="1">
        <v>7</v>
      </c>
      <c r="F194" s="1">
        <v>6</v>
      </c>
      <c r="G194" s="1">
        <v>5</v>
      </c>
      <c r="H194" s="1">
        <v>4</v>
      </c>
      <c r="I194" s="1">
        <v>3</v>
      </c>
      <c r="J194" s="1">
        <v>2</v>
      </c>
      <c r="K194" s="1">
        <v>1</v>
      </c>
      <c r="L194" s="59">
        <v>2</v>
      </c>
      <c r="M194" s="1">
        <v>3</v>
      </c>
      <c r="N194" s="1">
        <v>4</v>
      </c>
      <c r="O194" s="1">
        <v>5</v>
      </c>
      <c r="P194" s="1">
        <v>6</v>
      </c>
      <c r="Q194" s="1">
        <v>7</v>
      </c>
      <c r="R194" s="1">
        <v>8</v>
      </c>
      <c r="S194" s="12">
        <v>9</v>
      </c>
      <c r="T194" s="12" t="s">
        <v>14</v>
      </c>
    </row>
    <row r="195" spans="2:20" ht="15.4" x14ac:dyDescent="0.45">
      <c r="B195" s="17" t="s">
        <v>11</v>
      </c>
      <c r="C195" s="11">
        <v>9</v>
      </c>
      <c r="D195" s="1">
        <v>8</v>
      </c>
      <c r="E195" s="1">
        <v>7</v>
      </c>
      <c r="F195" s="1">
        <v>6</v>
      </c>
      <c r="G195" s="1">
        <v>5</v>
      </c>
      <c r="H195" s="1">
        <v>4</v>
      </c>
      <c r="I195" s="1">
        <v>3</v>
      </c>
      <c r="J195" s="1">
        <v>2</v>
      </c>
      <c r="K195" s="1">
        <v>1</v>
      </c>
      <c r="L195" s="59">
        <v>2</v>
      </c>
      <c r="M195" s="1">
        <v>3</v>
      </c>
      <c r="N195" s="1">
        <v>4</v>
      </c>
      <c r="O195" s="1">
        <v>5</v>
      </c>
      <c r="P195" s="1">
        <v>6</v>
      </c>
      <c r="Q195" s="1">
        <v>7</v>
      </c>
      <c r="R195" s="1">
        <v>8</v>
      </c>
      <c r="S195" s="12">
        <v>9</v>
      </c>
      <c r="T195" s="12" t="s">
        <v>15</v>
      </c>
    </row>
    <row r="196" spans="2:20" ht="15.4" x14ac:dyDescent="0.45">
      <c r="B196" s="17" t="s">
        <v>11</v>
      </c>
      <c r="C196" s="11">
        <v>9</v>
      </c>
      <c r="D196" s="1">
        <v>8</v>
      </c>
      <c r="E196" s="1">
        <v>7</v>
      </c>
      <c r="F196" s="1">
        <v>6</v>
      </c>
      <c r="G196" s="1">
        <v>5</v>
      </c>
      <c r="H196" s="1">
        <v>4</v>
      </c>
      <c r="I196" s="1">
        <v>3</v>
      </c>
      <c r="J196" s="1">
        <v>2</v>
      </c>
      <c r="K196" s="1">
        <v>1</v>
      </c>
      <c r="L196" s="59">
        <v>2</v>
      </c>
      <c r="M196" s="1">
        <v>3</v>
      </c>
      <c r="N196" s="1">
        <v>4</v>
      </c>
      <c r="O196" s="1">
        <v>5</v>
      </c>
      <c r="P196" s="1">
        <v>6</v>
      </c>
      <c r="Q196" s="1">
        <v>7</v>
      </c>
      <c r="R196" s="1">
        <v>8</v>
      </c>
      <c r="S196" s="12">
        <v>9</v>
      </c>
      <c r="T196" s="12" t="s">
        <v>16</v>
      </c>
    </row>
    <row r="197" spans="2:20" ht="15.4" x14ac:dyDescent="0.45">
      <c r="B197" s="17" t="s">
        <v>11</v>
      </c>
      <c r="C197" s="11">
        <v>9</v>
      </c>
      <c r="D197" s="1">
        <v>8</v>
      </c>
      <c r="E197" s="1">
        <v>7</v>
      </c>
      <c r="F197" s="1">
        <v>6</v>
      </c>
      <c r="G197" s="1">
        <v>5</v>
      </c>
      <c r="H197" s="1">
        <v>4</v>
      </c>
      <c r="I197" s="1">
        <v>3</v>
      </c>
      <c r="J197" s="1">
        <v>2</v>
      </c>
      <c r="K197" s="1">
        <v>1</v>
      </c>
      <c r="L197" s="1">
        <v>2</v>
      </c>
      <c r="M197" s="1">
        <v>3</v>
      </c>
      <c r="N197" s="59">
        <v>4</v>
      </c>
      <c r="O197" s="1">
        <v>5</v>
      </c>
      <c r="P197" s="1">
        <v>6</v>
      </c>
      <c r="Q197" s="1">
        <v>7</v>
      </c>
      <c r="R197" s="1">
        <v>8</v>
      </c>
      <c r="S197" s="12">
        <v>9</v>
      </c>
      <c r="T197" s="12" t="s">
        <v>17</v>
      </c>
    </row>
    <row r="198" spans="2:20" ht="15.4" x14ac:dyDescent="0.45">
      <c r="B198" s="19" t="s">
        <v>11</v>
      </c>
      <c r="C198" s="11">
        <v>9</v>
      </c>
      <c r="D198" s="1">
        <v>8</v>
      </c>
      <c r="E198" s="1">
        <v>7</v>
      </c>
      <c r="F198" s="1">
        <v>6</v>
      </c>
      <c r="G198" s="1">
        <v>5</v>
      </c>
      <c r="H198" s="1">
        <v>4</v>
      </c>
      <c r="I198" s="1">
        <v>3</v>
      </c>
      <c r="J198" s="1">
        <v>2</v>
      </c>
      <c r="K198" s="1">
        <v>1</v>
      </c>
      <c r="L198" s="59">
        <v>2</v>
      </c>
      <c r="M198" s="1">
        <v>3</v>
      </c>
      <c r="N198" s="1">
        <v>4</v>
      </c>
      <c r="O198" s="1">
        <v>5</v>
      </c>
      <c r="P198" s="1">
        <v>6</v>
      </c>
      <c r="Q198" s="1">
        <v>7</v>
      </c>
      <c r="R198" s="1">
        <v>8</v>
      </c>
      <c r="S198" s="12">
        <v>9</v>
      </c>
      <c r="T198" s="15" t="s">
        <v>18</v>
      </c>
    </row>
    <row r="199" spans="2:20" ht="15.4" x14ac:dyDescent="0.45">
      <c r="B199" s="16" t="s">
        <v>12</v>
      </c>
      <c r="C199" s="4">
        <v>9</v>
      </c>
      <c r="D199" s="5">
        <v>8</v>
      </c>
      <c r="E199" s="5">
        <v>7</v>
      </c>
      <c r="F199" s="5">
        <v>6</v>
      </c>
      <c r="G199" s="5">
        <v>5</v>
      </c>
      <c r="H199" s="5">
        <v>4</v>
      </c>
      <c r="I199" s="5">
        <v>3</v>
      </c>
      <c r="J199" s="58">
        <v>2</v>
      </c>
      <c r="K199" s="5">
        <v>1</v>
      </c>
      <c r="L199" s="5">
        <v>2</v>
      </c>
      <c r="M199" s="5">
        <v>3</v>
      </c>
      <c r="N199" s="5">
        <v>4</v>
      </c>
      <c r="O199" s="5">
        <v>5</v>
      </c>
      <c r="P199" s="5">
        <v>6</v>
      </c>
      <c r="Q199" s="5">
        <v>7</v>
      </c>
      <c r="R199" s="5">
        <v>8</v>
      </c>
      <c r="S199" s="7">
        <v>9</v>
      </c>
      <c r="T199" s="12" t="s">
        <v>13</v>
      </c>
    </row>
    <row r="200" spans="2:20" ht="15.4" x14ac:dyDescent="0.45">
      <c r="B200" s="17" t="s">
        <v>12</v>
      </c>
      <c r="C200" s="11">
        <v>9</v>
      </c>
      <c r="D200" s="1">
        <v>8</v>
      </c>
      <c r="E200" s="1">
        <v>7</v>
      </c>
      <c r="F200" s="1">
        <v>6</v>
      </c>
      <c r="G200" s="1">
        <v>5</v>
      </c>
      <c r="H200" s="1">
        <v>4</v>
      </c>
      <c r="I200" s="1">
        <v>3</v>
      </c>
      <c r="J200" s="1">
        <v>2</v>
      </c>
      <c r="K200" s="1">
        <v>1</v>
      </c>
      <c r="L200" s="1">
        <v>2</v>
      </c>
      <c r="M200" s="1">
        <v>3</v>
      </c>
      <c r="N200" s="59">
        <v>4</v>
      </c>
      <c r="O200" s="1">
        <v>5</v>
      </c>
      <c r="P200" s="1">
        <v>6</v>
      </c>
      <c r="Q200" s="1">
        <v>7</v>
      </c>
      <c r="R200" s="1">
        <v>8</v>
      </c>
      <c r="S200" s="12">
        <v>9</v>
      </c>
      <c r="T200" s="12" t="s">
        <v>14</v>
      </c>
    </row>
    <row r="201" spans="2:20" ht="15.4" x14ac:dyDescent="0.45">
      <c r="B201" s="17" t="s">
        <v>12</v>
      </c>
      <c r="C201" s="11">
        <v>9</v>
      </c>
      <c r="D201" s="1">
        <v>8</v>
      </c>
      <c r="E201" s="1">
        <v>7</v>
      </c>
      <c r="F201" s="1">
        <v>6</v>
      </c>
      <c r="G201" s="1">
        <v>5</v>
      </c>
      <c r="H201" s="1">
        <v>4</v>
      </c>
      <c r="I201" s="1">
        <v>3</v>
      </c>
      <c r="J201" s="59">
        <v>2</v>
      </c>
      <c r="K201" s="1">
        <v>1</v>
      </c>
      <c r="L201" s="1">
        <v>2</v>
      </c>
      <c r="M201" s="1">
        <v>3</v>
      </c>
      <c r="N201" s="1">
        <v>4</v>
      </c>
      <c r="O201" s="1">
        <v>5</v>
      </c>
      <c r="P201" s="1">
        <v>6</v>
      </c>
      <c r="Q201" s="1">
        <v>7</v>
      </c>
      <c r="R201" s="1">
        <v>8</v>
      </c>
      <c r="S201" s="12">
        <v>9</v>
      </c>
      <c r="T201" s="12" t="s">
        <v>15</v>
      </c>
    </row>
    <row r="202" spans="2:20" ht="15.4" x14ac:dyDescent="0.45">
      <c r="B202" s="17" t="s">
        <v>12</v>
      </c>
      <c r="C202" s="11">
        <v>9</v>
      </c>
      <c r="D202" s="1">
        <v>8</v>
      </c>
      <c r="E202" s="1">
        <v>7</v>
      </c>
      <c r="F202" s="1">
        <v>6</v>
      </c>
      <c r="G202" s="1">
        <v>5</v>
      </c>
      <c r="H202" s="1">
        <v>4</v>
      </c>
      <c r="I202" s="1">
        <v>3</v>
      </c>
      <c r="J202" s="1">
        <v>2</v>
      </c>
      <c r="K202" s="1">
        <v>1</v>
      </c>
      <c r="L202" s="59">
        <v>2</v>
      </c>
      <c r="M202" s="1">
        <v>3</v>
      </c>
      <c r="N202" s="1">
        <v>4</v>
      </c>
      <c r="O202" s="1">
        <v>5</v>
      </c>
      <c r="P202" s="1">
        <v>6</v>
      </c>
      <c r="Q202" s="1">
        <v>7</v>
      </c>
      <c r="R202" s="1">
        <v>8</v>
      </c>
      <c r="S202" s="12">
        <v>9</v>
      </c>
      <c r="T202" s="12" t="s">
        <v>16</v>
      </c>
    </row>
    <row r="203" spans="2:20" ht="15.4" x14ac:dyDescent="0.45">
      <c r="B203" s="17" t="s">
        <v>12</v>
      </c>
      <c r="C203" s="11">
        <v>9</v>
      </c>
      <c r="D203" s="1">
        <v>8</v>
      </c>
      <c r="E203" s="1">
        <v>7</v>
      </c>
      <c r="F203" s="1">
        <v>6</v>
      </c>
      <c r="G203" s="1">
        <v>5</v>
      </c>
      <c r="H203" s="1">
        <v>4</v>
      </c>
      <c r="I203" s="1">
        <v>3</v>
      </c>
      <c r="J203" s="1">
        <v>2</v>
      </c>
      <c r="K203" s="1">
        <v>1</v>
      </c>
      <c r="L203" s="1">
        <v>2</v>
      </c>
      <c r="M203" s="1">
        <v>3</v>
      </c>
      <c r="N203" s="59">
        <v>4</v>
      </c>
      <c r="O203" s="1">
        <v>5</v>
      </c>
      <c r="P203" s="1">
        <v>6</v>
      </c>
      <c r="Q203" s="1">
        <v>7</v>
      </c>
      <c r="R203" s="1">
        <v>8</v>
      </c>
      <c r="S203" s="12">
        <v>9</v>
      </c>
      <c r="T203" s="12" t="s">
        <v>17</v>
      </c>
    </row>
    <row r="204" spans="2:20" ht="15.4" x14ac:dyDescent="0.45">
      <c r="B204" s="19" t="s">
        <v>12</v>
      </c>
      <c r="C204" s="11">
        <v>9</v>
      </c>
      <c r="D204" s="1">
        <v>8</v>
      </c>
      <c r="E204" s="1">
        <v>7</v>
      </c>
      <c r="F204" s="1">
        <v>6</v>
      </c>
      <c r="G204" s="1">
        <v>5</v>
      </c>
      <c r="H204" s="1">
        <v>4</v>
      </c>
      <c r="I204" s="1">
        <v>3</v>
      </c>
      <c r="J204" s="1">
        <v>2</v>
      </c>
      <c r="K204" s="1">
        <v>1</v>
      </c>
      <c r="L204" s="1">
        <v>2</v>
      </c>
      <c r="M204" s="59">
        <v>3</v>
      </c>
      <c r="N204" s="1">
        <v>4</v>
      </c>
      <c r="O204" s="1">
        <v>5</v>
      </c>
      <c r="P204" s="1">
        <v>6</v>
      </c>
      <c r="Q204" s="1">
        <v>7</v>
      </c>
      <c r="R204" s="1">
        <v>8</v>
      </c>
      <c r="S204" s="12">
        <v>9</v>
      </c>
      <c r="T204" s="15" t="s">
        <v>18</v>
      </c>
    </row>
    <row r="205" spans="2:20" ht="15.4" x14ac:dyDescent="0.45">
      <c r="B205" s="16" t="s">
        <v>13</v>
      </c>
      <c r="C205" s="4">
        <v>9</v>
      </c>
      <c r="D205" s="5">
        <v>8</v>
      </c>
      <c r="E205" s="5">
        <v>7</v>
      </c>
      <c r="F205" s="5">
        <v>6</v>
      </c>
      <c r="G205" s="5">
        <v>5</v>
      </c>
      <c r="H205" s="5">
        <v>4</v>
      </c>
      <c r="I205" s="5">
        <v>3</v>
      </c>
      <c r="J205" s="5">
        <v>2</v>
      </c>
      <c r="K205" s="5">
        <v>1</v>
      </c>
      <c r="L205" s="5">
        <v>2</v>
      </c>
      <c r="M205" s="58">
        <v>3</v>
      </c>
      <c r="N205" s="5">
        <v>4</v>
      </c>
      <c r="O205" s="5">
        <v>5</v>
      </c>
      <c r="P205" s="5">
        <v>6</v>
      </c>
      <c r="Q205" s="5">
        <v>7</v>
      </c>
      <c r="R205" s="5">
        <v>8</v>
      </c>
      <c r="S205" s="7">
        <v>9</v>
      </c>
      <c r="T205" s="7" t="s">
        <v>14</v>
      </c>
    </row>
    <row r="206" spans="2:20" ht="15.4" x14ac:dyDescent="0.45">
      <c r="B206" s="17" t="s">
        <v>13</v>
      </c>
      <c r="C206" s="11">
        <v>9</v>
      </c>
      <c r="D206" s="1">
        <v>8</v>
      </c>
      <c r="E206" s="1">
        <v>7</v>
      </c>
      <c r="F206" s="1">
        <v>6</v>
      </c>
      <c r="G206" s="1">
        <v>5</v>
      </c>
      <c r="H206" s="1">
        <v>4</v>
      </c>
      <c r="I206" s="1">
        <v>3</v>
      </c>
      <c r="J206" s="59">
        <v>2</v>
      </c>
      <c r="K206" s="1">
        <v>1</v>
      </c>
      <c r="L206" s="1">
        <v>2</v>
      </c>
      <c r="M206" s="1">
        <v>3</v>
      </c>
      <c r="N206" s="1">
        <v>4</v>
      </c>
      <c r="O206" s="1">
        <v>5</v>
      </c>
      <c r="P206" s="1">
        <v>6</v>
      </c>
      <c r="Q206" s="1">
        <v>7</v>
      </c>
      <c r="R206" s="1">
        <v>8</v>
      </c>
      <c r="S206" s="12">
        <v>9</v>
      </c>
      <c r="T206" s="12" t="s">
        <v>15</v>
      </c>
    </row>
    <row r="207" spans="2:20" ht="15.4" x14ac:dyDescent="0.45">
      <c r="B207" s="17" t="s">
        <v>13</v>
      </c>
      <c r="C207" s="11">
        <v>9</v>
      </c>
      <c r="D207" s="1">
        <v>8</v>
      </c>
      <c r="E207" s="1">
        <v>7</v>
      </c>
      <c r="F207" s="1">
        <v>6</v>
      </c>
      <c r="G207" s="1">
        <v>5</v>
      </c>
      <c r="H207" s="1">
        <v>4</v>
      </c>
      <c r="I207" s="1">
        <v>3</v>
      </c>
      <c r="J207" s="1">
        <v>2</v>
      </c>
      <c r="K207" s="1">
        <v>1</v>
      </c>
      <c r="L207" s="1">
        <v>2</v>
      </c>
      <c r="M207" s="59">
        <v>3</v>
      </c>
      <c r="N207" s="1">
        <v>4</v>
      </c>
      <c r="O207" s="1">
        <v>5</v>
      </c>
      <c r="P207" s="1">
        <v>6</v>
      </c>
      <c r="Q207" s="1">
        <v>7</v>
      </c>
      <c r="R207" s="1">
        <v>8</v>
      </c>
      <c r="S207" s="12">
        <v>9</v>
      </c>
      <c r="T207" s="12" t="s">
        <v>16</v>
      </c>
    </row>
    <row r="208" spans="2:20" ht="15.4" x14ac:dyDescent="0.45">
      <c r="B208" s="17" t="s">
        <v>13</v>
      </c>
      <c r="C208" s="11">
        <v>9</v>
      </c>
      <c r="D208" s="1">
        <v>8</v>
      </c>
      <c r="E208" s="1">
        <v>7</v>
      </c>
      <c r="F208" s="1">
        <v>6</v>
      </c>
      <c r="G208" s="1">
        <v>5</v>
      </c>
      <c r="H208" s="1">
        <v>4</v>
      </c>
      <c r="I208" s="1">
        <v>3</v>
      </c>
      <c r="J208" s="1">
        <v>2</v>
      </c>
      <c r="K208" s="1">
        <v>1</v>
      </c>
      <c r="L208" s="1">
        <v>2</v>
      </c>
      <c r="M208" s="1">
        <v>3</v>
      </c>
      <c r="N208" s="59">
        <v>4</v>
      </c>
      <c r="O208" s="1">
        <v>5</v>
      </c>
      <c r="P208" s="1">
        <v>6</v>
      </c>
      <c r="Q208" s="1">
        <v>7</v>
      </c>
      <c r="R208" s="1">
        <v>8</v>
      </c>
      <c r="S208" s="12">
        <v>9</v>
      </c>
      <c r="T208" s="12" t="s">
        <v>17</v>
      </c>
    </row>
    <row r="209" spans="2:20" ht="15.4" x14ac:dyDescent="0.45">
      <c r="B209" s="17" t="s">
        <v>13</v>
      </c>
      <c r="C209" s="11">
        <v>9</v>
      </c>
      <c r="D209" s="1">
        <v>8</v>
      </c>
      <c r="E209" s="1">
        <v>7</v>
      </c>
      <c r="F209" s="1">
        <v>6</v>
      </c>
      <c r="G209" s="1">
        <v>5</v>
      </c>
      <c r="H209" s="1">
        <v>4</v>
      </c>
      <c r="I209" s="1">
        <v>3</v>
      </c>
      <c r="J209" s="1">
        <v>2</v>
      </c>
      <c r="K209" s="1">
        <v>1</v>
      </c>
      <c r="L209" s="59">
        <v>2</v>
      </c>
      <c r="M209" s="1">
        <v>3</v>
      </c>
      <c r="N209" s="1">
        <v>4</v>
      </c>
      <c r="O209" s="1">
        <v>5</v>
      </c>
      <c r="P209" s="1">
        <v>6</v>
      </c>
      <c r="Q209" s="1">
        <v>7</v>
      </c>
      <c r="R209" s="1">
        <v>8</v>
      </c>
      <c r="S209" s="12">
        <v>9</v>
      </c>
      <c r="T209" s="15" t="s">
        <v>18</v>
      </c>
    </row>
    <row r="210" spans="2:20" ht="15.4" x14ac:dyDescent="0.45">
      <c r="B210" s="4" t="s">
        <v>14</v>
      </c>
      <c r="C210" s="4">
        <v>9</v>
      </c>
      <c r="D210" s="5">
        <v>8</v>
      </c>
      <c r="E210" s="5">
        <v>7</v>
      </c>
      <c r="F210" s="5">
        <v>6</v>
      </c>
      <c r="G210" s="5">
        <v>5</v>
      </c>
      <c r="H210" s="58">
        <v>4</v>
      </c>
      <c r="I210" s="5">
        <v>3</v>
      </c>
      <c r="J210" s="5">
        <v>2</v>
      </c>
      <c r="K210" s="5">
        <v>1</v>
      </c>
      <c r="L210" s="5">
        <v>2</v>
      </c>
      <c r="M210" s="5">
        <v>3</v>
      </c>
      <c r="N210" s="5">
        <v>4</v>
      </c>
      <c r="O210" s="5">
        <v>5</v>
      </c>
      <c r="P210" s="5">
        <v>6</v>
      </c>
      <c r="Q210" s="5">
        <v>7</v>
      </c>
      <c r="R210" s="5">
        <v>8</v>
      </c>
      <c r="S210" s="7">
        <v>9</v>
      </c>
      <c r="T210" s="12" t="s">
        <v>15</v>
      </c>
    </row>
    <row r="211" spans="2:20" ht="15.4" x14ac:dyDescent="0.45">
      <c r="B211" s="11" t="s">
        <v>14</v>
      </c>
      <c r="C211" s="11">
        <v>9</v>
      </c>
      <c r="D211" s="1">
        <v>8</v>
      </c>
      <c r="E211" s="1">
        <v>7</v>
      </c>
      <c r="F211" s="1">
        <v>6</v>
      </c>
      <c r="G211" s="1">
        <v>5</v>
      </c>
      <c r="H211" s="1">
        <v>4</v>
      </c>
      <c r="I211" s="1">
        <v>3</v>
      </c>
      <c r="J211" s="59">
        <v>2</v>
      </c>
      <c r="K211" s="1">
        <v>1</v>
      </c>
      <c r="L211" s="1">
        <v>2</v>
      </c>
      <c r="M211" s="1">
        <v>3</v>
      </c>
      <c r="N211" s="1">
        <v>4</v>
      </c>
      <c r="O211" s="1">
        <v>5</v>
      </c>
      <c r="P211" s="1">
        <v>6</v>
      </c>
      <c r="Q211" s="1">
        <v>7</v>
      </c>
      <c r="R211" s="1">
        <v>8</v>
      </c>
      <c r="S211" s="12">
        <v>9</v>
      </c>
      <c r="T211" s="12" t="s">
        <v>16</v>
      </c>
    </row>
    <row r="212" spans="2:20" ht="15.4" x14ac:dyDescent="0.45">
      <c r="B212" s="11" t="s">
        <v>14</v>
      </c>
      <c r="C212" s="11">
        <v>9</v>
      </c>
      <c r="D212" s="1">
        <v>8</v>
      </c>
      <c r="E212" s="1">
        <v>7</v>
      </c>
      <c r="F212" s="1">
        <v>6</v>
      </c>
      <c r="G212" s="1">
        <v>5</v>
      </c>
      <c r="H212" s="1">
        <v>4</v>
      </c>
      <c r="I212" s="1">
        <v>3</v>
      </c>
      <c r="J212" s="1">
        <v>2</v>
      </c>
      <c r="K212" s="1">
        <v>1</v>
      </c>
      <c r="L212" s="1">
        <v>2</v>
      </c>
      <c r="M212" s="59">
        <v>3</v>
      </c>
      <c r="N212" s="1">
        <v>4</v>
      </c>
      <c r="O212" s="1">
        <v>5</v>
      </c>
      <c r="P212" s="1">
        <v>6</v>
      </c>
      <c r="Q212" s="1">
        <v>7</v>
      </c>
      <c r="R212" s="1">
        <v>8</v>
      </c>
      <c r="S212" s="12">
        <v>9</v>
      </c>
      <c r="T212" s="12" t="s">
        <v>17</v>
      </c>
    </row>
    <row r="213" spans="2:20" ht="15.4" x14ac:dyDescent="0.45">
      <c r="B213" s="13" t="s">
        <v>14</v>
      </c>
      <c r="C213" s="13">
        <v>9</v>
      </c>
      <c r="D213" s="14">
        <v>8</v>
      </c>
      <c r="E213" s="14">
        <v>7</v>
      </c>
      <c r="F213" s="14">
        <v>6</v>
      </c>
      <c r="G213" s="14">
        <v>5</v>
      </c>
      <c r="H213" s="14">
        <v>4</v>
      </c>
      <c r="I213" s="14">
        <v>3</v>
      </c>
      <c r="J213" s="14">
        <v>2</v>
      </c>
      <c r="K213" s="14">
        <v>1</v>
      </c>
      <c r="L213" s="60">
        <v>2</v>
      </c>
      <c r="M213" s="14">
        <v>3</v>
      </c>
      <c r="N213" s="14">
        <v>4</v>
      </c>
      <c r="O213" s="14">
        <v>5</v>
      </c>
      <c r="P213" s="14">
        <v>6</v>
      </c>
      <c r="Q213" s="14">
        <v>7</v>
      </c>
      <c r="R213" s="14">
        <v>8</v>
      </c>
      <c r="S213" s="15">
        <v>9</v>
      </c>
      <c r="T213" s="15" t="s">
        <v>18</v>
      </c>
    </row>
    <row r="214" spans="2:20" ht="15.4" x14ac:dyDescent="0.45">
      <c r="B214" s="16" t="s">
        <v>15</v>
      </c>
      <c r="C214" s="11">
        <v>9</v>
      </c>
      <c r="D214" s="1">
        <v>8</v>
      </c>
      <c r="E214" s="1">
        <v>7</v>
      </c>
      <c r="F214" s="1">
        <v>6</v>
      </c>
      <c r="G214" s="1">
        <v>5</v>
      </c>
      <c r="H214" s="1">
        <v>4</v>
      </c>
      <c r="I214" s="1">
        <v>3</v>
      </c>
      <c r="J214" s="1">
        <v>2</v>
      </c>
      <c r="K214" s="1">
        <v>1</v>
      </c>
      <c r="L214" s="1">
        <v>2</v>
      </c>
      <c r="M214" s="1">
        <v>3</v>
      </c>
      <c r="N214" s="59">
        <v>4</v>
      </c>
      <c r="O214" s="1">
        <v>5</v>
      </c>
      <c r="P214" s="1">
        <v>6</v>
      </c>
      <c r="Q214" s="1">
        <v>7</v>
      </c>
      <c r="R214" s="1">
        <v>8</v>
      </c>
      <c r="S214" s="12">
        <v>9</v>
      </c>
      <c r="T214" s="12" t="s">
        <v>16</v>
      </c>
    </row>
    <row r="215" spans="2:20" ht="15.4" x14ac:dyDescent="0.45">
      <c r="B215" s="17" t="s">
        <v>15</v>
      </c>
      <c r="C215" s="11">
        <v>9</v>
      </c>
      <c r="D215" s="1">
        <v>8</v>
      </c>
      <c r="E215" s="1">
        <v>7</v>
      </c>
      <c r="F215" s="1">
        <v>6</v>
      </c>
      <c r="G215" s="1">
        <v>5</v>
      </c>
      <c r="H215" s="1">
        <v>4</v>
      </c>
      <c r="I215" s="1">
        <v>3</v>
      </c>
      <c r="J215" s="1">
        <v>2</v>
      </c>
      <c r="K215" s="1">
        <v>1</v>
      </c>
      <c r="L215" s="1">
        <v>2</v>
      </c>
      <c r="M215" s="1">
        <v>3</v>
      </c>
      <c r="N215" s="1">
        <v>4</v>
      </c>
      <c r="O215" s="59">
        <v>5</v>
      </c>
      <c r="P215" s="1">
        <v>6</v>
      </c>
      <c r="Q215" s="1">
        <v>7</v>
      </c>
      <c r="R215" s="1">
        <v>8</v>
      </c>
      <c r="S215" s="12">
        <v>9</v>
      </c>
      <c r="T215" s="12" t="s">
        <v>17</v>
      </c>
    </row>
    <row r="216" spans="2:20" ht="15.4" x14ac:dyDescent="0.45">
      <c r="B216" s="19" t="s">
        <v>15</v>
      </c>
      <c r="C216" s="13">
        <v>9</v>
      </c>
      <c r="D216" s="14">
        <v>8</v>
      </c>
      <c r="E216" s="14">
        <v>7</v>
      </c>
      <c r="F216" s="14">
        <v>6</v>
      </c>
      <c r="G216" s="14">
        <v>5</v>
      </c>
      <c r="H216" s="14">
        <v>4</v>
      </c>
      <c r="I216" s="14">
        <v>3</v>
      </c>
      <c r="J216" s="14">
        <v>2</v>
      </c>
      <c r="K216" s="14">
        <v>1</v>
      </c>
      <c r="L216" s="14">
        <v>2</v>
      </c>
      <c r="M216" s="60">
        <v>3</v>
      </c>
      <c r="N216" s="14">
        <v>4</v>
      </c>
      <c r="O216" s="14">
        <v>5</v>
      </c>
      <c r="P216" s="14">
        <v>6</v>
      </c>
      <c r="Q216" s="14">
        <v>7</v>
      </c>
      <c r="R216" s="14">
        <v>8</v>
      </c>
      <c r="S216" s="15">
        <v>9</v>
      </c>
      <c r="T216" s="15" t="s">
        <v>18</v>
      </c>
    </row>
    <row r="217" spans="2:20" ht="15.4" x14ac:dyDescent="0.45">
      <c r="B217" s="16" t="s">
        <v>16</v>
      </c>
      <c r="C217" s="11">
        <v>9</v>
      </c>
      <c r="D217" s="1">
        <v>8</v>
      </c>
      <c r="E217" s="1">
        <v>7</v>
      </c>
      <c r="F217" s="1">
        <v>6</v>
      </c>
      <c r="G217" s="1">
        <v>5</v>
      </c>
      <c r="H217" s="1">
        <v>4</v>
      </c>
      <c r="I217" s="1">
        <v>3</v>
      </c>
      <c r="J217" s="1">
        <v>2</v>
      </c>
      <c r="K217" s="1">
        <v>1</v>
      </c>
      <c r="L217" s="1">
        <v>2</v>
      </c>
      <c r="M217" s="59">
        <v>3</v>
      </c>
      <c r="N217" s="1">
        <v>4</v>
      </c>
      <c r="O217" s="1">
        <v>5</v>
      </c>
      <c r="P217" s="1">
        <v>6</v>
      </c>
      <c r="Q217" s="1">
        <v>7</v>
      </c>
      <c r="R217" s="1">
        <v>8</v>
      </c>
      <c r="S217" s="12">
        <v>9</v>
      </c>
      <c r="T217" s="7" t="s">
        <v>17</v>
      </c>
    </row>
    <row r="218" spans="2:20" ht="15.4" x14ac:dyDescent="0.45">
      <c r="B218" s="19" t="s">
        <v>16</v>
      </c>
      <c r="C218" s="13">
        <v>9</v>
      </c>
      <c r="D218" s="14">
        <v>8</v>
      </c>
      <c r="E218" s="14">
        <v>7</v>
      </c>
      <c r="F218" s="14">
        <v>6</v>
      </c>
      <c r="G218" s="14">
        <v>5</v>
      </c>
      <c r="H218" s="14">
        <v>4</v>
      </c>
      <c r="I218" s="14">
        <v>3</v>
      </c>
      <c r="J218" s="14">
        <v>2</v>
      </c>
      <c r="K218" s="14">
        <v>1</v>
      </c>
      <c r="L218" s="60">
        <v>2</v>
      </c>
      <c r="M218" s="14">
        <v>3</v>
      </c>
      <c r="N218" s="14">
        <v>4</v>
      </c>
      <c r="O218" s="14">
        <v>5</v>
      </c>
      <c r="P218" s="14">
        <v>6</v>
      </c>
      <c r="Q218" s="14">
        <v>7</v>
      </c>
      <c r="R218" s="14">
        <v>8</v>
      </c>
      <c r="S218" s="15">
        <v>9</v>
      </c>
      <c r="T218" s="15" t="s">
        <v>18</v>
      </c>
    </row>
    <row r="219" spans="2:20" ht="15.4" x14ac:dyDescent="0.45">
      <c r="B219" s="3" t="s">
        <v>17</v>
      </c>
      <c r="C219" s="13">
        <v>9</v>
      </c>
      <c r="D219" s="14">
        <v>8</v>
      </c>
      <c r="E219" s="14">
        <v>7</v>
      </c>
      <c r="F219" s="14">
        <v>6</v>
      </c>
      <c r="G219" s="14">
        <v>5</v>
      </c>
      <c r="H219" s="14">
        <v>4</v>
      </c>
      <c r="I219" s="14">
        <v>3</v>
      </c>
      <c r="J219" s="60">
        <v>2</v>
      </c>
      <c r="K219" s="14">
        <v>1</v>
      </c>
      <c r="L219" s="14">
        <v>2</v>
      </c>
      <c r="M219" s="14">
        <v>3</v>
      </c>
      <c r="N219" s="14">
        <v>4</v>
      </c>
      <c r="O219" s="14">
        <v>5</v>
      </c>
      <c r="P219" s="14">
        <v>6</v>
      </c>
      <c r="Q219" s="14">
        <v>7</v>
      </c>
      <c r="R219" s="14">
        <v>8</v>
      </c>
      <c r="S219" s="15">
        <v>9</v>
      </c>
      <c r="T219" s="15" t="s">
        <v>18</v>
      </c>
    </row>
    <row r="221" spans="2:20" ht="15.4" x14ac:dyDescent="0.45">
      <c r="B221" s="82" t="s">
        <v>0</v>
      </c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4"/>
    </row>
    <row r="222" spans="2:20" ht="15.4" x14ac:dyDescent="0.45">
      <c r="B222" s="85" t="s">
        <v>66</v>
      </c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7"/>
    </row>
    <row r="223" spans="2:20" ht="15.4" x14ac:dyDescent="0.45">
      <c r="B223" s="80" t="s">
        <v>1</v>
      </c>
      <c r="C223" s="81" t="s">
        <v>2</v>
      </c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0" t="s">
        <v>3</v>
      </c>
    </row>
    <row r="224" spans="2:20" ht="15.4" x14ac:dyDescent="0.45">
      <c r="B224" s="80"/>
      <c r="C224" s="3">
        <v>9</v>
      </c>
      <c r="D224" s="3">
        <v>8</v>
      </c>
      <c r="E224" s="3">
        <v>7</v>
      </c>
      <c r="F224" s="3">
        <v>6</v>
      </c>
      <c r="G224" s="3">
        <v>5</v>
      </c>
      <c r="H224" s="3">
        <v>4</v>
      </c>
      <c r="I224" s="3">
        <v>3</v>
      </c>
      <c r="J224" s="3">
        <v>2</v>
      </c>
      <c r="K224" s="3">
        <v>1</v>
      </c>
      <c r="L224" s="3">
        <v>2</v>
      </c>
      <c r="M224" s="3">
        <v>3</v>
      </c>
      <c r="N224" s="3">
        <v>4</v>
      </c>
      <c r="O224" s="3">
        <v>5</v>
      </c>
      <c r="P224" s="3">
        <v>6</v>
      </c>
      <c r="Q224" s="3">
        <v>7</v>
      </c>
      <c r="R224" s="3">
        <v>8</v>
      </c>
      <c r="S224" s="3">
        <v>9</v>
      </c>
      <c r="T224" s="80"/>
    </row>
    <row r="225" spans="2:37" ht="15.4" x14ac:dyDescent="0.45">
      <c r="B225" s="16" t="s">
        <v>4</v>
      </c>
      <c r="C225" s="4">
        <v>9</v>
      </c>
      <c r="D225" s="5">
        <v>8</v>
      </c>
      <c r="E225" s="5">
        <v>7</v>
      </c>
      <c r="F225" s="5">
        <v>6</v>
      </c>
      <c r="G225" s="5">
        <v>5</v>
      </c>
      <c r="H225" s="5">
        <v>4</v>
      </c>
      <c r="I225" s="5">
        <v>3</v>
      </c>
      <c r="J225" s="5">
        <v>2</v>
      </c>
      <c r="K225" s="5">
        <v>1</v>
      </c>
      <c r="L225" s="5">
        <v>2</v>
      </c>
      <c r="M225" s="5">
        <v>3</v>
      </c>
      <c r="N225" s="5">
        <v>4</v>
      </c>
      <c r="O225" s="5">
        <v>5</v>
      </c>
      <c r="P225" s="6">
        <v>6</v>
      </c>
      <c r="Q225" s="5">
        <v>7</v>
      </c>
      <c r="R225" s="5">
        <v>8</v>
      </c>
      <c r="S225" s="7">
        <v>9</v>
      </c>
      <c r="T225" s="7" t="s">
        <v>5</v>
      </c>
      <c r="V225" s="63" t="s">
        <v>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ht="15.4" x14ac:dyDescent="0.45">
      <c r="B226" s="17" t="s">
        <v>4</v>
      </c>
      <c r="C226" s="11">
        <v>9</v>
      </c>
      <c r="D226" s="1">
        <v>8</v>
      </c>
      <c r="E226" s="1">
        <v>7</v>
      </c>
      <c r="F226" s="1">
        <v>6</v>
      </c>
      <c r="G226" s="1">
        <v>5</v>
      </c>
      <c r="H226" s="1">
        <v>4</v>
      </c>
      <c r="I226" s="1">
        <v>3</v>
      </c>
      <c r="J226" s="1">
        <v>2</v>
      </c>
      <c r="K226" s="1">
        <v>1</v>
      </c>
      <c r="L226" s="1">
        <v>2</v>
      </c>
      <c r="M226" s="1">
        <v>3</v>
      </c>
      <c r="N226" s="1">
        <v>4</v>
      </c>
      <c r="O226" s="1">
        <v>5</v>
      </c>
      <c r="P226" s="1">
        <v>6</v>
      </c>
      <c r="Q226" s="1">
        <v>7</v>
      </c>
      <c r="R226" s="33">
        <v>8</v>
      </c>
      <c r="S226" s="12">
        <v>9</v>
      </c>
      <c r="T226" s="12" t="s">
        <v>6</v>
      </c>
      <c r="V226" s="2" t="s">
        <v>4</v>
      </c>
      <c r="W226" s="3">
        <v>1</v>
      </c>
      <c r="X226" s="3">
        <f>1/6</f>
        <v>0.16666666666666666</v>
      </c>
      <c r="Y226" s="3">
        <f>1/8</f>
        <v>0.125</v>
      </c>
      <c r="Z226" s="3">
        <v>4</v>
      </c>
      <c r="AA226" s="3">
        <v>9</v>
      </c>
      <c r="AB226" s="3">
        <v>9</v>
      </c>
      <c r="AC226" s="3">
        <f>1/9</f>
        <v>0.1111111111111111</v>
      </c>
      <c r="AD226" s="3">
        <f>1/6</f>
        <v>0.16666666666666666</v>
      </c>
      <c r="AE226" s="3">
        <f>1/7</f>
        <v>0.14285714285714285</v>
      </c>
      <c r="AF226" s="3">
        <f>1/7</f>
        <v>0.14285714285714285</v>
      </c>
      <c r="AG226" s="3">
        <f>1/3</f>
        <v>0.33333333333333331</v>
      </c>
      <c r="AH226" s="3">
        <v>3</v>
      </c>
      <c r="AI226" s="3">
        <f>1/7</f>
        <v>0.14285714285714285</v>
      </c>
      <c r="AJ226" s="3">
        <f>1/7</f>
        <v>0.14285714285714285</v>
      </c>
      <c r="AK226" s="3">
        <v>3</v>
      </c>
    </row>
    <row r="227" spans="2:37" ht="15.4" x14ac:dyDescent="0.45">
      <c r="B227" s="17" t="s">
        <v>4</v>
      </c>
      <c r="C227" s="11">
        <v>9</v>
      </c>
      <c r="D227" s="1">
        <v>8</v>
      </c>
      <c r="E227" s="1">
        <v>7</v>
      </c>
      <c r="F227" s="1">
        <v>6</v>
      </c>
      <c r="G227" s="1">
        <v>5</v>
      </c>
      <c r="H227" s="33">
        <v>4</v>
      </c>
      <c r="I227" s="18">
        <v>3</v>
      </c>
      <c r="J227" s="1">
        <v>2</v>
      </c>
      <c r="K227" s="1">
        <v>1</v>
      </c>
      <c r="L227" s="1">
        <v>2</v>
      </c>
      <c r="M227" s="1">
        <v>3</v>
      </c>
      <c r="N227" s="1">
        <v>4</v>
      </c>
      <c r="O227" s="1">
        <v>5</v>
      </c>
      <c r="P227" s="1">
        <v>6</v>
      </c>
      <c r="Q227" s="1">
        <v>7</v>
      </c>
      <c r="R227" s="1">
        <v>8</v>
      </c>
      <c r="S227" s="12">
        <v>9</v>
      </c>
      <c r="T227" s="12" t="s">
        <v>7</v>
      </c>
      <c r="V227" s="2" t="s">
        <v>5</v>
      </c>
      <c r="W227" s="3">
        <f>1/X226</f>
        <v>6</v>
      </c>
      <c r="X227" s="3">
        <v>1</v>
      </c>
      <c r="Y227" s="3">
        <f>1/3</f>
        <v>0.33333333333333331</v>
      </c>
      <c r="Z227" s="3">
        <v>6</v>
      </c>
      <c r="AA227" s="3">
        <v>9</v>
      </c>
      <c r="AB227" s="3">
        <v>9</v>
      </c>
      <c r="AC227" s="3">
        <f>1/8</f>
        <v>0.125</v>
      </c>
      <c r="AD227" s="3">
        <f>1/5</f>
        <v>0.2</v>
      </c>
      <c r="AE227" s="3">
        <f>1/5</f>
        <v>0.2</v>
      </c>
      <c r="AF227" s="3">
        <f>1/6</f>
        <v>0.16666666666666666</v>
      </c>
      <c r="AG227" s="3">
        <f>1/4</f>
        <v>0.25</v>
      </c>
      <c r="AH227" s="3">
        <v>6</v>
      </c>
      <c r="AI227" s="3">
        <f>1/5</f>
        <v>0.2</v>
      </c>
      <c r="AJ227" s="3">
        <f>1/5</f>
        <v>0.2</v>
      </c>
      <c r="AK227" s="3">
        <v>5</v>
      </c>
    </row>
    <row r="228" spans="2:37" ht="15.4" x14ac:dyDescent="0.45">
      <c r="B228" s="17" t="s">
        <v>4</v>
      </c>
      <c r="C228" s="38">
        <v>9</v>
      </c>
      <c r="D228" s="1">
        <v>8</v>
      </c>
      <c r="E228" s="1">
        <v>7</v>
      </c>
      <c r="F228" s="1">
        <v>6</v>
      </c>
      <c r="G228" s="1">
        <v>5</v>
      </c>
      <c r="H228" s="1">
        <v>4</v>
      </c>
      <c r="I228" s="1">
        <v>3</v>
      </c>
      <c r="J228" s="1">
        <v>2</v>
      </c>
      <c r="K228" s="1">
        <v>1</v>
      </c>
      <c r="L228" s="1">
        <v>2</v>
      </c>
      <c r="M228" s="1">
        <v>3</v>
      </c>
      <c r="N228" s="1">
        <v>4</v>
      </c>
      <c r="O228" s="1">
        <v>5</v>
      </c>
      <c r="P228" s="1">
        <v>6</v>
      </c>
      <c r="Q228" s="1">
        <v>7</v>
      </c>
      <c r="R228" s="1">
        <v>8</v>
      </c>
      <c r="S228" s="12">
        <v>9</v>
      </c>
      <c r="T228" s="12" t="s">
        <v>8</v>
      </c>
      <c r="V228" s="2" t="s">
        <v>6</v>
      </c>
      <c r="W228" s="3">
        <f>1/Y226</f>
        <v>8</v>
      </c>
      <c r="X228" s="3">
        <f>1/Y227</f>
        <v>3</v>
      </c>
      <c r="Y228" s="3">
        <v>1</v>
      </c>
      <c r="Z228" s="3">
        <v>5</v>
      </c>
      <c r="AA228" s="3">
        <v>9</v>
      </c>
      <c r="AB228" s="3">
        <v>9</v>
      </c>
      <c r="AC228" s="3">
        <f>1/3</f>
        <v>0.33333333333333331</v>
      </c>
      <c r="AD228" s="3">
        <v>3</v>
      </c>
      <c r="AE228" s="3">
        <v>3</v>
      </c>
      <c r="AF228" s="3">
        <v>1</v>
      </c>
      <c r="AG228" s="3">
        <v>3</v>
      </c>
      <c r="AH228" s="3">
        <v>6</v>
      </c>
      <c r="AI228" s="3">
        <f>1/2</f>
        <v>0.5</v>
      </c>
      <c r="AJ228" s="3">
        <f>1/2</f>
        <v>0.5</v>
      </c>
      <c r="AK228" s="3">
        <v>7</v>
      </c>
    </row>
    <row r="229" spans="2:37" ht="15.4" x14ac:dyDescent="0.45">
      <c r="B229" s="17" t="s">
        <v>4</v>
      </c>
      <c r="C229" s="38">
        <v>9</v>
      </c>
      <c r="D229" s="1">
        <v>8</v>
      </c>
      <c r="E229" s="1">
        <v>7</v>
      </c>
      <c r="F229" s="1">
        <v>6</v>
      </c>
      <c r="G229" s="1">
        <v>5</v>
      </c>
      <c r="H229" s="1">
        <v>4</v>
      </c>
      <c r="I229" s="1">
        <v>3</v>
      </c>
      <c r="J229" s="1">
        <v>2</v>
      </c>
      <c r="K229" s="1">
        <v>1</v>
      </c>
      <c r="L229" s="1">
        <v>2</v>
      </c>
      <c r="M229" s="1">
        <v>3</v>
      </c>
      <c r="N229" s="1">
        <v>4</v>
      </c>
      <c r="O229" s="1">
        <v>5</v>
      </c>
      <c r="P229" s="1">
        <v>6</v>
      </c>
      <c r="Q229" s="1">
        <v>7</v>
      </c>
      <c r="R229" s="1">
        <v>8</v>
      </c>
      <c r="S229" s="12">
        <v>9</v>
      </c>
      <c r="T229" s="12" t="s">
        <v>9</v>
      </c>
      <c r="V229" s="2" t="s">
        <v>7</v>
      </c>
      <c r="W229" s="3">
        <f>1/Z226</f>
        <v>0.25</v>
      </c>
      <c r="X229" s="3">
        <f>1/Z227</f>
        <v>0.16666666666666666</v>
      </c>
      <c r="Y229" s="3">
        <f>1/Z228</f>
        <v>0.2</v>
      </c>
      <c r="Z229" s="3">
        <v>1</v>
      </c>
      <c r="AA229" s="3">
        <v>9</v>
      </c>
      <c r="AB229" s="3">
        <v>9</v>
      </c>
      <c r="AC229" s="3">
        <f>1/8</f>
        <v>0.125</v>
      </c>
      <c r="AD229" s="3">
        <f>1/5</f>
        <v>0.2</v>
      </c>
      <c r="AE229" s="3">
        <f>1/5</f>
        <v>0.2</v>
      </c>
      <c r="AF229" s="3">
        <f>1/7</f>
        <v>0.14285714285714285</v>
      </c>
      <c r="AG229" s="3">
        <f>1/4</f>
        <v>0.25</v>
      </c>
      <c r="AH229" s="3">
        <v>3</v>
      </c>
      <c r="AI229" s="3">
        <f>1/6</f>
        <v>0.16666666666666666</v>
      </c>
      <c r="AJ229" s="3">
        <f>1/6</f>
        <v>0.16666666666666666</v>
      </c>
      <c r="AK229" s="3"/>
    </row>
    <row r="230" spans="2:37" ht="15.4" x14ac:dyDescent="0.45">
      <c r="B230" s="17" t="s">
        <v>4</v>
      </c>
      <c r="C230" s="11">
        <v>9</v>
      </c>
      <c r="D230" s="1">
        <v>8</v>
      </c>
      <c r="E230" s="1">
        <v>7</v>
      </c>
      <c r="F230" s="1">
        <v>6</v>
      </c>
      <c r="G230" s="1">
        <v>5</v>
      </c>
      <c r="H230" s="1">
        <v>4</v>
      </c>
      <c r="I230" s="18">
        <v>3</v>
      </c>
      <c r="J230" s="1">
        <v>2</v>
      </c>
      <c r="K230" s="1">
        <v>1</v>
      </c>
      <c r="L230" s="1">
        <v>2</v>
      </c>
      <c r="M230" s="1">
        <v>3</v>
      </c>
      <c r="N230" s="1">
        <v>4</v>
      </c>
      <c r="O230" s="1">
        <v>5</v>
      </c>
      <c r="P230" s="1">
        <v>6</v>
      </c>
      <c r="Q230" s="1">
        <v>7</v>
      </c>
      <c r="R230" s="1">
        <v>8</v>
      </c>
      <c r="S230" s="36">
        <v>9</v>
      </c>
      <c r="T230" s="12" t="s">
        <v>10</v>
      </c>
      <c r="V230" s="2" t="s">
        <v>8</v>
      </c>
      <c r="W230" s="3">
        <f>1/AA226</f>
        <v>0.1111111111111111</v>
      </c>
      <c r="X230" s="3">
        <f>1/AA227</f>
        <v>0.1111111111111111</v>
      </c>
      <c r="Y230" s="3">
        <f>1/AA228</f>
        <v>0.1111111111111111</v>
      </c>
      <c r="Z230" s="3">
        <f>1/AA229</f>
        <v>0.1111111111111111</v>
      </c>
      <c r="AA230" s="3">
        <v>1</v>
      </c>
      <c r="AB230" s="3">
        <v>1</v>
      </c>
      <c r="AC230" s="3">
        <f t="shared" ref="AC230:AK231" si="0">1/9</f>
        <v>0.1111111111111111</v>
      </c>
      <c r="AD230" s="3">
        <f t="shared" si="0"/>
        <v>0.1111111111111111</v>
      </c>
      <c r="AE230" s="3">
        <f t="shared" si="0"/>
        <v>0.1111111111111111</v>
      </c>
      <c r="AF230" s="3">
        <f t="shared" si="0"/>
        <v>0.1111111111111111</v>
      </c>
      <c r="AG230" s="3">
        <f t="shared" si="0"/>
        <v>0.1111111111111111</v>
      </c>
      <c r="AH230" s="3">
        <f t="shared" si="0"/>
        <v>0.1111111111111111</v>
      </c>
      <c r="AI230" s="3">
        <f t="shared" si="0"/>
        <v>0.1111111111111111</v>
      </c>
      <c r="AJ230" s="3">
        <f t="shared" si="0"/>
        <v>0.1111111111111111</v>
      </c>
      <c r="AK230" s="3">
        <f t="shared" si="0"/>
        <v>0.1111111111111111</v>
      </c>
    </row>
    <row r="231" spans="2:37" ht="15.4" x14ac:dyDescent="0.45">
      <c r="B231" s="17" t="s">
        <v>4</v>
      </c>
      <c r="C231" s="11">
        <v>9</v>
      </c>
      <c r="D231" s="1">
        <v>8</v>
      </c>
      <c r="E231" s="1">
        <v>7</v>
      </c>
      <c r="F231" s="1">
        <v>6</v>
      </c>
      <c r="G231" s="1">
        <v>5</v>
      </c>
      <c r="H231" s="1">
        <v>4</v>
      </c>
      <c r="I231" s="1">
        <v>3</v>
      </c>
      <c r="J231" s="1">
        <v>2</v>
      </c>
      <c r="K231" s="1">
        <v>1</v>
      </c>
      <c r="L231" s="1">
        <v>2</v>
      </c>
      <c r="M231" s="1">
        <v>3</v>
      </c>
      <c r="N231" s="1">
        <v>4</v>
      </c>
      <c r="O231" s="1">
        <v>5</v>
      </c>
      <c r="P231" s="33">
        <v>6</v>
      </c>
      <c r="Q231" s="1">
        <v>7</v>
      </c>
      <c r="R231" s="1">
        <v>8</v>
      </c>
      <c r="S231" s="12">
        <v>9</v>
      </c>
      <c r="T231" s="12" t="s">
        <v>11</v>
      </c>
      <c r="V231" s="2" t="s">
        <v>9</v>
      </c>
      <c r="W231" s="3">
        <f>1/AB226</f>
        <v>0.1111111111111111</v>
      </c>
      <c r="X231" s="3">
        <f>1/AB227</f>
        <v>0.1111111111111111</v>
      </c>
      <c r="Y231" s="3">
        <f>1/AB228</f>
        <v>0.1111111111111111</v>
      </c>
      <c r="Z231" s="3">
        <f>1/AB229</f>
        <v>0.1111111111111111</v>
      </c>
      <c r="AA231" s="3">
        <f>1/AB230</f>
        <v>1</v>
      </c>
      <c r="AB231" s="3">
        <v>1</v>
      </c>
      <c r="AC231" s="3">
        <f t="shared" si="0"/>
        <v>0.1111111111111111</v>
      </c>
      <c r="AD231" s="3">
        <f t="shared" si="0"/>
        <v>0.1111111111111111</v>
      </c>
      <c r="AE231" s="3">
        <f t="shared" si="0"/>
        <v>0.1111111111111111</v>
      </c>
      <c r="AF231" s="3">
        <f t="shared" si="0"/>
        <v>0.1111111111111111</v>
      </c>
      <c r="AG231" s="3">
        <f t="shared" si="0"/>
        <v>0.1111111111111111</v>
      </c>
      <c r="AH231" s="3">
        <f t="shared" si="0"/>
        <v>0.1111111111111111</v>
      </c>
      <c r="AI231" s="3">
        <f t="shared" si="0"/>
        <v>0.1111111111111111</v>
      </c>
      <c r="AJ231" s="3">
        <f t="shared" si="0"/>
        <v>0.1111111111111111</v>
      </c>
      <c r="AK231" s="3">
        <f t="shared" si="0"/>
        <v>0.1111111111111111</v>
      </c>
    </row>
    <row r="232" spans="2:37" ht="15.4" x14ac:dyDescent="0.45">
      <c r="B232" s="17" t="s">
        <v>4</v>
      </c>
      <c r="C232" s="11">
        <v>9</v>
      </c>
      <c r="D232" s="1">
        <v>8</v>
      </c>
      <c r="E232" s="1">
        <v>7</v>
      </c>
      <c r="F232" s="1">
        <v>6</v>
      </c>
      <c r="G232" s="1">
        <v>5</v>
      </c>
      <c r="H232" s="1">
        <v>4</v>
      </c>
      <c r="I232" s="1">
        <v>3</v>
      </c>
      <c r="J232" s="1">
        <v>2</v>
      </c>
      <c r="K232" s="1">
        <v>1</v>
      </c>
      <c r="L232" s="1">
        <v>2</v>
      </c>
      <c r="M232" s="1">
        <v>3</v>
      </c>
      <c r="N232" s="1">
        <v>4</v>
      </c>
      <c r="O232" s="1">
        <v>5</v>
      </c>
      <c r="P232" s="1">
        <v>6</v>
      </c>
      <c r="Q232" s="33">
        <v>7</v>
      </c>
      <c r="R232" s="1">
        <v>8</v>
      </c>
      <c r="S232" s="12">
        <v>9</v>
      </c>
      <c r="T232" s="12" t="s">
        <v>12</v>
      </c>
      <c r="V232" s="2" t="s">
        <v>10</v>
      </c>
      <c r="W232" s="3">
        <f>1/AC226</f>
        <v>9</v>
      </c>
      <c r="X232" s="3">
        <f>1/AC227</f>
        <v>8</v>
      </c>
      <c r="Y232" s="3">
        <f>1/AC228</f>
        <v>3</v>
      </c>
      <c r="Z232" s="3">
        <f>1/AC229</f>
        <v>8</v>
      </c>
      <c r="AA232" s="3">
        <f>1/AC230</f>
        <v>9</v>
      </c>
      <c r="AB232" s="3">
        <f>1/AC231</f>
        <v>9</v>
      </c>
      <c r="AC232" s="3">
        <v>1</v>
      </c>
      <c r="AD232" s="3">
        <v>7</v>
      </c>
      <c r="AE232" s="3">
        <v>7</v>
      </c>
      <c r="AF232" s="3">
        <v>2</v>
      </c>
      <c r="AG232" s="3">
        <v>5</v>
      </c>
      <c r="AH232" s="3">
        <v>7</v>
      </c>
      <c r="AI232" s="3">
        <v>3</v>
      </c>
      <c r="AJ232" s="3">
        <v>3</v>
      </c>
      <c r="AK232" s="3">
        <v>8</v>
      </c>
    </row>
    <row r="233" spans="2:37" ht="15.4" x14ac:dyDescent="0.45">
      <c r="B233" s="17" t="s">
        <v>4</v>
      </c>
      <c r="C233" s="11">
        <v>9</v>
      </c>
      <c r="D233" s="1">
        <v>8</v>
      </c>
      <c r="E233" s="1">
        <v>7</v>
      </c>
      <c r="F233" s="1">
        <v>6</v>
      </c>
      <c r="G233" s="1">
        <v>5</v>
      </c>
      <c r="H233" s="1">
        <v>4</v>
      </c>
      <c r="I233" s="1">
        <v>3</v>
      </c>
      <c r="J233" s="1">
        <v>2</v>
      </c>
      <c r="K233" s="1">
        <v>1</v>
      </c>
      <c r="L233" s="1">
        <v>2</v>
      </c>
      <c r="M233" s="1">
        <v>3</v>
      </c>
      <c r="N233" s="1">
        <v>4</v>
      </c>
      <c r="O233" s="1">
        <v>5</v>
      </c>
      <c r="P233" s="1">
        <v>6</v>
      </c>
      <c r="Q233" s="33">
        <v>7</v>
      </c>
      <c r="R233" s="1">
        <v>8</v>
      </c>
      <c r="S233" s="12">
        <v>9</v>
      </c>
      <c r="T233" s="12" t="s">
        <v>13</v>
      </c>
      <c r="V233" s="2" t="s">
        <v>11</v>
      </c>
      <c r="W233" s="3">
        <f>1/AD226</f>
        <v>6</v>
      </c>
      <c r="X233" s="3">
        <f>1/AD227</f>
        <v>5</v>
      </c>
      <c r="Y233" s="3">
        <f>1/AD228</f>
        <v>0.33333333333333331</v>
      </c>
      <c r="Z233" s="3">
        <f>1/AD229</f>
        <v>5</v>
      </c>
      <c r="AA233" s="3">
        <f>1/AD230</f>
        <v>9</v>
      </c>
      <c r="AB233" s="3">
        <f>1/AD231</f>
        <v>9</v>
      </c>
      <c r="AC233" s="3">
        <f>1/AD232</f>
        <v>0.14285714285714285</v>
      </c>
      <c r="AD233" s="3">
        <v>1</v>
      </c>
      <c r="AE233" s="3">
        <v>1</v>
      </c>
      <c r="AF233" s="3">
        <f>1/6</f>
        <v>0.16666666666666666</v>
      </c>
      <c r="AG233" s="3">
        <f>1/3</f>
        <v>0.33333333333333331</v>
      </c>
      <c r="AH233" s="3">
        <v>2</v>
      </c>
      <c r="AI233" s="3">
        <f>1/5</f>
        <v>0.2</v>
      </c>
      <c r="AJ233" s="3">
        <f>1/5</f>
        <v>0.2</v>
      </c>
      <c r="AK233" s="3">
        <f>1/3</f>
        <v>0.33333333333333331</v>
      </c>
    </row>
    <row r="234" spans="2:37" ht="15.4" x14ac:dyDescent="0.45">
      <c r="B234" s="17" t="s">
        <v>4</v>
      </c>
      <c r="C234" s="11">
        <v>9</v>
      </c>
      <c r="D234" s="1">
        <v>8</v>
      </c>
      <c r="E234" s="1">
        <v>7</v>
      </c>
      <c r="F234" s="1">
        <v>6</v>
      </c>
      <c r="G234" s="1">
        <v>5</v>
      </c>
      <c r="H234" s="1">
        <v>4</v>
      </c>
      <c r="I234" s="1">
        <v>3</v>
      </c>
      <c r="J234" s="1">
        <v>2</v>
      </c>
      <c r="K234" s="1">
        <v>1</v>
      </c>
      <c r="L234" s="1">
        <v>2</v>
      </c>
      <c r="M234" s="33">
        <v>3</v>
      </c>
      <c r="N234" s="1">
        <v>4</v>
      </c>
      <c r="O234" s="1">
        <v>5</v>
      </c>
      <c r="P234" s="1">
        <v>6</v>
      </c>
      <c r="Q234" s="1">
        <v>7</v>
      </c>
      <c r="R234" s="1">
        <v>8</v>
      </c>
      <c r="S234" s="12">
        <v>9</v>
      </c>
      <c r="T234" s="12" t="s">
        <v>14</v>
      </c>
      <c r="V234" s="2" t="s">
        <v>12</v>
      </c>
      <c r="W234" s="3">
        <f>1/AE226</f>
        <v>7</v>
      </c>
      <c r="X234" s="3">
        <f>1/AE227</f>
        <v>5</v>
      </c>
      <c r="Y234" s="3">
        <f>1/AE228</f>
        <v>0.33333333333333331</v>
      </c>
      <c r="Z234" s="3">
        <f>1/AE229</f>
        <v>5</v>
      </c>
      <c r="AA234" s="3">
        <f>1/AE230</f>
        <v>9</v>
      </c>
      <c r="AB234" s="3">
        <f>1/AE231</f>
        <v>9</v>
      </c>
      <c r="AC234" s="3">
        <f>1/AE232</f>
        <v>0.14285714285714285</v>
      </c>
      <c r="AD234" s="3">
        <f>1/AE233</f>
        <v>1</v>
      </c>
      <c r="AE234" s="3">
        <v>1</v>
      </c>
      <c r="AF234" s="3">
        <f>1/5</f>
        <v>0.2</v>
      </c>
      <c r="AG234" s="3">
        <f>1/3</f>
        <v>0.33333333333333331</v>
      </c>
      <c r="AH234" s="3">
        <v>4</v>
      </c>
      <c r="AI234" s="3">
        <f>1/2</f>
        <v>0.5</v>
      </c>
      <c r="AJ234" s="3">
        <f>1/2</f>
        <v>0.5</v>
      </c>
      <c r="AK234" s="3">
        <v>3</v>
      </c>
    </row>
    <row r="235" spans="2:37" ht="15.4" x14ac:dyDescent="0.45">
      <c r="B235" s="17" t="s">
        <v>4</v>
      </c>
      <c r="C235" s="11">
        <v>9</v>
      </c>
      <c r="D235" s="1">
        <v>8</v>
      </c>
      <c r="E235" s="1">
        <v>7</v>
      </c>
      <c r="F235" s="1">
        <v>6</v>
      </c>
      <c r="G235" s="1">
        <v>5</v>
      </c>
      <c r="H235" s="1">
        <v>4</v>
      </c>
      <c r="I235" s="33">
        <v>3</v>
      </c>
      <c r="J235" s="1">
        <v>2</v>
      </c>
      <c r="K235" s="1">
        <v>1</v>
      </c>
      <c r="L235" s="1">
        <v>2</v>
      </c>
      <c r="M235" s="1">
        <v>3</v>
      </c>
      <c r="N235" s="1">
        <v>4</v>
      </c>
      <c r="O235" s="1">
        <v>5</v>
      </c>
      <c r="P235" s="1">
        <v>6</v>
      </c>
      <c r="Q235" s="1">
        <v>7</v>
      </c>
      <c r="R235" s="1">
        <v>8</v>
      </c>
      <c r="S235" s="12">
        <v>9</v>
      </c>
      <c r="T235" s="12" t="s">
        <v>15</v>
      </c>
      <c r="V235" s="2" t="s">
        <v>13</v>
      </c>
      <c r="W235" s="3">
        <f>1/AF226</f>
        <v>7</v>
      </c>
      <c r="X235" s="3">
        <f>1/AF227</f>
        <v>6</v>
      </c>
      <c r="Y235" s="3">
        <f>1/AF228</f>
        <v>1</v>
      </c>
      <c r="Z235" s="3">
        <f>1/AF229</f>
        <v>7</v>
      </c>
      <c r="AA235" s="3">
        <f>1/AF230</f>
        <v>9</v>
      </c>
      <c r="AB235" s="3">
        <f>1/AF231</f>
        <v>9</v>
      </c>
      <c r="AC235" s="3">
        <f>1/AF232</f>
        <v>0.5</v>
      </c>
      <c r="AD235" s="3">
        <f>1/AF233</f>
        <v>6</v>
      </c>
      <c r="AE235" s="3">
        <f>1/AF234</f>
        <v>5</v>
      </c>
      <c r="AF235" s="3">
        <v>1</v>
      </c>
      <c r="AG235" s="3">
        <v>5</v>
      </c>
      <c r="AH235" s="3">
        <v>7</v>
      </c>
      <c r="AI235" s="3">
        <v>3</v>
      </c>
      <c r="AJ235" s="3">
        <v>3</v>
      </c>
      <c r="AK235" s="3">
        <v>5</v>
      </c>
    </row>
    <row r="236" spans="2:37" ht="15.4" x14ac:dyDescent="0.45">
      <c r="B236" s="17" t="s">
        <v>4</v>
      </c>
      <c r="C236" s="11">
        <v>9</v>
      </c>
      <c r="D236" s="1">
        <v>8</v>
      </c>
      <c r="E236" s="1">
        <v>7</v>
      </c>
      <c r="F236" s="1">
        <v>6</v>
      </c>
      <c r="G236" s="1">
        <v>5</v>
      </c>
      <c r="H236" s="1">
        <v>4</v>
      </c>
      <c r="I236" s="1">
        <v>3</v>
      </c>
      <c r="J236" s="1">
        <v>2</v>
      </c>
      <c r="K236" s="1">
        <v>1</v>
      </c>
      <c r="L236" s="1">
        <v>2</v>
      </c>
      <c r="M236" s="1">
        <v>3</v>
      </c>
      <c r="N236" s="1">
        <v>4</v>
      </c>
      <c r="O236" s="1">
        <v>5</v>
      </c>
      <c r="P236" s="1">
        <v>6</v>
      </c>
      <c r="Q236" s="33">
        <v>7</v>
      </c>
      <c r="R236" s="1">
        <v>8</v>
      </c>
      <c r="S236" s="12">
        <v>9</v>
      </c>
      <c r="T236" s="12" t="s">
        <v>16</v>
      </c>
      <c r="V236" s="2" t="s">
        <v>14</v>
      </c>
      <c r="W236" s="3">
        <f>1/AG226</f>
        <v>3</v>
      </c>
      <c r="X236" s="3">
        <f>1/AG227</f>
        <v>4</v>
      </c>
      <c r="Y236" s="3">
        <f>1/AG228</f>
        <v>0.33333333333333331</v>
      </c>
      <c r="Z236" s="3">
        <f>1/AG229</f>
        <v>4</v>
      </c>
      <c r="AA236" s="3">
        <f>1/AG230</f>
        <v>9</v>
      </c>
      <c r="AB236" s="3">
        <f>1/AG231</f>
        <v>9</v>
      </c>
      <c r="AC236" s="3">
        <f>1/AG232</f>
        <v>0.2</v>
      </c>
      <c r="AD236" s="3">
        <f>1/AG233</f>
        <v>3</v>
      </c>
      <c r="AE236" s="3">
        <f>1/AG234</f>
        <v>3</v>
      </c>
      <c r="AF236" s="3">
        <f>1/AG235</f>
        <v>0.2</v>
      </c>
      <c r="AG236" s="3">
        <v>1</v>
      </c>
      <c r="AH236" s="3">
        <v>3</v>
      </c>
      <c r="AI236" s="3">
        <f>1/5</f>
        <v>0.2</v>
      </c>
      <c r="AJ236" s="3">
        <f>1/5</f>
        <v>0.2</v>
      </c>
      <c r="AK236" s="3">
        <v>5</v>
      </c>
    </row>
    <row r="237" spans="2:37" ht="15.4" x14ac:dyDescent="0.45">
      <c r="B237" s="17" t="s">
        <v>4</v>
      </c>
      <c r="C237" s="11">
        <v>9</v>
      </c>
      <c r="D237" s="1">
        <v>8</v>
      </c>
      <c r="E237" s="1">
        <v>7</v>
      </c>
      <c r="F237" s="1">
        <v>6</v>
      </c>
      <c r="G237" s="1">
        <v>5</v>
      </c>
      <c r="H237" s="1">
        <v>4</v>
      </c>
      <c r="I237" s="1">
        <v>3</v>
      </c>
      <c r="J237" s="1">
        <v>2</v>
      </c>
      <c r="K237" s="1">
        <v>1</v>
      </c>
      <c r="L237" s="1">
        <v>2</v>
      </c>
      <c r="M237" s="1">
        <v>3</v>
      </c>
      <c r="N237" s="1">
        <v>4</v>
      </c>
      <c r="O237" s="1">
        <v>5</v>
      </c>
      <c r="P237" s="1">
        <v>6</v>
      </c>
      <c r="Q237" s="33">
        <v>7</v>
      </c>
      <c r="R237" s="1">
        <v>8</v>
      </c>
      <c r="S237" s="12">
        <v>9</v>
      </c>
      <c r="T237" s="12" t="s">
        <v>17</v>
      </c>
      <c r="V237" s="2" t="s">
        <v>15</v>
      </c>
      <c r="W237" s="3">
        <f>1/AH226</f>
        <v>0.33333333333333331</v>
      </c>
      <c r="X237" s="3">
        <f>1/AH227</f>
        <v>0.16666666666666666</v>
      </c>
      <c r="Y237" s="3">
        <f>1/AH228</f>
        <v>0.16666666666666666</v>
      </c>
      <c r="Z237" s="3">
        <f>1/AH229</f>
        <v>0.33333333333333331</v>
      </c>
      <c r="AA237" s="3">
        <f>1/AH230</f>
        <v>9</v>
      </c>
      <c r="AB237" s="3">
        <f>1/AH231</f>
        <v>9</v>
      </c>
      <c r="AC237" s="3">
        <f>1/AH232</f>
        <v>0.14285714285714285</v>
      </c>
      <c r="AD237" s="3">
        <f>1/AH233</f>
        <v>0.5</v>
      </c>
      <c r="AE237" s="3">
        <f>1/AH234</f>
        <v>0.25</v>
      </c>
      <c r="AF237" s="3">
        <f>1/AH235</f>
        <v>0.14285714285714285</v>
      </c>
      <c r="AG237" s="3">
        <f>1/AH236</f>
        <v>0.33333333333333331</v>
      </c>
      <c r="AH237" s="3">
        <v>1</v>
      </c>
      <c r="AI237" s="3">
        <f>1/6</f>
        <v>0.16666666666666666</v>
      </c>
      <c r="AJ237" s="3">
        <f>1/6</f>
        <v>0.16666666666666666</v>
      </c>
      <c r="AK237" s="3">
        <v>2</v>
      </c>
    </row>
    <row r="238" spans="2:37" ht="15.4" x14ac:dyDescent="0.45">
      <c r="B238" s="13" t="s">
        <v>4</v>
      </c>
      <c r="C238" s="13">
        <v>9</v>
      </c>
      <c r="D238" s="14">
        <v>8</v>
      </c>
      <c r="E238" s="14">
        <v>7</v>
      </c>
      <c r="F238" s="14">
        <v>6</v>
      </c>
      <c r="G238" s="14">
        <v>5</v>
      </c>
      <c r="H238" s="14">
        <v>4</v>
      </c>
      <c r="I238" s="34">
        <v>3</v>
      </c>
      <c r="J238" s="14">
        <v>2</v>
      </c>
      <c r="K238" s="14">
        <v>1</v>
      </c>
      <c r="L238" s="14">
        <v>2</v>
      </c>
      <c r="M238" s="14">
        <v>3</v>
      </c>
      <c r="N238" s="14">
        <v>4</v>
      </c>
      <c r="O238" s="14">
        <v>5</v>
      </c>
      <c r="P238" s="14">
        <v>6</v>
      </c>
      <c r="Q238" s="14">
        <v>7</v>
      </c>
      <c r="R238" s="14">
        <v>8</v>
      </c>
      <c r="S238" s="15">
        <v>9</v>
      </c>
      <c r="T238" s="15" t="s">
        <v>18</v>
      </c>
      <c r="V238" s="2" t="s">
        <v>16</v>
      </c>
      <c r="W238" s="3">
        <f>1/AI226</f>
        <v>7</v>
      </c>
      <c r="X238" s="3">
        <f>1/AI227</f>
        <v>5</v>
      </c>
      <c r="Y238" s="3">
        <f>1/AI228</f>
        <v>2</v>
      </c>
      <c r="Z238" s="3">
        <f>1/AI229</f>
        <v>6</v>
      </c>
      <c r="AA238" s="3">
        <f>1/AI230</f>
        <v>9</v>
      </c>
      <c r="AB238" s="3">
        <f>1/AI231</f>
        <v>9</v>
      </c>
      <c r="AC238" s="3">
        <f>1/AI232</f>
        <v>0.33333333333333331</v>
      </c>
      <c r="AD238" s="3">
        <f>1/AI233</f>
        <v>5</v>
      </c>
      <c r="AE238" s="3">
        <f>1/AI234</f>
        <v>2</v>
      </c>
      <c r="AF238" s="3">
        <f>1/AI235</f>
        <v>0.33333333333333331</v>
      </c>
      <c r="AG238" s="3">
        <f>1/AI236</f>
        <v>5</v>
      </c>
      <c r="AH238" s="3">
        <f>1/AI237</f>
        <v>6</v>
      </c>
      <c r="AI238" s="3">
        <v>1</v>
      </c>
      <c r="AJ238" s="3">
        <v>1</v>
      </c>
      <c r="AK238" s="3">
        <v>7</v>
      </c>
    </row>
    <row r="239" spans="2:37" ht="15.4" x14ac:dyDescent="0.45">
      <c r="B239" s="16" t="s">
        <v>5</v>
      </c>
      <c r="C239" s="11">
        <v>9</v>
      </c>
      <c r="D239" s="1">
        <v>8</v>
      </c>
      <c r="E239" s="1">
        <v>7</v>
      </c>
      <c r="F239" s="1">
        <v>6</v>
      </c>
      <c r="G239" s="1">
        <v>5</v>
      </c>
      <c r="H239" s="1">
        <v>4</v>
      </c>
      <c r="I239" s="1">
        <v>3</v>
      </c>
      <c r="J239" s="1">
        <v>2</v>
      </c>
      <c r="K239" s="1">
        <v>1</v>
      </c>
      <c r="L239" s="1">
        <v>2</v>
      </c>
      <c r="M239" s="33">
        <v>3</v>
      </c>
      <c r="N239" s="1">
        <v>4</v>
      </c>
      <c r="O239" s="1">
        <v>5</v>
      </c>
      <c r="P239" s="1">
        <v>6</v>
      </c>
      <c r="Q239" s="1">
        <v>7</v>
      </c>
      <c r="R239" s="1">
        <v>8</v>
      </c>
      <c r="S239" s="12">
        <v>9</v>
      </c>
      <c r="T239" s="12" t="s">
        <v>6</v>
      </c>
      <c r="V239" s="2" t="s">
        <v>17</v>
      </c>
      <c r="W239" s="3">
        <f>1/AJ226</f>
        <v>7</v>
      </c>
      <c r="X239" s="3">
        <f>1/AJ227</f>
        <v>5</v>
      </c>
      <c r="Y239" s="3">
        <f>1/AJ228</f>
        <v>2</v>
      </c>
      <c r="Z239" s="3">
        <f>1/AJ229</f>
        <v>6</v>
      </c>
      <c r="AA239" s="3">
        <f>1/AJ230</f>
        <v>9</v>
      </c>
      <c r="AB239" s="3">
        <f>1/AJ231</f>
        <v>9</v>
      </c>
      <c r="AC239" s="3">
        <f>1/AJ232</f>
        <v>0.33333333333333331</v>
      </c>
      <c r="AD239" s="3">
        <f>1/AJ233</f>
        <v>5</v>
      </c>
      <c r="AE239" s="3">
        <f>1/AJ234</f>
        <v>2</v>
      </c>
      <c r="AF239" s="3">
        <f>1/AJ235</f>
        <v>0.33333333333333331</v>
      </c>
      <c r="AG239" s="3">
        <f>1/AJ236</f>
        <v>5</v>
      </c>
      <c r="AH239" s="3">
        <f>1/AJ237</f>
        <v>6</v>
      </c>
      <c r="AI239" s="3">
        <f>1/AJ238</f>
        <v>1</v>
      </c>
      <c r="AJ239" s="3">
        <v>1</v>
      </c>
      <c r="AK239" s="3">
        <v>7</v>
      </c>
    </row>
    <row r="240" spans="2:37" ht="15.4" x14ac:dyDescent="0.45">
      <c r="B240" s="17" t="s">
        <v>5</v>
      </c>
      <c r="C240" s="11">
        <v>9</v>
      </c>
      <c r="D240" s="1">
        <v>8</v>
      </c>
      <c r="E240" s="1">
        <v>7</v>
      </c>
      <c r="F240" s="33">
        <v>6</v>
      </c>
      <c r="G240" s="1">
        <v>5</v>
      </c>
      <c r="H240" s="1">
        <v>4</v>
      </c>
      <c r="I240" s="18">
        <v>3</v>
      </c>
      <c r="J240" s="1">
        <v>2</v>
      </c>
      <c r="K240" s="1">
        <v>1</v>
      </c>
      <c r="L240" s="1">
        <v>2</v>
      </c>
      <c r="M240" s="1">
        <v>3</v>
      </c>
      <c r="N240" s="1">
        <v>4</v>
      </c>
      <c r="O240" s="1">
        <v>5</v>
      </c>
      <c r="P240" s="1">
        <v>6</v>
      </c>
      <c r="Q240" s="1">
        <v>7</v>
      </c>
      <c r="R240" s="1">
        <v>8</v>
      </c>
      <c r="S240" s="12">
        <v>9</v>
      </c>
      <c r="T240" s="12" t="s">
        <v>7</v>
      </c>
      <c r="V240" s="2" t="s">
        <v>18</v>
      </c>
      <c r="W240" s="3">
        <f>1/AK226</f>
        <v>0.33333333333333331</v>
      </c>
      <c r="X240" s="3">
        <f>1/AK227</f>
        <v>0.2</v>
      </c>
      <c r="Y240" s="3">
        <f>1/AK228</f>
        <v>0.14285714285714285</v>
      </c>
      <c r="Z240" s="3" t="e">
        <f>1/AK229</f>
        <v>#DIV/0!</v>
      </c>
      <c r="AA240" s="3">
        <f>1/AK230</f>
        <v>9</v>
      </c>
      <c r="AB240" s="3">
        <f>1/AK231</f>
        <v>9</v>
      </c>
      <c r="AC240" s="3">
        <f>1/AK232</f>
        <v>0.125</v>
      </c>
      <c r="AD240" s="3">
        <f>1/AK233</f>
        <v>3</v>
      </c>
      <c r="AE240" s="3">
        <f>1/AK234</f>
        <v>0.33333333333333331</v>
      </c>
      <c r="AF240" s="3">
        <f>1/AK235</f>
        <v>0.2</v>
      </c>
      <c r="AG240" s="3">
        <f>1/AK236</f>
        <v>0.2</v>
      </c>
      <c r="AH240" s="3">
        <f>1/AK237</f>
        <v>0.5</v>
      </c>
      <c r="AI240" s="3">
        <f>1/AK238</f>
        <v>0.14285714285714285</v>
      </c>
      <c r="AJ240" s="3">
        <f>1/AK239</f>
        <v>0.14285714285714285</v>
      </c>
      <c r="AK240" s="3">
        <v>1</v>
      </c>
    </row>
    <row r="241" spans="2:20" ht="15.4" x14ac:dyDescent="0.45">
      <c r="B241" s="17" t="s">
        <v>5</v>
      </c>
      <c r="C241" s="38">
        <v>9</v>
      </c>
      <c r="D241" s="1">
        <v>8</v>
      </c>
      <c r="E241" s="1">
        <v>7</v>
      </c>
      <c r="F241" s="1">
        <v>6</v>
      </c>
      <c r="G241" s="1">
        <v>5</v>
      </c>
      <c r="H241" s="1">
        <v>4</v>
      </c>
      <c r="I241" s="1">
        <v>3</v>
      </c>
      <c r="J241" s="1">
        <v>2</v>
      </c>
      <c r="K241" s="1">
        <v>1</v>
      </c>
      <c r="L241" s="1">
        <v>2</v>
      </c>
      <c r="M241" s="1">
        <v>3</v>
      </c>
      <c r="N241" s="1">
        <v>4</v>
      </c>
      <c r="O241" s="1">
        <v>5</v>
      </c>
      <c r="P241" s="1">
        <v>6</v>
      </c>
      <c r="Q241" s="1">
        <v>7</v>
      </c>
      <c r="R241" s="1">
        <v>8</v>
      </c>
      <c r="S241" s="12">
        <v>9</v>
      </c>
      <c r="T241" s="12" t="s">
        <v>8</v>
      </c>
    </row>
    <row r="242" spans="2:20" ht="15.4" x14ac:dyDescent="0.45">
      <c r="B242" s="17" t="s">
        <v>5</v>
      </c>
      <c r="C242" s="38">
        <v>9</v>
      </c>
      <c r="D242" s="1">
        <v>8</v>
      </c>
      <c r="E242" s="1">
        <v>7</v>
      </c>
      <c r="F242" s="1">
        <v>6</v>
      </c>
      <c r="G242" s="1">
        <v>5</v>
      </c>
      <c r="H242" s="1">
        <v>4</v>
      </c>
      <c r="I242" s="1">
        <v>3</v>
      </c>
      <c r="J242" s="1">
        <v>2</v>
      </c>
      <c r="K242" s="1">
        <v>1</v>
      </c>
      <c r="L242" s="1">
        <v>2</v>
      </c>
      <c r="M242" s="1">
        <v>3</v>
      </c>
      <c r="N242" s="1">
        <v>4</v>
      </c>
      <c r="O242" s="1">
        <v>5</v>
      </c>
      <c r="P242" s="1">
        <v>6</v>
      </c>
      <c r="Q242" s="1">
        <v>7</v>
      </c>
      <c r="R242" s="1">
        <v>8</v>
      </c>
      <c r="S242" s="12">
        <v>9</v>
      </c>
      <c r="T242" s="12" t="s">
        <v>9</v>
      </c>
    </row>
    <row r="243" spans="2:20" ht="15.4" x14ac:dyDescent="0.45">
      <c r="B243" s="17" t="s">
        <v>5</v>
      </c>
      <c r="C243" s="11">
        <v>9</v>
      </c>
      <c r="D243" s="1">
        <v>8</v>
      </c>
      <c r="E243" s="1">
        <v>7</v>
      </c>
      <c r="F243" s="1">
        <v>6</v>
      </c>
      <c r="G243" s="1">
        <v>5</v>
      </c>
      <c r="H243" s="1">
        <v>4</v>
      </c>
      <c r="I243" s="1">
        <v>3</v>
      </c>
      <c r="J243" s="1">
        <v>2</v>
      </c>
      <c r="K243" s="1">
        <v>1</v>
      </c>
      <c r="L243" s="1">
        <v>2</v>
      </c>
      <c r="M243" s="1">
        <v>3</v>
      </c>
      <c r="N243" s="1">
        <v>4</v>
      </c>
      <c r="O243" s="1">
        <v>5</v>
      </c>
      <c r="P243" s="1">
        <v>6</v>
      </c>
      <c r="Q243" s="64">
        <v>7</v>
      </c>
      <c r="R243" s="33">
        <v>8</v>
      </c>
      <c r="S243" s="12">
        <v>9</v>
      </c>
      <c r="T243" s="12" t="s">
        <v>10</v>
      </c>
    </row>
    <row r="244" spans="2:20" ht="15.4" x14ac:dyDescent="0.45">
      <c r="B244" s="17" t="s">
        <v>5</v>
      </c>
      <c r="C244" s="11">
        <v>9</v>
      </c>
      <c r="D244" s="1">
        <v>8</v>
      </c>
      <c r="E244" s="1">
        <v>7</v>
      </c>
      <c r="F244" s="1">
        <v>6</v>
      </c>
      <c r="G244" s="1">
        <v>5</v>
      </c>
      <c r="H244" s="1">
        <v>4</v>
      </c>
      <c r="I244" s="1">
        <v>3</v>
      </c>
      <c r="J244" s="1">
        <v>2</v>
      </c>
      <c r="K244" s="1">
        <v>1</v>
      </c>
      <c r="L244" s="1">
        <v>2</v>
      </c>
      <c r="M244" s="1">
        <v>3</v>
      </c>
      <c r="N244" s="1">
        <v>4</v>
      </c>
      <c r="O244" s="33">
        <v>5</v>
      </c>
      <c r="P244" s="1">
        <v>6</v>
      </c>
      <c r="Q244" s="1">
        <v>7</v>
      </c>
      <c r="R244" s="1">
        <v>8</v>
      </c>
      <c r="S244" s="12">
        <v>9</v>
      </c>
      <c r="T244" s="12" t="s">
        <v>11</v>
      </c>
    </row>
    <row r="245" spans="2:20" ht="15.4" x14ac:dyDescent="0.45">
      <c r="B245" s="17" t="s">
        <v>5</v>
      </c>
      <c r="C245" s="11">
        <v>9</v>
      </c>
      <c r="D245" s="1">
        <v>8</v>
      </c>
      <c r="E245" s="1">
        <v>7</v>
      </c>
      <c r="F245" s="1">
        <v>6</v>
      </c>
      <c r="G245" s="1">
        <v>5</v>
      </c>
      <c r="H245" s="1">
        <v>4</v>
      </c>
      <c r="I245" s="1">
        <v>3</v>
      </c>
      <c r="J245" s="1">
        <v>2</v>
      </c>
      <c r="K245" s="1">
        <v>1</v>
      </c>
      <c r="L245" s="1">
        <v>2</v>
      </c>
      <c r="M245" s="1">
        <v>3</v>
      </c>
      <c r="N245" s="1">
        <v>4</v>
      </c>
      <c r="O245" s="33">
        <v>5</v>
      </c>
      <c r="P245" s="1">
        <v>6</v>
      </c>
      <c r="Q245" s="1">
        <v>7</v>
      </c>
      <c r="R245" s="1">
        <v>8</v>
      </c>
      <c r="S245" s="12">
        <v>9</v>
      </c>
      <c r="T245" s="12" t="s">
        <v>12</v>
      </c>
    </row>
    <row r="246" spans="2:20" ht="15.4" x14ac:dyDescent="0.45">
      <c r="B246" s="17" t="s">
        <v>5</v>
      </c>
      <c r="C246" s="11">
        <v>9</v>
      </c>
      <c r="D246" s="1">
        <v>8</v>
      </c>
      <c r="E246" s="1">
        <v>7</v>
      </c>
      <c r="F246" s="1">
        <v>6</v>
      </c>
      <c r="G246" s="1">
        <v>5</v>
      </c>
      <c r="H246" s="1">
        <v>4</v>
      </c>
      <c r="I246" s="1">
        <v>3</v>
      </c>
      <c r="J246" s="1">
        <v>2</v>
      </c>
      <c r="K246" s="1">
        <v>1</v>
      </c>
      <c r="L246" s="1">
        <v>2</v>
      </c>
      <c r="M246" s="1">
        <v>3</v>
      </c>
      <c r="N246" s="1">
        <v>4</v>
      </c>
      <c r="O246" s="1">
        <v>5</v>
      </c>
      <c r="P246" s="33">
        <v>6</v>
      </c>
      <c r="Q246" s="1">
        <v>7</v>
      </c>
      <c r="R246" s="1">
        <v>8</v>
      </c>
      <c r="S246" s="12">
        <v>9</v>
      </c>
      <c r="T246" s="12" t="s">
        <v>13</v>
      </c>
    </row>
    <row r="247" spans="2:20" ht="15.4" x14ac:dyDescent="0.45">
      <c r="B247" s="17" t="s">
        <v>5</v>
      </c>
      <c r="C247" s="11">
        <v>9</v>
      </c>
      <c r="D247" s="1">
        <v>8</v>
      </c>
      <c r="E247" s="1">
        <v>7</v>
      </c>
      <c r="F247" s="1">
        <v>6</v>
      </c>
      <c r="G247" s="1">
        <v>5</v>
      </c>
      <c r="H247" s="1">
        <v>4</v>
      </c>
      <c r="I247" s="1">
        <v>3</v>
      </c>
      <c r="J247" s="1">
        <v>2</v>
      </c>
      <c r="K247" s="1">
        <v>1</v>
      </c>
      <c r="L247" s="1">
        <v>2</v>
      </c>
      <c r="M247" s="1">
        <v>3</v>
      </c>
      <c r="N247" s="33">
        <v>4</v>
      </c>
      <c r="O247" s="1">
        <v>5</v>
      </c>
      <c r="P247" s="1">
        <v>6</v>
      </c>
      <c r="Q247" s="1">
        <v>7</v>
      </c>
      <c r="R247" s="1">
        <v>8</v>
      </c>
      <c r="S247" s="12">
        <v>9</v>
      </c>
      <c r="T247" s="12" t="s">
        <v>14</v>
      </c>
    </row>
    <row r="248" spans="2:20" ht="15.4" x14ac:dyDescent="0.45">
      <c r="B248" s="17" t="s">
        <v>5</v>
      </c>
      <c r="C248" s="11">
        <v>9</v>
      </c>
      <c r="D248" s="1">
        <v>8</v>
      </c>
      <c r="E248" s="1">
        <v>7</v>
      </c>
      <c r="F248" s="33">
        <v>6</v>
      </c>
      <c r="G248" s="1">
        <v>5</v>
      </c>
      <c r="H248" s="1">
        <v>4</v>
      </c>
      <c r="I248" s="1">
        <v>3</v>
      </c>
      <c r="J248" s="1">
        <v>2</v>
      </c>
      <c r="K248" s="1">
        <v>1</v>
      </c>
      <c r="L248" s="1">
        <v>2</v>
      </c>
      <c r="M248" s="1">
        <v>3</v>
      </c>
      <c r="N248" s="1">
        <v>4</v>
      </c>
      <c r="O248" s="1">
        <v>5</v>
      </c>
      <c r="P248" s="1">
        <v>6</v>
      </c>
      <c r="Q248" s="1">
        <v>7</v>
      </c>
      <c r="R248" s="1">
        <v>8</v>
      </c>
      <c r="S248" s="12">
        <v>9</v>
      </c>
      <c r="T248" s="12" t="s">
        <v>15</v>
      </c>
    </row>
    <row r="249" spans="2:20" ht="15.4" x14ac:dyDescent="0.45">
      <c r="B249" s="17" t="s">
        <v>5</v>
      </c>
      <c r="C249" s="11">
        <v>9</v>
      </c>
      <c r="D249" s="1">
        <v>8</v>
      </c>
      <c r="E249" s="1">
        <v>7</v>
      </c>
      <c r="F249" s="1">
        <v>6</v>
      </c>
      <c r="G249" s="1">
        <v>5</v>
      </c>
      <c r="H249" s="1">
        <v>4</v>
      </c>
      <c r="I249" s="1">
        <v>3</v>
      </c>
      <c r="J249" s="1">
        <v>2</v>
      </c>
      <c r="K249" s="1">
        <v>1</v>
      </c>
      <c r="L249" s="1">
        <v>2</v>
      </c>
      <c r="M249" s="1">
        <v>3</v>
      </c>
      <c r="N249" s="1">
        <v>4</v>
      </c>
      <c r="O249" s="33">
        <v>5</v>
      </c>
      <c r="P249" s="1">
        <v>6</v>
      </c>
      <c r="Q249" s="1">
        <v>7</v>
      </c>
      <c r="R249" s="1">
        <v>8</v>
      </c>
      <c r="S249" s="12">
        <v>9</v>
      </c>
      <c r="T249" s="12" t="s">
        <v>16</v>
      </c>
    </row>
    <row r="250" spans="2:20" ht="15.4" x14ac:dyDescent="0.45">
      <c r="B250" s="17" t="s">
        <v>5</v>
      </c>
      <c r="C250" s="11">
        <v>9</v>
      </c>
      <c r="D250" s="1">
        <v>8</v>
      </c>
      <c r="E250" s="1">
        <v>7</v>
      </c>
      <c r="F250" s="1">
        <v>6</v>
      </c>
      <c r="G250" s="1">
        <v>5</v>
      </c>
      <c r="H250" s="1">
        <v>4</v>
      </c>
      <c r="I250" s="1">
        <v>3</v>
      </c>
      <c r="J250" s="1">
        <v>2</v>
      </c>
      <c r="K250" s="1">
        <v>1</v>
      </c>
      <c r="L250" s="1">
        <v>2</v>
      </c>
      <c r="M250" s="1">
        <v>3</v>
      </c>
      <c r="N250" s="1">
        <v>4</v>
      </c>
      <c r="O250" s="33">
        <v>5</v>
      </c>
      <c r="P250" s="1">
        <v>6</v>
      </c>
      <c r="Q250" s="1">
        <v>7</v>
      </c>
      <c r="R250" s="1">
        <v>8</v>
      </c>
      <c r="S250" s="12">
        <v>9</v>
      </c>
      <c r="T250" s="12" t="s">
        <v>17</v>
      </c>
    </row>
    <row r="251" spans="2:20" ht="15.4" x14ac:dyDescent="0.45">
      <c r="B251" s="19" t="s">
        <v>5</v>
      </c>
      <c r="C251" s="13">
        <v>9</v>
      </c>
      <c r="D251" s="14">
        <v>8</v>
      </c>
      <c r="E251" s="14">
        <v>7</v>
      </c>
      <c r="F251" s="14">
        <v>6</v>
      </c>
      <c r="G251" s="34">
        <v>5</v>
      </c>
      <c r="H251" s="14">
        <v>4</v>
      </c>
      <c r="I251" s="14">
        <v>3</v>
      </c>
      <c r="J251" s="14">
        <v>2</v>
      </c>
      <c r="K251" s="14">
        <v>1</v>
      </c>
      <c r="L251" s="14">
        <v>2</v>
      </c>
      <c r="M251" s="14">
        <v>3</v>
      </c>
      <c r="N251" s="14">
        <v>4</v>
      </c>
      <c r="O251" s="14">
        <v>5</v>
      </c>
      <c r="P251" s="14">
        <v>6</v>
      </c>
      <c r="Q251" s="14">
        <v>7</v>
      </c>
      <c r="R251" s="14">
        <v>8</v>
      </c>
      <c r="S251" s="15">
        <v>9</v>
      </c>
      <c r="T251" s="15" t="s">
        <v>18</v>
      </c>
    </row>
    <row r="252" spans="2:20" ht="15.4" x14ac:dyDescent="0.45">
      <c r="B252" s="16" t="s">
        <v>6</v>
      </c>
      <c r="C252" s="11">
        <v>9</v>
      </c>
      <c r="D252" s="1">
        <v>8</v>
      </c>
      <c r="E252" s="1">
        <v>7</v>
      </c>
      <c r="F252" s="1">
        <v>6</v>
      </c>
      <c r="G252" s="33">
        <v>5</v>
      </c>
      <c r="H252" s="1">
        <v>4</v>
      </c>
      <c r="I252" s="18">
        <v>3</v>
      </c>
      <c r="J252" s="1">
        <v>2</v>
      </c>
      <c r="K252" s="1">
        <v>1</v>
      </c>
      <c r="L252" s="1">
        <v>2</v>
      </c>
      <c r="M252" s="1">
        <v>3</v>
      </c>
      <c r="N252" s="1">
        <v>4</v>
      </c>
      <c r="O252" s="1">
        <v>5</v>
      </c>
      <c r="P252" s="1">
        <v>6</v>
      </c>
      <c r="Q252" s="1">
        <v>7</v>
      </c>
      <c r="R252" s="1">
        <v>8</v>
      </c>
      <c r="S252" s="12">
        <v>9</v>
      </c>
      <c r="T252" s="12" t="s">
        <v>7</v>
      </c>
    </row>
    <row r="253" spans="2:20" ht="15.4" x14ac:dyDescent="0.45">
      <c r="B253" s="17" t="s">
        <v>6</v>
      </c>
      <c r="C253" s="38">
        <v>9</v>
      </c>
      <c r="D253" s="1">
        <v>8</v>
      </c>
      <c r="E253" s="1">
        <v>7</v>
      </c>
      <c r="F253" s="1">
        <v>6</v>
      </c>
      <c r="G253" s="1">
        <v>5</v>
      </c>
      <c r="H253" s="1">
        <v>4</v>
      </c>
      <c r="I253" s="1">
        <v>3</v>
      </c>
      <c r="J253" s="1">
        <v>2</v>
      </c>
      <c r="K253" s="1">
        <v>1</v>
      </c>
      <c r="L253" s="1">
        <v>2</v>
      </c>
      <c r="M253" s="1">
        <v>3</v>
      </c>
      <c r="N253" s="1">
        <v>4</v>
      </c>
      <c r="O253" s="1">
        <v>5</v>
      </c>
      <c r="P253" s="1">
        <v>6</v>
      </c>
      <c r="Q253" s="1">
        <v>7</v>
      </c>
      <c r="R253" s="1">
        <v>8</v>
      </c>
      <c r="S253" s="12">
        <v>9</v>
      </c>
      <c r="T253" s="12" t="s">
        <v>8</v>
      </c>
    </row>
    <row r="254" spans="2:20" ht="15.4" x14ac:dyDescent="0.45">
      <c r="B254" s="17" t="s">
        <v>6</v>
      </c>
      <c r="C254" s="38">
        <v>9</v>
      </c>
      <c r="D254" s="1">
        <v>8</v>
      </c>
      <c r="E254" s="1">
        <v>7</v>
      </c>
      <c r="F254" s="1">
        <v>6</v>
      </c>
      <c r="G254" s="1">
        <v>5</v>
      </c>
      <c r="H254" s="1">
        <v>4</v>
      </c>
      <c r="I254" s="1">
        <v>3</v>
      </c>
      <c r="J254" s="1">
        <v>2</v>
      </c>
      <c r="K254" s="1">
        <v>1</v>
      </c>
      <c r="L254" s="1">
        <v>2</v>
      </c>
      <c r="M254" s="1">
        <v>3</v>
      </c>
      <c r="N254" s="1">
        <v>4</v>
      </c>
      <c r="O254" s="1">
        <v>5</v>
      </c>
      <c r="P254" s="1">
        <v>6</v>
      </c>
      <c r="Q254" s="1">
        <v>7</v>
      </c>
      <c r="R254" s="1">
        <v>8</v>
      </c>
      <c r="S254" s="12">
        <v>9</v>
      </c>
      <c r="T254" s="12" t="s">
        <v>9</v>
      </c>
    </row>
    <row r="255" spans="2:20" ht="15.4" x14ac:dyDescent="0.45">
      <c r="B255" s="17" t="s">
        <v>6</v>
      </c>
      <c r="C255" s="11">
        <v>9</v>
      </c>
      <c r="D255" s="1">
        <v>8</v>
      </c>
      <c r="E255" s="1">
        <v>7</v>
      </c>
      <c r="F255" s="1">
        <v>6</v>
      </c>
      <c r="G255" s="1">
        <v>5</v>
      </c>
      <c r="H255" s="1">
        <v>4</v>
      </c>
      <c r="I255" s="1">
        <v>3</v>
      </c>
      <c r="J255" s="1">
        <v>2</v>
      </c>
      <c r="K255" s="1">
        <v>1</v>
      </c>
      <c r="L255" s="1">
        <v>2</v>
      </c>
      <c r="M255" s="33">
        <v>3</v>
      </c>
      <c r="N255" s="1">
        <v>4</v>
      </c>
      <c r="O255" s="1">
        <v>5</v>
      </c>
      <c r="P255" s="1">
        <v>6</v>
      </c>
      <c r="Q255" s="1">
        <v>7</v>
      </c>
      <c r="R255" s="1">
        <v>8</v>
      </c>
      <c r="S255" s="12">
        <v>9</v>
      </c>
      <c r="T255" s="12" t="s">
        <v>10</v>
      </c>
    </row>
    <row r="256" spans="2:20" ht="15.4" x14ac:dyDescent="0.45">
      <c r="B256" s="17" t="s">
        <v>6</v>
      </c>
      <c r="C256" s="11">
        <v>9</v>
      </c>
      <c r="D256" s="1">
        <v>8</v>
      </c>
      <c r="E256" s="1">
        <v>7</v>
      </c>
      <c r="F256" s="1">
        <v>6</v>
      </c>
      <c r="G256" s="1">
        <v>5</v>
      </c>
      <c r="H256" s="1">
        <v>4</v>
      </c>
      <c r="I256" s="33">
        <v>3</v>
      </c>
      <c r="J256" s="1">
        <v>2</v>
      </c>
      <c r="K256" s="1">
        <v>1</v>
      </c>
      <c r="L256" s="1">
        <v>2</v>
      </c>
      <c r="M256" s="1">
        <v>3</v>
      </c>
      <c r="N256" s="1">
        <v>4</v>
      </c>
      <c r="O256" s="1">
        <v>5</v>
      </c>
      <c r="P256" s="1">
        <v>6</v>
      </c>
      <c r="Q256" s="1">
        <v>7</v>
      </c>
      <c r="R256" s="1">
        <v>8</v>
      </c>
      <c r="S256" s="12">
        <v>9</v>
      </c>
      <c r="T256" s="12" t="s">
        <v>11</v>
      </c>
    </row>
    <row r="257" spans="2:20" ht="15.4" x14ac:dyDescent="0.45">
      <c r="B257" s="17" t="s">
        <v>6</v>
      </c>
      <c r="C257" s="11">
        <v>9</v>
      </c>
      <c r="D257" s="1">
        <v>8</v>
      </c>
      <c r="E257" s="1">
        <v>7</v>
      </c>
      <c r="F257" s="1">
        <v>6</v>
      </c>
      <c r="G257" s="1">
        <v>5</v>
      </c>
      <c r="H257" s="1">
        <v>4</v>
      </c>
      <c r="I257" s="33">
        <v>3</v>
      </c>
      <c r="J257" s="1">
        <v>2</v>
      </c>
      <c r="K257" s="1">
        <v>1</v>
      </c>
      <c r="L257" s="1">
        <v>2</v>
      </c>
      <c r="M257" s="1">
        <v>3</v>
      </c>
      <c r="N257" s="1">
        <v>4</v>
      </c>
      <c r="O257" s="1">
        <v>5</v>
      </c>
      <c r="P257" s="1">
        <v>6</v>
      </c>
      <c r="Q257" s="1">
        <v>7</v>
      </c>
      <c r="R257" s="1">
        <v>8</v>
      </c>
      <c r="S257" s="12">
        <v>9</v>
      </c>
      <c r="T257" s="12" t="s">
        <v>12</v>
      </c>
    </row>
    <row r="258" spans="2:20" ht="15.4" x14ac:dyDescent="0.45">
      <c r="B258" s="17" t="s">
        <v>6</v>
      </c>
      <c r="C258" s="11">
        <v>9</v>
      </c>
      <c r="D258" s="1">
        <v>8</v>
      </c>
      <c r="E258" s="1">
        <v>7</v>
      </c>
      <c r="F258" s="1">
        <v>6</v>
      </c>
      <c r="G258" s="1">
        <v>5</v>
      </c>
      <c r="H258" s="1">
        <v>4</v>
      </c>
      <c r="I258" s="1">
        <v>3</v>
      </c>
      <c r="J258" s="1">
        <v>2</v>
      </c>
      <c r="K258" s="33">
        <v>1</v>
      </c>
      <c r="L258" s="1">
        <v>2</v>
      </c>
      <c r="M258" s="1">
        <v>3</v>
      </c>
      <c r="N258" s="1">
        <v>4</v>
      </c>
      <c r="O258" s="1">
        <v>5</v>
      </c>
      <c r="P258" s="1">
        <v>6</v>
      </c>
      <c r="Q258" s="1">
        <v>7</v>
      </c>
      <c r="R258" s="1">
        <v>8</v>
      </c>
      <c r="S258" s="12">
        <v>9</v>
      </c>
      <c r="T258" s="12" t="s">
        <v>13</v>
      </c>
    </row>
    <row r="259" spans="2:20" ht="15.4" x14ac:dyDescent="0.45">
      <c r="B259" s="17" t="s">
        <v>6</v>
      </c>
      <c r="C259" s="11">
        <v>9</v>
      </c>
      <c r="D259" s="1">
        <v>8</v>
      </c>
      <c r="E259" s="1">
        <v>7</v>
      </c>
      <c r="F259" s="1">
        <v>6</v>
      </c>
      <c r="G259" s="1">
        <v>5</v>
      </c>
      <c r="H259" s="1">
        <v>4</v>
      </c>
      <c r="I259" s="33">
        <v>3</v>
      </c>
      <c r="J259" s="1">
        <v>2</v>
      </c>
      <c r="K259" s="1">
        <v>1</v>
      </c>
      <c r="L259" s="1">
        <v>2</v>
      </c>
      <c r="M259" s="1">
        <v>3</v>
      </c>
      <c r="N259" s="1">
        <v>4</v>
      </c>
      <c r="O259" s="1">
        <v>5</v>
      </c>
      <c r="P259" s="1">
        <v>6</v>
      </c>
      <c r="Q259" s="1">
        <v>7</v>
      </c>
      <c r="R259" s="1">
        <v>8</v>
      </c>
      <c r="S259" s="12">
        <v>9</v>
      </c>
      <c r="T259" s="12" t="s">
        <v>14</v>
      </c>
    </row>
    <row r="260" spans="2:20" ht="15.4" x14ac:dyDescent="0.45">
      <c r="B260" s="17" t="s">
        <v>6</v>
      </c>
      <c r="C260" s="11">
        <v>9</v>
      </c>
      <c r="D260" s="1">
        <v>8</v>
      </c>
      <c r="E260" s="1">
        <v>7</v>
      </c>
      <c r="F260" s="33">
        <v>6</v>
      </c>
      <c r="G260" s="1">
        <v>5</v>
      </c>
      <c r="H260" s="1">
        <v>4</v>
      </c>
      <c r="I260" s="1">
        <v>3</v>
      </c>
      <c r="J260" s="1">
        <v>2</v>
      </c>
      <c r="K260" s="1">
        <v>1</v>
      </c>
      <c r="L260" s="1">
        <v>2</v>
      </c>
      <c r="M260" s="1">
        <v>3</v>
      </c>
      <c r="N260" s="1">
        <v>4</v>
      </c>
      <c r="O260" s="1">
        <v>5</v>
      </c>
      <c r="P260" s="1">
        <v>6</v>
      </c>
      <c r="Q260" s="1">
        <v>7</v>
      </c>
      <c r="R260" s="1">
        <v>8</v>
      </c>
      <c r="S260" s="12">
        <v>9</v>
      </c>
      <c r="T260" s="12" t="s">
        <v>15</v>
      </c>
    </row>
    <row r="261" spans="2:20" ht="15.4" x14ac:dyDescent="0.45">
      <c r="B261" s="17" t="s">
        <v>6</v>
      </c>
      <c r="C261" s="11">
        <v>9</v>
      </c>
      <c r="D261" s="1">
        <v>8</v>
      </c>
      <c r="E261" s="1">
        <v>7</v>
      </c>
      <c r="F261" s="1">
        <v>6</v>
      </c>
      <c r="G261" s="1">
        <v>5</v>
      </c>
      <c r="H261" s="1">
        <v>4</v>
      </c>
      <c r="I261" s="1">
        <v>3</v>
      </c>
      <c r="J261" s="1">
        <v>2</v>
      </c>
      <c r="K261" s="1">
        <v>1</v>
      </c>
      <c r="L261" s="33">
        <v>2</v>
      </c>
      <c r="M261" s="1">
        <v>3</v>
      </c>
      <c r="N261" s="1">
        <v>4</v>
      </c>
      <c r="O261" s="1">
        <v>5</v>
      </c>
      <c r="P261" s="1">
        <v>6</v>
      </c>
      <c r="Q261" s="1">
        <v>7</v>
      </c>
      <c r="R261" s="1">
        <v>8</v>
      </c>
      <c r="S261" s="12">
        <v>9</v>
      </c>
      <c r="T261" s="12" t="s">
        <v>16</v>
      </c>
    </row>
    <row r="262" spans="2:20" ht="15.4" x14ac:dyDescent="0.45">
      <c r="B262" s="17" t="s">
        <v>6</v>
      </c>
      <c r="C262" s="11">
        <v>9</v>
      </c>
      <c r="D262" s="1">
        <v>8</v>
      </c>
      <c r="E262" s="1">
        <v>7</v>
      </c>
      <c r="F262" s="1">
        <v>6</v>
      </c>
      <c r="G262" s="1">
        <v>5</v>
      </c>
      <c r="H262" s="1">
        <v>4</v>
      </c>
      <c r="I262" s="1">
        <v>3</v>
      </c>
      <c r="J262" s="1">
        <v>2</v>
      </c>
      <c r="K262" s="1">
        <v>1</v>
      </c>
      <c r="L262" s="33">
        <v>2</v>
      </c>
      <c r="M262" s="1">
        <v>3</v>
      </c>
      <c r="N262" s="1">
        <v>4</v>
      </c>
      <c r="O262" s="1">
        <v>5</v>
      </c>
      <c r="P262" s="1">
        <v>6</v>
      </c>
      <c r="Q262" s="1">
        <v>7</v>
      </c>
      <c r="R262" s="1">
        <v>8</v>
      </c>
      <c r="S262" s="12">
        <v>9</v>
      </c>
      <c r="T262" s="12" t="s">
        <v>17</v>
      </c>
    </row>
    <row r="263" spans="2:20" ht="15.4" x14ac:dyDescent="0.45">
      <c r="B263" s="17" t="s">
        <v>6</v>
      </c>
      <c r="C263" s="13">
        <v>9</v>
      </c>
      <c r="D263" s="14">
        <v>8</v>
      </c>
      <c r="E263" s="34">
        <v>7</v>
      </c>
      <c r="F263" s="14">
        <v>6</v>
      </c>
      <c r="G263" s="14">
        <v>5</v>
      </c>
      <c r="H263" s="14">
        <v>4</v>
      </c>
      <c r="I263" s="14">
        <v>3</v>
      </c>
      <c r="J263" s="14">
        <v>2</v>
      </c>
      <c r="K263" s="14">
        <v>1</v>
      </c>
      <c r="L263" s="14">
        <v>2</v>
      </c>
      <c r="M263" s="14">
        <v>3</v>
      </c>
      <c r="N263" s="14">
        <v>4</v>
      </c>
      <c r="O263" s="14">
        <v>5</v>
      </c>
      <c r="P263" s="14">
        <v>6</v>
      </c>
      <c r="Q263" s="14">
        <v>7</v>
      </c>
      <c r="R263" s="14">
        <v>8</v>
      </c>
      <c r="S263" s="15">
        <v>9</v>
      </c>
      <c r="T263" s="15" t="s">
        <v>18</v>
      </c>
    </row>
    <row r="264" spans="2:20" ht="15.4" x14ac:dyDescent="0.45">
      <c r="B264" s="16" t="s">
        <v>7</v>
      </c>
      <c r="C264" s="38">
        <v>9</v>
      </c>
      <c r="D264" s="1">
        <v>8</v>
      </c>
      <c r="E264" s="1">
        <v>7</v>
      </c>
      <c r="F264" s="1">
        <v>6</v>
      </c>
      <c r="G264" s="1">
        <v>5</v>
      </c>
      <c r="H264" s="1">
        <v>4</v>
      </c>
      <c r="I264" s="1">
        <v>3</v>
      </c>
      <c r="J264" s="1">
        <v>2</v>
      </c>
      <c r="K264" s="1">
        <v>1</v>
      </c>
      <c r="L264" s="1">
        <v>2</v>
      </c>
      <c r="M264" s="1">
        <v>3</v>
      </c>
      <c r="N264" s="1">
        <v>4</v>
      </c>
      <c r="O264" s="1">
        <v>5</v>
      </c>
      <c r="P264" s="1">
        <v>6</v>
      </c>
      <c r="Q264" s="1">
        <v>7</v>
      </c>
      <c r="R264" s="1">
        <v>8</v>
      </c>
      <c r="S264" s="12">
        <v>9</v>
      </c>
      <c r="T264" s="12" t="s">
        <v>8</v>
      </c>
    </row>
    <row r="265" spans="2:20" ht="15.4" x14ac:dyDescent="0.45">
      <c r="B265" s="17" t="s">
        <v>7</v>
      </c>
      <c r="C265" s="38">
        <v>9</v>
      </c>
      <c r="D265" s="1">
        <v>8</v>
      </c>
      <c r="E265" s="1">
        <v>7</v>
      </c>
      <c r="F265" s="1">
        <v>6</v>
      </c>
      <c r="G265" s="1">
        <v>5</v>
      </c>
      <c r="H265" s="1">
        <v>4</v>
      </c>
      <c r="I265" s="1">
        <v>3</v>
      </c>
      <c r="J265" s="1">
        <v>2</v>
      </c>
      <c r="K265" s="1">
        <v>1</v>
      </c>
      <c r="L265" s="1">
        <v>2</v>
      </c>
      <c r="M265" s="1">
        <v>3</v>
      </c>
      <c r="N265" s="1">
        <v>4</v>
      </c>
      <c r="O265" s="1">
        <v>5</v>
      </c>
      <c r="P265" s="1">
        <v>6</v>
      </c>
      <c r="Q265" s="1">
        <v>7</v>
      </c>
      <c r="R265" s="1">
        <v>8</v>
      </c>
      <c r="S265" s="12">
        <v>9</v>
      </c>
      <c r="T265" s="12" t="s">
        <v>9</v>
      </c>
    </row>
    <row r="266" spans="2:20" ht="15.4" x14ac:dyDescent="0.45">
      <c r="B266" s="17" t="s">
        <v>7</v>
      </c>
      <c r="C266" s="11">
        <v>9</v>
      </c>
      <c r="D266" s="1">
        <v>8</v>
      </c>
      <c r="E266" s="1">
        <v>7</v>
      </c>
      <c r="F266" s="1">
        <v>6</v>
      </c>
      <c r="G266" s="1">
        <v>5</v>
      </c>
      <c r="H266" s="1">
        <v>4</v>
      </c>
      <c r="I266" s="1">
        <v>3</v>
      </c>
      <c r="J266" s="1">
        <v>2</v>
      </c>
      <c r="K266" s="1">
        <v>1</v>
      </c>
      <c r="L266" s="1">
        <v>2</v>
      </c>
      <c r="M266" s="1">
        <v>3</v>
      </c>
      <c r="N266" s="1">
        <v>4</v>
      </c>
      <c r="O266" s="1">
        <v>5</v>
      </c>
      <c r="P266" s="1">
        <v>6</v>
      </c>
      <c r="Q266" s="1">
        <v>7</v>
      </c>
      <c r="R266" s="33">
        <v>8</v>
      </c>
      <c r="S266" s="12">
        <v>9</v>
      </c>
      <c r="T266" s="12" t="s">
        <v>10</v>
      </c>
    </row>
    <row r="267" spans="2:20" ht="15.4" x14ac:dyDescent="0.45">
      <c r="B267" s="17" t="s">
        <v>7</v>
      </c>
      <c r="C267" s="11">
        <v>9</v>
      </c>
      <c r="D267" s="1">
        <v>8</v>
      </c>
      <c r="E267" s="1">
        <v>7</v>
      </c>
      <c r="F267" s="1">
        <v>6</v>
      </c>
      <c r="G267" s="1">
        <v>5</v>
      </c>
      <c r="H267" s="1">
        <v>4</v>
      </c>
      <c r="I267" s="1">
        <v>3</v>
      </c>
      <c r="J267" s="1">
        <v>2</v>
      </c>
      <c r="K267" s="1">
        <v>1</v>
      </c>
      <c r="L267" s="1">
        <v>2</v>
      </c>
      <c r="M267" s="1">
        <v>3</v>
      </c>
      <c r="N267" s="1">
        <v>4</v>
      </c>
      <c r="O267" s="33">
        <v>5</v>
      </c>
      <c r="P267" s="1">
        <v>6</v>
      </c>
      <c r="Q267" s="1">
        <v>7</v>
      </c>
      <c r="R267" s="1">
        <v>8</v>
      </c>
      <c r="S267" s="12">
        <v>9</v>
      </c>
      <c r="T267" s="12" t="s">
        <v>11</v>
      </c>
    </row>
    <row r="268" spans="2:20" ht="15.4" x14ac:dyDescent="0.45">
      <c r="B268" s="17" t="s">
        <v>7</v>
      </c>
      <c r="C268" s="11">
        <v>9</v>
      </c>
      <c r="D268" s="1">
        <v>8</v>
      </c>
      <c r="E268" s="1">
        <v>7</v>
      </c>
      <c r="F268" s="1">
        <v>6</v>
      </c>
      <c r="G268" s="1">
        <v>5</v>
      </c>
      <c r="H268" s="1">
        <v>4</v>
      </c>
      <c r="I268" s="1">
        <v>3</v>
      </c>
      <c r="J268" s="1">
        <v>2</v>
      </c>
      <c r="K268" s="1">
        <v>1</v>
      </c>
      <c r="L268" s="1">
        <v>2</v>
      </c>
      <c r="M268" s="1">
        <v>3</v>
      </c>
      <c r="N268" s="1">
        <v>4</v>
      </c>
      <c r="O268" s="33">
        <v>5</v>
      </c>
      <c r="P268" s="1">
        <v>6</v>
      </c>
      <c r="Q268" s="1">
        <v>7</v>
      </c>
      <c r="R268" s="1">
        <v>8</v>
      </c>
      <c r="S268" s="12">
        <v>9</v>
      </c>
      <c r="T268" s="12" t="s">
        <v>12</v>
      </c>
    </row>
    <row r="269" spans="2:20" ht="15.4" x14ac:dyDescent="0.45">
      <c r="B269" s="17" t="s">
        <v>7</v>
      </c>
      <c r="C269" s="11">
        <v>9</v>
      </c>
      <c r="D269" s="1">
        <v>8</v>
      </c>
      <c r="E269" s="1">
        <v>7</v>
      </c>
      <c r="F269" s="1">
        <v>6</v>
      </c>
      <c r="G269" s="1">
        <v>5</v>
      </c>
      <c r="H269" s="1">
        <v>4</v>
      </c>
      <c r="I269" s="1">
        <v>3</v>
      </c>
      <c r="J269" s="1">
        <v>2</v>
      </c>
      <c r="K269" s="1">
        <v>1</v>
      </c>
      <c r="L269" s="1">
        <v>2</v>
      </c>
      <c r="M269" s="1">
        <v>3</v>
      </c>
      <c r="N269" s="1">
        <v>4</v>
      </c>
      <c r="O269" s="1">
        <v>5</v>
      </c>
      <c r="P269" s="1">
        <v>6</v>
      </c>
      <c r="Q269" s="33">
        <v>7</v>
      </c>
      <c r="R269" s="1">
        <v>8</v>
      </c>
      <c r="S269" s="12">
        <v>9</v>
      </c>
      <c r="T269" s="12" t="s">
        <v>13</v>
      </c>
    </row>
    <row r="270" spans="2:20" ht="15.4" x14ac:dyDescent="0.45">
      <c r="B270" s="17" t="s">
        <v>7</v>
      </c>
      <c r="C270" s="11">
        <v>9</v>
      </c>
      <c r="D270" s="1">
        <v>8</v>
      </c>
      <c r="E270" s="1">
        <v>7</v>
      </c>
      <c r="F270" s="1">
        <v>6</v>
      </c>
      <c r="G270" s="1">
        <v>5</v>
      </c>
      <c r="H270" s="1">
        <v>4</v>
      </c>
      <c r="I270" s="1">
        <v>3</v>
      </c>
      <c r="J270" s="1">
        <v>2</v>
      </c>
      <c r="K270" s="1">
        <v>1</v>
      </c>
      <c r="L270" s="1">
        <v>2</v>
      </c>
      <c r="M270" s="1">
        <v>3</v>
      </c>
      <c r="N270" s="33">
        <v>4</v>
      </c>
      <c r="O270" s="1">
        <v>5</v>
      </c>
      <c r="P270" s="1">
        <v>6</v>
      </c>
      <c r="Q270" s="1">
        <v>7</v>
      </c>
      <c r="R270" s="1">
        <v>8</v>
      </c>
      <c r="S270" s="12">
        <v>9</v>
      </c>
      <c r="T270" s="12" t="s">
        <v>14</v>
      </c>
    </row>
    <row r="271" spans="2:20" ht="15.4" x14ac:dyDescent="0.45">
      <c r="B271" s="17" t="s">
        <v>7</v>
      </c>
      <c r="C271" s="11">
        <v>9</v>
      </c>
      <c r="D271" s="1">
        <v>8</v>
      </c>
      <c r="E271" s="1">
        <v>7</v>
      </c>
      <c r="F271" s="1">
        <v>6</v>
      </c>
      <c r="G271" s="1">
        <v>5</v>
      </c>
      <c r="H271" s="1">
        <v>4</v>
      </c>
      <c r="I271" s="33">
        <v>3</v>
      </c>
      <c r="J271" s="1">
        <v>2</v>
      </c>
      <c r="K271" s="1">
        <v>1</v>
      </c>
      <c r="L271" s="1">
        <v>2</v>
      </c>
      <c r="M271" s="1">
        <v>3</v>
      </c>
      <c r="N271" s="1">
        <v>4</v>
      </c>
      <c r="O271" s="1">
        <v>5</v>
      </c>
      <c r="P271" s="1">
        <v>6</v>
      </c>
      <c r="Q271" s="1">
        <v>7</v>
      </c>
      <c r="R271" s="1">
        <v>8</v>
      </c>
      <c r="S271" s="12">
        <v>9</v>
      </c>
      <c r="T271" s="12" t="s">
        <v>15</v>
      </c>
    </row>
    <row r="272" spans="2:20" ht="15.4" x14ac:dyDescent="0.45">
      <c r="B272" s="17" t="s">
        <v>7</v>
      </c>
      <c r="C272" s="11">
        <v>9</v>
      </c>
      <c r="D272" s="1">
        <v>8</v>
      </c>
      <c r="E272" s="1">
        <v>7</v>
      </c>
      <c r="F272" s="1">
        <v>6</v>
      </c>
      <c r="G272" s="1">
        <v>5</v>
      </c>
      <c r="H272" s="1">
        <v>4</v>
      </c>
      <c r="I272" s="1">
        <v>3</v>
      </c>
      <c r="J272" s="1">
        <v>2</v>
      </c>
      <c r="K272" s="1">
        <v>1</v>
      </c>
      <c r="L272" s="1">
        <v>2</v>
      </c>
      <c r="M272" s="1">
        <v>3</v>
      </c>
      <c r="N272" s="1">
        <v>4</v>
      </c>
      <c r="O272" s="1">
        <v>5</v>
      </c>
      <c r="P272" s="33">
        <v>6</v>
      </c>
      <c r="Q272" s="1">
        <v>7</v>
      </c>
      <c r="R272" s="1">
        <v>8</v>
      </c>
      <c r="S272" s="12">
        <v>9</v>
      </c>
      <c r="T272" s="12" t="s">
        <v>16</v>
      </c>
    </row>
    <row r="273" spans="2:20" ht="15.4" x14ac:dyDescent="0.45">
      <c r="B273" s="17" t="s">
        <v>7</v>
      </c>
      <c r="C273" s="11">
        <v>9</v>
      </c>
      <c r="D273" s="1">
        <v>8</v>
      </c>
      <c r="E273" s="1">
        <v>7</v>
      </c>
      <c r="F273" s="1">
        <v>6</v>
      </c>
      <c r="G273" s="1">
        <v>5</v>
      </c>
      <c r="H273" s="1">
        <v>4</v>
      </c>
      <c r="I273" s="1">
        <v>3</v>
      </c>
      <c r="J273" s="1">
        <v>2</v>
      </c>
      <c r="K273" s="1">
        <v>1</v>
      </c>
      <c r="L273" s="1">
        <v>2</v>
      </c>
      <c r="M273" s="1">
        <v>3</v>
      </c>
      <c r="N273" s="1">
        <v>4</v>
      </c>
      <c r="O273" s="1">
        <v>5</v>
      </c>
      <c r="P273" s="33">
        <v>6</v>
      </c>
      <c r="Q273" s="1">
        <v>7</v>
      </c>
      <c r="R273" s="1">
        <v>8</v>
      </c>
      <c r="S273" s="12">
        <v>9</v>
      </c>
      <c r="T273" s="12" t="s">
        <v>17</v>
      </c>
    </row>
    <row r="274" spans="2:20" ht="15.4" x14ac:dyDescent="0.45">
      <c r="B274" s="19" t="s">
        <v>7</v>
      </c>
      <c r="C274" s="13">
        <v>9</v>
      </c>
      <c r="D274" s="14">
        <v>8</v>
      </c>
      <c r="E274" s="14">
        <v>7</v>
      </c>
      <c r="F274" s="14">
        <v>6</v>
      </c>
      <c r="G274" s="14">
        <v>5</v>
      </c>
      <c r="H274" s="14">
        <v>4</v>
      </c>
      <c r="I274" s="14">
        <v>3</v>
      </c>
      <c r="J274" s="14">
        <v>2</v>
      </c>
      <c r="K274" s="14">
        <v>1</v>
      </c>
      <c r="L274" s="14">
        <v>2</v>
      </c>
      <c r="M274" s="14">
        <v>3</v>
      </c>
      <c r="N274" s="14">
        <v>4</v>
      </c>
      <c r="O274" s="14">
        <v>5</v>
      </c>
      <c r="P274" s="14">
        <v>6</v>
      </c>
      <c r="Q274" s="14">
        <v>7</v>
      </c>
      <c r="R274" s="14">
        <v>8</v>
      </c>
      <c r="S274" s="15">
        <v>9</v>
      </c>
      <c r="T274" s="15" t="s">
        <v>18</v>
      </c>
    </row>
    <row r="275" spans="2:20" ht="15.4" x14ac:dyDescent="0.45">
      <c r="B275" s="16" t="s">
        <v>8</v>
      </c>
      <c r="C275" s="11">
        <v>9</v>
      </c>
      <c r="D275" s="1">
        <v>8</v>
      </c>
      <c r="E275" s="1">
        <v>7</v>
      </c>
      <c r="F275" s="1">
        <v>6</v>
      </c>
      <c r="G275" s="1">
        <v>5</v>
      </c>
      <c r="H275" s="1">
        <v>4</v>
      </c>
      <c r="I275" s="1">
        <v>3</v>
      </c>
      <c r="J275" s="1">
        <v>2</v>
      </c>
      <c r="K275" s="33">
        <v>1</v>
      </c>
      <c r="L275" s="1">
        <v>2</v>
      </c>
      <c r="M275" s="1">
        <v>3</v>
      </c>
      <c r="N275" s="1">
        <v>4</v>
      </c>
      <c r="O275" s="1">
        <v>5</v>
      </c>
      <c r="P275" s="1">
        <v>6</v>
      </c>
      <c r="Q275" s="1">
        <v>7</v>
      </c>
      <c r="R275" s="1">
        <v>8</v>
      </c>
      <c r="S275" s="12">
        <v>9</v>
      </c>
      <c r="T275" s="12" t="s">
        <v>9</v>
      </c>
    </row>
    <row r="276" spans="2:20" ht="15.4" x14ac:dyDescent="0.45">
      <c r="B276" s="17" t="s">
        <v>8</v>
      </c>
      <c r="C276" s="11">
        <v>9</v>
      </c>
      <c r="D276" s="1">
        <v>8</v>
      </c>
      <c r="E276" s="1">
        <v>7</v>
      </c>
      <c r="F276" s="1">
        <v>6</v>
      </c>
      <c r="G276" s="1">
        <v>5</v>
      </c>
      <c r="H276" s="1">
        <v>4</v>
      </c>
      <c r="I276" s="1">
        <v>3</v>
      </c>
      <c r="J276" s="1">
        <v>2</v>
      </c>
      <c r="K276" s="1">
        <v>1</v>
      </c>
      <c r="L276" s="1">
        <v>2</v>
      </c>
      <c r="M276" s="1">
        <v>3</v>
      </c>
      <c r="N276" s="1">
        <v>4</v>
      </c>
      <c r="O276" s="1">
        <v>5</v>
      </c>
      <c r="P276" s="1">
        <v>6</v>
      </c>
      <c r="Q276" s="1">
        <v>7</v>
      </c>
      <c r="R276" s="1">
        <v>8</v>
      </c>
      <c r="S276" s="36">
        <v>9</v>
      </c>
      <c r="T276" s="12" t="s">
        <v>10</v>
      </c>
    </row>
    <row r="277" spans="2:20" ht="15.4" x14ac:dyDescent="0.45">
      <c r="B277" s="17" t="s">
        <v>8</v>
      </c>
      <c r="C277" s="11">
        <v>9</v>
      </c>
      <c r="D277" s="1">
        <v>8</v>
      </c>
      <c r="E277" s="1">
        <v>7</v>
      </c>
      <c r="F277" s="1">
        <v>6</v>
      </c>
      <c r="G277" s="1">
        <v>5</v>
      </c>
      <c r="H277" s="1">
        <v>4</v>
      </c>
      <c r="I277" s="1">
        <v>3</v>
      </c>
      <c r="J277" s="1">
        <v>2</v>
      </c>
      <c r="K277" s="1">
        <v>1</v>
      </c>
      <c r="L277" s="1">
        <v>2</v>
      </c>
      <c r="M277" s="1">
        <v>3</v>
      </c>
      <c r="N277" s="1">
        <v>4</v>
      </c>
      <c r="O277" s="1">
        <v>5</v>
      </c>
      <c r="P277" s="1">
        <v>6</v>
      </c>
      <c r="Q277" s="1">
        <v>7</v>
      </c>
      <c r="R277" s="1">
        <v>8</v>
      </c>
      <c r="S277" s="36">
        <v>9</v>
      </c>
      <c r="T277" s="12" t="s">
        <v>11</v>
      </c>
    </row>
    <row r="278" spans="2:20" ht="15.4" x14ac:dyDescent="0.45">
      <c r="B278" s="17" t="s">
        <v>8</v>
      </c>
      <c r="C278" s="11">
        <v>9</v>
      </c>
      <c r="D278" s="1">
        <v>8</v>
      </c>
      <c r="E278" s="1">
        <v>7</v>
      </c>
      <c r="F278" s="1">
        <v>6</v>
      </c>
      <c r="G278" s="1">
        <v>5</v>
      </c>
      <c r="H278" s="1">
        <v>4</v>
      </c>
      <c r="I278" s="1">
        <v>3</v>
      </c>
      <c r="J278" s="1">
        <v>2</v>
      </c>
      <c r="K278" s="1">
        <v>1</v>
      </c>
      <c r="L278" s="1">
        <v>2</v>
      </c>
      <c r="M278" s="1">
        <v>3</v>
      </c>
      <c r="N278" s="1">
        <v>4</v>
      </c>
      <c r="O278" s="1">
        <v>5</v>
      </c>
      <c r="P278" s="1">
        <v>6</v>
      </c>
      <c r="Q278" s="1">
        <v>7</v>
      </c>
      <c r="R278" s="1">
        <v>8</v>
      </c>
      <c r="S278" s="36">
        <v>9</v>
      </c>
      <c r="T278" s="12" t="s">
        <v>12</v>
      </c>
    </row>
    <row r="279" spans="2:20" ht="15.4" x14ac:dyDescent="0.45">
      <c r="B279" s="17" t="s">
        <v>8</v>
      </c>
      <c r="C279" s="11">
        <v>9</v>
      </c>
      <c r="D279" s="1">
        <v>8</v>
      </c>
      <c r="E279" s="1">
        <v>7</v>
      </c>
      <c r="F279" s="1">
        <v>6</v>
      </c>
      <c r="G279" s="1">
        <v>5</v>
      </c>
      <c r="H279" s="1">
        <v>4</v>
      </c>
      <c r="I279" s="1">
        <v>3</v>
      </c>
      <c r="J279" s="1">
        <v>2</v>
      </c>
      <c r="K279" s="1">
        <v>1</v>
      </c>
      <c r="L279" s="1">
        <v>2</v>
      </c>
      <c r="M279" s="1">
        <v>3</v>
      </c>
      <c r="N279" s="1">
        <v>4</v>
      </c>
      <c r="O279" s="1">
        <v>5</v>
      </c>
      <c r="P279" s="1">
        <v>6</v>
      </c>
      <c r="Q279" s="1">
        <v>7</v>
      </c>
      <c r="R279" s="1">
        <v>8</v>
      </c>
      <c r="S279" s="36">
        <v>9</v>
      </c>
      <c r="T279" s="12" t="s">
        <v>13</v>
      </c>
    </row>
    <row r="280" spans="2:20" ht="15.4" x14ac:dyDescent="0.45">
      <c r="B280" s="17" t="s">
        <v>8</v>
      </c>
      <c r="C280" s="11">
        <v>9</v>
      </c>
      <c r="D280" s="1">
        <v>8</v>
      </c>
      <c r="E280" s="1">
        <v>7</v>
      </c>
      <c r="F280" s="1">
        <v>6</v>
      </c>
      <c r="G280" s="1">
        <v>5</v>
      </c>
      <c r="H280" s="1">
        <v>4</v>
      </c>
      <c r="I280" s="1">
        <v>3</v>
      </c>
      <c r="J280" s="1">
        <v>2</v>
      </c>
      <c r="K280" s="1">
        <v>1</v>
      </c>
      <c r="L280" s="1">
        <v>2</v>
      </c>
      <c r="M280" s="1">
        <v>3</v>
      </c>
      <c r="N280" s="1">
        <v>4</v>
      </c>
      <c r="O280" s="1">
        <v>5</v>
      </c>
      <c r="P280" s="1">
        <v>6</v>
      </c>
      <c r="Q280" s="1">
        <v>7</v>
      </c>
      <c r="R280" s="1">
        <v>8</v>
      </c>
      <c r="S280" s="36">
        <v>9</v>
      </c>
      <c r="T280" s="12" t="s">
        <v>14</v>
      </c>
    </row>
    <row r="281" spans="2:20" ht="15.4" x14ac:dyDescent="0.45">
      <c r="B281" s="17" t="s">
        <v>8</v>
      </c>
      <c r="C281" s="11">
        <v>9</v>
      </c>
      <c r="D281" s="1">
        <v>8</v>
      </c>
      <c r="E281" s="1">
        <v>7</v>
      </c>
      <c r="F281" s="1">
        <v>6</v>
      </c>
      <c r="G281" s="1">
        <v>5</v>
      </c>
      <c r="H281" s="1">
        <v>4</v>
      </c>
      <c r="I281" s="1">
        <v>3</v>
      </c>
      <c r="J281" s="1">
        <v>2</v>
      </c>
      <c r="K281" s="1">
        <v>1</v>
      </c>
      <c r="L281" s="1">
        <v>2</v>
      </c>
      <c r="M281" s="1">
        <v>3</v>
      </c>
      <c r="N281" s="1">
        <v>4</v>
      </c>
      <c r="O281" s="1">
        <v>5</v>
      </c>
      <c r="P281" s="1">
        <v>6</v>
      </c>
      <c r="Q281" s="1">
        <v>7</v>
      </c>
      <c r="R281" s="1">
        <v>8</v>
      </c>
      <c r="S281" s="36">
        <v>9</v>
      </c>
      <c r="T281" s="12" t="s">
        <v>15</v>
      </c>
    </row>
    <row r="282" spans="2:20" ht="15.4" x14ac:dyDescent="0.45">
      <c r="B282" s="17" t="s">
        <v>8</v>
      </c>
      <c r="C282" s="11">
        <v>9</v>
      </c>
      <c r="D282" s="1">
        <v>8</v>
      </c>
      <c r="E282" s="1">
        <v>7</v>
      </c>
      <c r="F282" s="1">
        <v>6</v>
      </c>
      <c r="G282" s="1">
        <v>5</v>
      </c>
      <c r="H282" s="1">
        <v>4</v>
      </c>
      <c r="I282" s="1">
        <v>3</v>
      </c>
      <c r="J282" s="1">
        <v>2</v>
      </c>
      <c r="K282" s="1">
        <v>1</v>
      </c>
      <c r="L282" s="1">
        <v>2</v>
      </c>
      <c r="M282" s="1">
        <v>3</v>
      </c>
      <c r="N282" s="1">
        <v>4</v>
      </c>
      <c r="O282" s="1">
        <v>5</v>
      </c>
      <c r="P282" s="1">
        <v>6</v>
      </c>
      <c r="Q282" s="1">
        <v>7</v>
      </c>
      <c r="R282" s="1">
        <v>8</v>
      </c>
      <c r="S282" s="36">
        <v>9</v>
      </c>
      <c r="T282" s="12" t="s">
        <v>16</v>
      </c>
    </row>
    <row r="283" spans="2:20" ht="15.4" x14ac:dyDescent="0.45">
      <c r="B283" s="17" t="s">
        <v>8</v>
      </c>
      <c r="C283" s="11">
        <v>9</v>
      </c>
      <c r="D283" s="1">
        <v>8</v>
      </c>
      <c r="E283" s="1">
        <v>7</v>
      </c>
      <c r="F283" s="1">
        <v>6</v>
      </c>
      <c r="G283" s="1">
        <v>5</v>
      </c>
      <c r="H283" s="1">
        <v>4</v>
      </c>
      <c r="I283" s="1">
        <v>3</v>
      </c>
      <c r="J283" s="1">
        <v>2</v>
      </c>
      <c r="K283" s="1">
        <v>1</v>
      </c>
      <c r="L283" s="1">
        <v>2</v>
      </c>
      <c r="M283" s="1">
        <v>3</v>
      </c>
      <c r="N283" s="1">
        <v>4</v>
      </c>
      <c r="O283" s="1">
        <v>5</v>
      </c>
      <c r="P283" s="1">
        <v>6</v>
      </c>
      <c r="Q283" s="1">
        <v>7</v>
      </c>
      <c r="R283" s="1">
        <v>8</v>
      </c>
      <c r="S283" s="36">
        <v>9</v>
      </c>
      <c r="T283" s="12" t="s">
        <v>17</v>
      </c>
    </row>
    <row r="284" spans="2:20" ht="15.4" x14ac:dyDescent="0.45">
      <c r="B284" s="19" t="s">
        <v>8</v>
      </c>
      <c r="C284" s="13">
        <v>9</v>
      </c>
      <c r="D284" s="14">
        <v>8</v>
      </c>
      <c r="E284" s="14">
        <v>7</v>
      </c>
      <c r="F284" s="14">
        <v>6</v>
      </c>
      <c r="G284" s="14">
        <v>5</v>
      </c>
      <c r="H284" s="14">
        <v>4</v>
      </c>
      <c r="I284" s="14">
        <v>3</v>
      </c>
      <c r="J284" s="14">
        <v>2</v>
      </c>
      <c r="K284" s="14">
        <v>1</v>
      </c>
      <c r="L284" s="14">
        <v>2</v>
      </c>
      <c r="M284" s="14">
        <v>3</v>
      </c>
      <c r="N284" s="14">
        <v>4</v>
      </c>
      <c r="O284" s="14">
        <v>5</v>
      </c>
      <c r="P284" s="14">
        <v>6</v>
      </c>
      <c r="Q284" s="14">
        <v>7</v>
      </c>
      <c r="R284" s="14">
        <v>8</v>
      </c>
      <c r="S284" s="37">
        <v>9</v>
      </c>
      <c r="T284" s="15" t="s">
        <v>18</v>
      </c>
    </row>
    <row r="285" spans="2:20" ht="15.4" x14ac:dyDescent="0.45">
      <c r="B285" s="16" t="s">
        <v>9</v>
      </c>
      <c r="C285" s="11">
        <v>9</v>
      </c>
      <c r="D285" s="1">
        <v>8</v>
      </c>
      <c r="E285" s="1">
        <v>7</v>
      </c>
      <c r="F285" s="1">
        <v>6</v>
      </c>
      <c r="G285" s="1">
        <v>5</v>
      </c>
      <c r="H285" s="1">
        <v>4</v>
      </c>
      <c r="I285" s="1">
        <v>3</v>
      </c>
      <c r="J285" s="1">
        <v>2</v>
      </c>
      <c r="K285" s="1">
        <v>1</v>
      </c>
      <c r="L285" s="1">
        <v>2</v>
      </c>
      <c r="M285" s="1">
        <v>3</v>
      </c>
      <c r="N285" s="1">
        <v>4</v>
      </c>
      <c r="O285" s="1">
        <v>5</v>
      </c>
      <c r="P285" s="1">
        <v>6</v>
      </c>
      <c r="Q285" s="1">
        <v>7</v>
      </c>
      <c r="R285" s="1">
        <v>8</v>
      </c>
      <c r="S285" s="36">
        <v>9</v>
      </c>
      <c r="T285" s="12" t="s">
        <v>10</v>
      </c>
    </row>
    <row r="286" spans="2:20" ht="15.4" x14ac:dyDescent="0.45">
      <c r="B286" s="17" t="s">
        <v>9</v>
      </c>
      <c r="C286" s="11">
        <v>9</v>
      </c>
      <c r="D286" s="1">
        <v>8</v>
      </c>
      <c r="E286" s="1">
        <v>7</v>
      </c>
      <c r="F286" s="1">
        <v>6</v>
      </c>
      <c r="G286" s="1">
        <v>5</v>
      </c>
      <c r="H286" s="1">
        <v>4</v>
      </c>
      <c r="I286" s="1">
        <v>3</v>
      </c>
      <c r="J286" s="1">
        <v>2</v>
      </c>
      <c r="K286" s="1">
        <v>1</v>
      </c>
      <c r="L286" s="1">
        <v>2</v>
      </c>
      <c r="M286" s="1">
        <v>3</v>
      </c>
      <c r="N286" s="1">
        <v>4</v>
      </c>
      <c r="O286" s="1">
        <v>5</v>
      </c>
      <c r="P286" s="1">
        <v>6</v>
      </c>
      <c r="Q286" s="1">
        <v>7</v>
      </c>
      <c r="R286" s="1">
        <v>8</v>
      </c>
      <c r="S286" s="36">
        <v>9</v>
      </c>
      <c r="T286" s="12" t="s">
        <v>11</v>
      </c>
    </row>
    <row r="287" spans="2:20" ht="15.4" x14ac:dyDescent="0.45">
      <c r="B287" s="17" t="s">
        <v>9</v>
      </c>
      <c r="C287" s="11">
        <v>9</v>
      </c>
      <c r="D287" s="1">
        <v>8</v>
      </c>
      <c r="E287" s="1">
        <v>7</v>
      </c>
      <c r="F287" s="1">
        <v>6</v>
      </c>
      <c r="G287" s="1">
        <v>5</v>
      </c>
      <c r="H287" s="1">
        <v>4</v>
      </c>
      <c r="I287" s="1">
        <v>3</v>
      </c>
      <c r="J287" s="1">
        <v>2</v>
      </c>
      <c r="K287" s="1">
        <v>1</v>
      </c>
      <c r="L287" s="1">
        <v>2</v>
      </c>
      <c r="M287" s="1">
        <v>3</v>
      </c>
      <c r="N287" s="1">
        <v>4</v>
      </c>
      <c r="O287" s="1">
        <v>5</v>
      </c>
      <c r="P287" s="1">
        <v>6</v>
      </c>
      <c r="Q287" s="1">
        <v>7</v>
      </c>
      <c r="R287" s="1">
        <v>8</v>
      </c>
      <c r="S287" s="36">
        <v>9</v>
      </c>
      <c r="T287" s="12" t="s">
        <v>12</v>
      </c>
    </row>
    <row r="288" spans="2:20" ht="15.4" x14ac:dyDescent="0.45">
      <c r="B288" s="17" t="s">
        <v>9</v>
      </c>
      <c r="C288" s="11">
        <v>9</v>
      </c>
      <c r="D288" s="1">
        <v>8</v>
      </c>
      <c r="E288" s="1">
        <v>7</v>
      </c>
      <c r="F288" s="1">
        <v>6</v>
      </c>
      <c r="G288" s="1">
        <v>5</v>
      </c>
      <c r="H288" s="1">
        <v>4</v>
      </c>
      <c r="I288" s="1">
        <v>3</v>
      </c>
      <c r="J288" s="1">
        <v>2</v>
      </c>
      <c r="K288" s="1">
        <v>1</v>
      </c>
      <c r="L288" s="1">
        <v>2</v>
      </c>
      <c r="M288" s="1">
        <v>3</v>
      </c>
      <c r="N288" s="1">
        <v>4</v>
      </c>
      <c r="O288" s="1">
        <v>5</v>
      </c>
      <c r="P288" s="1">
        <v>6</v>
      </c>
      <c r="Q288" s="1">
        <v>7</v>
      </c>
      <c r="R288" s="1">
        <v>8</v>
      </c>
      <c r="S288" s="36">
        <v>9</v>
      </c>
      <c r="T288" s="12" t="s">
        <v>13</v>
      </c>
    </row>
    <row r="289" spans="2:20" ht="15.4" x14ac:dyDescent="0.45">
      <c r="B289" s="17" t="s">
        <v>9</v>
      </c>
      <c r="C289" s="11">
        <v>9</v>
      </c>
      <c r="D289" s="1">
        <v>8</v>
      </c>
      <c r="E289" s="1">
        <v>7</v>
      </c>
      <c r="F289" s="1">
        <v>6</v>
      </c>
      <c r="G289" s="1">
        <v>5</v>
      </c>
      <c r="H289" s="1">
        <v>4</v>
      </c>
      <c r="I289" s="1">
        <v>3</v>
      </c>
      <c r="J289" s="1">
        <v>2</v>
      </c>
      <c r="K289" s="1">
        <v>1</v>
      </c>
      <c r="L289" s="1">
        <v>2</v>
      </c>
      <c r="M289" s="1">
        <v>3</v>
      </c>
      <c r="N289" s="1">
        <v>4</v>
      </c>
      <c r="O289" s="1">
        <v>5</v>
      </c>
      <c r="P289" s="1">
        <v>6</v>
      </c>
      <c r="Q289" s="1">
        <v>7</v>
      </c>
      <c r="R289" s="1">
        <v>8</v>
      </c>
      <c r="S289" s="36">
        <v>9</v>
      </c>
      <c r="T289" s="12" t="s">
        <v>14</v>
      </c>
    </row>
    <row r="290" spans="2:20" ht="15.4" x14ac:dyDescent="0.45">
      <c r="B290" s="17" t="s">
        <v>9</v>
      </c>
      <c r="C290" s="11">
        <v>9</v>
      </c>
      <c r="D290" s="1">
        <v>8</v>
      </c>
      <c r="E290" s="1">
        <v>7</v>
      </c>
      <c r="F290" s="1">
        <v>6</v>
      </c>
      <c r="G290" s="1">
        <v>5</v>
      </c>
      <c r="H290" s="1">
        <v>4</v>
      </c>
      <c r="I290" s="1">
        <v>3</v>
      </c>
      <c r="J290" s="1">
        <v>2</v>
      </c>
      <c r="K290" s="1">
        <v>1</v>
      </c>
      <c r="L290" s="1">
        <v>2</v>
      </c>
      <c r="M290" s="1">
        <v>3</v>
      </c>
      <c r="N290" s="1">
        <v>4</v>
      </c>
      <c r="O290" s="1">
        <v>5</v>
      </c>
      <c r="P290" s="1">
        <v>6</v>
      </c>
      <c r="Q290" s="1">
        <v>7</v>
      </c>
      <c r="R290" s="1">
        <v>8</v>
      </c>
      <c r="S290" s="36">
        <v>9</v>
      </c>
      <c r="T290" s="12" t="s">
        <v>15</v>
      </c>
    </row>
    <row r="291" spans="2:20" ht="15.4" x14ac:dyDescent="0.45">
      <c r="B291" s="17" t="s">
        <v>9</v>
      </c>
      <c r="C291" s="11">
        <v>9</v>
      </c>
      <c r="D291" s="1">
        <v>8</v>
      </c>
      <c r="E291" s="1">
        <v>7</v>
      </c>
      <c r="F291" s="1">
        <v>6</v>
      </c>
      <c r="G291" s="1">
        <v>5</v>
      </c>
      <c r="H291" s="1">
        <v>4</v>
      </c>
      <c r="I291" s="1">
        <v>3</v>
      </c>
      <c r="J291" s="1">
        <v>2</v>
      </c>
      <c r="K291" s="1">
        <v>1</v>
      </c>
      <c r="L291" s="1">
        <v>2</v>
      </c>
      <c r="M291" s="1">
        <v>3</v>
      </c>
      <c r="N291" s="1">
        <v>4</v>
      </c>
      <c r="O291" s="1">
        <v>5</v>
      </c>
      <c r="P291" s="1">
        <v>6</v>
      </c>
      <c r="Q291" s="1">
        <v>7</v>
      </c>
      <c r="R291" s="1">
        <v>8</v>
      </c>
      <c r="S291" s="36">
        <v>9</v>
      </c>
      <c r="T291" s="12" t="s">
        <v>16</v>
      </c>
    </row>
    <row r="292" spans="2:20" ht="15.4" x14ac:dyDescent="0.45">
      <c r="B292" s="17" t="s">
        <v>9</v>
      </c>
      <c r="C292" s="11">
        <v>9</v>
      </c>
      <c r="D292" s="1">
        <v>8</v>
      </c>
      <c r="E292" s="1">
        <v>7</v>
      </c>
      <c r="F292" s="1">
        <v>6</v>
      </c>
      <c r="G292" s="1">
        <v>5</v>
      </c>
      <c r="H292" s="1">
        <v>4</v>
      </c>
      <c r="I292" s="1">
        <v>3</v>
      </c>
      <c r="J292" s="1">
        <v>2</v>
      </c>
      <c r="K292" s="1">
        <v>1</v>
      </c>
      <c r="L292" s="1">
        <v>2</v>
      </c>
      <c r="M292" s="1">
        <v>3</v>
      </c>
      <c r="N292" s="1">
        <v>4</v>
      </c>
      <c r="O292" s="1">
        <v>5</v>
      </c>
      <c r="P292" s="1">
        <v>6</v>
      </c>
      <c r="Q292" s="1">
        <v>7</v>
      </c>
      <c r="R292" s="1">
        <v>8</v>
      </c>
      <c r="S292" s="36">
        <v>9</v>
      </c>
      <c r="T292" s="12" t="s">
        <v>17</v>
      </c>
    </row>
    <row r="293" spans="2:20" ht="15.4" x14ac:dyDescent="0.45">
      <c r="B293" s="19" t="s">
        <v>9</v>
      </c>
      <c r="C293" s="13">
        <v>9</v>
      </c>
      <c r="D293" s="14">
        <v>8</v>
      </c>
      <c r="E293" s="14">
        <v>7</v>
      </c>
      <c r="F293" s="14">
        <v>6</v>
      </c>
      <c r="G293" s="14">
        <v>5</v>
      </c>
      <c r="H293" s="14">
        <v>4</v>
      </c>
      <c r="I293" s="14">
        <v>3</v>
      </c>
      <c r="J293" s="14">
        <v>2</v>
      </c>
      <c r="K293" s="14">
        <v>1</v>
      </c>
      <c r="L293" s="14">
        <v>2</v>
      </c>
      <c r="M293" s="14">
        <v>3</v>
      </c>
      <c r="N293" s="14">
        <v>4</v>
      </c>
      <c r="O293" s="14">
        <v>5</v>
      </c>
      <c r="P293" s="14">
        <v>6</v>
      </c>
      <c r="Q293" s="14">
        <v>7</v>
      </c>
      <c r="R293" s="14">
        <v>8</v>
      </c>
      <c r="S293" s="37">
        <v>9</v>
      </c>
      <c r="T293" s="15" t="s">
        <v>18</v>
      </c>
    </row>
    <row r="294" spans="2:20" ht="15.4" x14ac:dyDescent="0.45">
      <c r="B294" s="16" t="s">
        <v>10</v>
      </c>
      <c r="C294" s="11">
        <v>9</v>
      </c>
      <c r="D294" s="1">
        <v>8</v>
      </c>
      <c r="E294" s="33">
        <v>7</v>
      </c>
      <c r="F294" s="1">
        <v>6</v>
      </c>
      <c r="G294" s="1">
        <v>5</v>
      </c>
      <c r="H294" s="1">
        <v>4</v>
      </c>
      <c r="I294" s="1">
        <v>3</v>
      </c>
      <c r="J294" s="1">
        <v>2</v>
      </c>
      <c r="K294" s="1">
        <v>1</v>
      </c>
      <c r="L294" s="1">
        <v>2</v>
      </c>
      <c r="M294" s="1">
        <v>3</v>
      </c>
      <c r="N294" s="1">
        <v>4</v>
      </c>
      <c r="O294" s="1">
        <v>5</v>
      </c>
      <c r="P294" s="1">
        <v>6</v>
      </c>
      <c r="Q294" s="1">
        <v>7</v>
      </c>
      <c r="R294" s="1">
        <v>8</v>
      </c>
      <c r="S294" s="12">
        <v>9</v>
      </c>
      <c r="T294" s="12" t="s">
        <v>11</v>
      </c>
    </row>
    <row r="295" spans="2:20" ht="15.4" x14ac:dyDescent="0.45">
      <c r="B295" s="17" t="s">
        <v>10</v>
      </c>
      <c r="C295" s="11">
        <v>9</v>
      </c>
      <c r="D295" s="1">
        <v>8</v>
      </c>
      <c r="E295" s="33">
        <v>7</v>
      </c>
      <c r="F295" s="1">
        <v>6</v>
      </c>
      <c r="G295" s="1">
        <v>5</v>
      </c>
      <c r="H295" s="1">
        <v>4</v>
      </c>
      <c r="I295" s="1">
        <v>3</v>
      </c>
      <c r="J295" s="1">
        <v>2</v>
      </c>
      <c r="K295" s="1">
        <v>1</v>
      </c>
      <c r="L295" s="1">
        <v>2</v>
      </c>
      <c r="M295" s="1">
        <v>3</v>
      </c>
      <c r="N295" s="1">
        <v>4</v>
      </c>
      <c r="O295" s="1">
        <v>5</v>
      </c>
      <c r="P295" s="1">
        <v>6</v>
      </c>
      <c r="Q295" s="1">
        <v>7</v>
      </c>
      <c r="R295" s="1">
        <v>8</v>
      </c>
      <c r="S295" s="12">
        <v>9</v>
      </c>
      <c r="T295" s="12" t="s">
        <v>12</v>
      </c>
    </row>
    <row r="296" spans="2:20" ht="15.4" x14ac:dyDescent="0.45">
      <c r="B296" s="17" t="s">
        <v>10</v>
      </c>
      <c r="C296" s="11">
        <v>9</v>
      </c>
      <c r="D296" s="1">
        <v>8</v>
      </c>
      <c r="E296" s="1">
        <v>7</v>
      </c>
      <c r="F296" s="1">
        <v>6</v>
      </c>
      <c r="G296" s="1">
        <v>5</v>
      </c>
      <c r="H296" s="1">
        <v>4</v>
      </c>
      <c r="I296" s="1">
        <v>3</v>
      </c>
      <c r="J296" s="33">
        <v>2</v>
      </c>
      <c r="K296" s="1">
        <v>1</v>
      </c>
      <c r="L296" s="1">
        <v>2</v>
      </c>
      <c r="M296" s="1">
        <v>3</v>
      </c>
      <c r="N296" s="1">
        <v>4</v>
      </c>
      <c r="O296" s="1">
        <v>5</v>
      </c>
      <c r="P296" s="1">
        <v>6</v>
      </c>
      <c r="Q296" s="1">
        <v>7</v>
      </c>
      <c r="R296" s="1">
        <v>8</v>
      </c>
      <c r="S296" s="12">
        <v>9</v>
      </c>
      <c r="T296" s="12" t="s">
        <v>13</v>
      </c>
    </row>
    <row r="297" spans="2:20" ht="15.4" x14ac:dyDescent="0.45">
      <c r="B297" s="17" t="s">
        <v>10</v>
      </c>
      <c r="C297" s="11">
        <v>9</v>
      </c>
      <c r="D297" s="1">
        <v>8</v>
      </c>
      <c r="E297" s="1">
        <v>7</v>
      </c>
      <c r="F297" s="1">
        <v>6</v>
      </c>
      <c r="G297" s="33">
        <v>5</v>
      </c>
      <c r="H297" s="1">
        <v>4</v>
      </c>
      <c r="I297" s="1">
        <v>3</v>
      </c>
      <c r="J297" s="1">
        <v>2</v>
      </c>
      <c r="K297" s="1">
        <v>1</v>
      </c>
      <c r="L297" s="1">
        <v>2</v>
      </c>
      <c r="M297" s="1">
        <v>3</v>
      </c>
      <c r="N297" s="1">
        <v>4</v>
      </c>
      <c r="O297" s="1">
        <v>5</v>
      </c>
      <c r="P297" s="1">
        <v>6</v>
      </c>
      <c r="Q297" s="1">
        <v>7</v>
      </c>
      <c r="R297" s="1">
        <v>8</v>
      </c>
      <c r="S297" s="12">
        <v>9</v>
      </c>
      <c r="T297" s="12" t="s">
        <v>14</v>
      </c>
    </row>
    <row r="298" spans="2:20" ht="15.4" x14ac:dyDescent="0.45">
      <c r="B298" s="17" t="s">
        <v>10</v>
      </c>
      <c r="C298" s="11">
        <v>9</v>
      </c>
      <c r="D298" s="1">
        <v>8</v>
      </c>
      <c r="E298" s="33">
        <v>7</v>
      </c>
      <c r="F298" s="1">
        <v>6</v>
      </c>
      <c r="G298" s="1">
        <v>5</v>
      </c>
      <c r="H298" s="1">
        <v>4</v>
      </c>
      <c r="I298" s="1">
        <v>3</v>
      </c>
      <c r="J298" s="1">
        <v>2</v>
      </c>
      <c r="K298" s="1">
        <v>1</v>
      </c>
      <c r="L298" s="1">
        <v>2</v>
      </c>
      <c r="M298" s="1">
        <v>3</v>
      </c>
      <c r="N298" s="1">
        <v>4</v>
      </c>
      <c r="O298" s="1">
        <v>5</v>
      </c>
      <c r="P298" s="1">
        <v>6</v>
      </c>
      <c r="Q298" s="1">
        <v>7</v>
      </c>
      <c r="R298" s="1">
        <v>8</v>
      </c>
      <c r="S298" s="12">
        <v>9</v>
      </c>
      <c r="T298" s="12" t="s">
        <v>15</v>
      </c>
    </row>
    <row r="299" spans="2:20" ht="15.4" x14ac:dyDescent="0.45">
      <c r="B299" s="17" t="s">
        <v>10</v>
      </c>
      <c r="C299" s="11">
        <v>9</v>
      </c>
      <c r="D299" s="1">
        <v>8</v>
      </c>
      <c r="E299" s="1">
        <v>7</v>
      </c>
      <c r="F299" s="1">
        <v>6</v>
      </c>
      <c r="G299" s="1">
        <v>5</v>
      </c>
      <c r="H299" s="1">
        <v>4</v>
      </c>
      <c r="I299" s="33">
        <v>3</v>
      </c>
      <c r="J299" s="1">
        <v>2</v>
      </c>
      <c r="K299" s="1">
        <v>1</v>
      </c>
      <c r="L299" s="1">
        <v>2</v>
      </c>
      <c r="M299" s="1">
        <v>3</v>
      </c>
      <c r="N299" s="1">
        <v>4</v>
      </c>
      <c r="O299" s="1">
        <v>5</v>
      </c>
      <c r="P299" s="1">
        <v>6</v>
      </c>
      <c r="Q299" s="1">
        <v>7</v>
      </c>
      <c r="R299" s="1">
        <v>8</v>
      </c>
      <c r="S299" s="12">
        <v>9</v>
      </c>
      <c r="T299" s="12" t="s">
        <v>16</v>
      </c>
    </row>
    <row r="300" spans="2:20" ht="15.4" x14ac:dyDescent="0.45">
      <c r="B300" s="17" t="s">
        <v>10</v>
      </c>
      <c r="C300" s="11">
        <v>9</v>
      </c>
      <c r="D300" s="1">
        <v>8</v>
      </c>
      <c r="E300" s="1">
        <v>7</v>
      </c>
      <c r="F300" s="1">
        <v>6</v>
      </c>
      <c r="G300" s="1">
        <v>5</v>
      </c>
      <c r="H300" s="1">
        <v>4</v>
      </c>
      <c r="I300" s="33">
        <v>3</v>
      </c>
      <c r="J300" s="1">
        <v>2</v>
      </c>
      <c r="K300" s="1">
        <v>1</v>
      </c>
      <c r="L300" s="1">
        <v>2</v>
      </c>
      <c r="M300" s="1">
        <v>3</v>
      </c>
      <c r="N300" s="1">
        <v>4</v>
      </c>
      <c r="O300" s="1">
        <v>5</v>
      </c>
      <c r="P300" s="1">
        <v>6</v>
      </c>
      <c r="Q300" s="1">
        <v>7</v>
      </c>
      <c r="R300" s="1">
        <v>8</v>
      </c>
      <c r="S300" s="12">
        <v>9</v>
      </c>
      <c r="T300" s="12" t="s">
        <v>17</v>
      </c>
    </row>
    <row r="301" spans="2:20" ht="15.4" x14ac:dyDescent="0.45">
      <c r="B301" s="19" t="s">
        <v>10</v>
      </c>
      <c r="C301" s="13">
        <v>9</v>
      </c>
      <c r="D301" s="34">
        <v>8</v>
      </c>
      <c r="E301" s="14">
        <v>7</v>
      </c>
      <c r="F301" s="14">
        <v>6</v>
      </c>
      <c r="G301" s="14">
        <v>5</v>
      </c>
      <c r="H301" s="14">
        <v>4</v>
      </c>
      <c r="I301" s="14">
        <v>3</v>
      </c>
      <c r="J301" s="14">
        <v>2</v>
      </c>
      <c r="K301" s="14">
        <v>1</v>
      </c>
      <c r="L301" s="14">
        <v>2</v>
      </c>
      <c r="M301" s="14">
        <v>3</v>
      </c>
      <c r="N301" s="14">
        <v>4</v>
      </c>
      <c r="O301" s="14">
        <v>5</v>
      </c>
      <c r="P301" s="14">
        <v>6</v>
      </c>
      <c r="Q301" s="14">
        <v>7</v>
      </c>
      <c r="R301" s="14">
        <v>8</v>
      </c>
      <c r="S301" s="15">
        <v>9</v>
      </c>
      <c r="T301" s="15" t="s">
        <v>18</v>
      </c>
    </row>
    <row r="302" spans="2:20" ht="15.4" x14ac:dyDescent="0.45">
      <c r="B302" s="16" t="s">
        <v>11</v>
      </c>
      <c r="C302" s="11">
        <v>9</v>
      </c>
      <c r="D302" s="1">
        <v>8</v>
      </c>
      <c r="E302" s="1">
        <v>7</v>
      </c>
      <c r="F302" s="1">
        <v>6</v>
      </c>
      <c r="G302" s="1">
        <v>5</v>
      </c>
      <c r="H302" s="1">
        <v>4</v>
      </c>
      <c r="I302" s="1">
        <v>3</v>
      </c>
      <c r="J302" s="1">
        <v>2</v>
      </c>
      <c r="K302" s="33">
        <v>1</v>
      </c>
      <c r="L302" s="1">
        <v>2</v>
      </c>
      <c r="M302" s="1">
        <v>3</v>
      </c>
      <c r="N302" s="1">
        <v>4</v>
      </c>
      <c r="O302" s="1">
        <v>5</v>
      </c>
      <c r="P302" s="1">
        <v>6</v>
      </c>
      <c r="Q302" s="1">
        <v>7</v>
      </c>
      <c r="R302" s="1">
        <v>8</v>
      </c>
      <c r="S302" s="12">
        <v>9</v>
      </c>
      <c r="T302" s="12" t="s">
        <v>12</v>
      </c>
    </row>
    <row r="303" spans="2:20" ht="15.4" x14ac:dyDescent="0.45">
      <c r="B303" s="17" t="s">
        <v>11</v>
      </c>
      <c r="C303" s="11">
        <v>9</v>
      </c>
      <c r="D303" s="1">
        <v>8</v>
      </c>
      <c r="E303" s="1">
        <v>7</v>
      </c>
      <c r="F303" s="1">
        <v>6</v>
      </c>
      <c r="G303" s="1">
        <v>5</v>
      </c>
      <c r="H303" s="1">
        <v>4</v>
      </c>
      <c r="I303" s="1">
        <v>3</v>
      </c>
      <c r="J303" s="1">
        <v>2</v>
      </c>
      <c r="K303" s="1">
        <v>1</v>
      </c>
      <c r="L303" s="1">
        <v>2</v>
      </c>
      <c r="M303" s="1">
        <v>3</v>
      </c>
      <c r="N303" s="1">
        <v>4</v>
      </c>
      <c r="O303" s="1">
        <v>5</v>
      </c>
      <c r="P303" s="33">
        <v>6</v>
      </c>
      <c r="Q303" s="1">
        <v>7</v>
      </c>
      <c r="R303" s="1">
        <v>8</v>
      </c>
      <c r="S303" s="12">
        <v>9</v>
      </c>
      <c r="T303" s="12" t="s">
        <v>13</v>
      </c>
    </row>
    <row r="304" spans="2:20" ht="15.4" x14ac:dyDescent="0.45">
      <c r="B304" s="17" t="s">
        <v>11</v>
      </c>
      <c r="C304" s="11">
        <v>9</v>
      </c>
      <c r="D304" s="1">
        <v>8</v>
      </c>
      <c r="E304" s="1">
        <v>7</v>
      </c>
      <c r="F304" s="1">
        <v>6</v>
      </c>
      <c r="G304" s="1">
        <v>5</v>
      </c>
      <c r="H304" s="1">
        <v>4</v>
      </c>
      <c r="I304" s="1">
        <v>3</v>
      </c>
      <c r="J304" s="1">
        <v>2</v>
      </c>
      <c r="K304" s="1">
        <v>1</v>
      </c>
      <c r="L304" s="1">
        <v>2</v>
      </c>
      <c r="M304" s="33">
        <v>3</v>
      </c>
      <c r="N304" s="1">
        <v>4</v>
      </c>
      <c r="O304" s="1">
        <v>5</v>
      </c>
      <c r="P304" s="1">
        <v>6</v>
      </c>
      <c r="Q304" s="1">
        <v>7</v>
      </c>
      <c r="R304" s="1">
        <v>8</v>
      </c>
      <c r="S304" s="12">
        <v>9</v>
      </c>
      <c r="T304" s="12" t="s">
        <v>14</v>
      </c>
    </row>
    <row r="305" spans="2:20" ht="15.4" x14ac:dyDescent="0.45">
      <c r="B305" s="17" t="s">
        <v>11</v>
      </c>
      <c r="C305" s="11">
        <v>9</v>
      </c>
      <c r="D305" s="1">
        <v>8</v>
      </c>
      <c r="E305" s="1">
        <v>7</v>
      </c>
      <c r="F305" s="1">
        <v>6</v>
      </c>
      <c r="G305" s="1">
        <v>5</v>
      </c>
      <c r="H305" s="1">
        <v>4</v>
      </c>
      <c r="I305" s="1">
        <v>3</v>
      </c>
      <c r="J305" s="33">
        <v>2</v>
      </c>
      <c r="K305" s="1">
        <v>1</v>
      </c>
      <c r="L305" s="1">
        <v>2</v>
      </c>
      <c r="M305" s="1">
        <v>3</v>
      </c>
      <c r="N305" s="1">
        <v>4</v>
      </c>
      <c r="O305" s="1">
        <v>5</v>
      </c>
      <c r="P305" s="1">
        <v>6</v>
      </c>
      <c r="Q305" s="1">
        <v>7</v>
      </c>
      <c r="R305" s="1">
        <v>8</v>
      </c>
      <c r="S305" s="12">
        <v>9</v>
      </c>
      <c r="T305" s="12" t="s">
        <v>15</v>
      </c>
    </row>
    <row r="306" spans="2:20" ht="15.4" x14ac:dyDescent="0.45">
      <c r="B306" s="17" t="s">
        <v>11</v>
      </c>
      <c r="C306" s="11">
        <v>9</v>
      </c>
      <c r="D306" s="1">
        <v>8</v>
      </c>
      <c r="E306" s="1">
        <v>7</v>
      </c>
      <c r="F306" s="1">
        <v>6</v>
      </c>
      <c r="G306" s="1">
        <v>5</v>
      </c>
      <c r="H306" s="1">
        <v>4</v>
      </c>
      <c r="I306" s="1">
        <v>3</v>
      </c>
      <c r="J306" s="1">
        <v>2</v>
      </c>
      <c r="K306" s="1">
        <v>1</v>
      </c>
      <c r="L306" s="1">
        <v>2</v>
      </c>
      <c r="M306" s="1">
        <v>3</v>
      </c>
      <c r="N306" s="1">
        <v>4</v>
      </c>
      <c r="O306" s="33">
        <v>5</v>
      </c>
      <c r="P306" s="1">
        <v>6</v>
      </c>
      <c r="Q306" s="1">
        <v>7</v>
      </c>
      <c r="R306" s="1">
        <v>8</v>
      </c>
      <c r="S306" s="12">
        <v>9</v>
      </c>
      <c r="T306" s="12" t="s">
        <v>16</v>
      </c>
    </row>
    <row r="307" spans="2:20" ht="15.4" x14ac:dyDescent="0.45">
      <c r="B307" s="17" t="s">
        <v>11</v>
      </c>
      <c r="C307" s="11">
        <v>9</v>
      </c>
      <c r="D307" s="1">
        <v>8</v>
      </c>
      <c r="E307" s="1">
        <v>7</v>
      </c>
      <c r="F307" s="1">
        <v>6</v>
      </c>
      <c r="G307" s="1">
        <v>5</v>
      </c>
      <c r="H307" s="1">
        <v>4</v>
      </c>
      <c r="I307" s="1">
        <v>3</v>
      </c>
      <c r="J307" s="1">
        <v>2</v>
      </c>
      <c r="K307" s="1">
        <v>1</v>
      </c>
      <c r="L307" s="1">
        <v>2</v>
      </c>
      <c r="M307" s="1">
        <v>3</v>
      </c>
      <c r="N307" s="1">
        <v>4</v>
      </c>
      <c r="O307" s="33">
        <v>5</v>
      </c>
      <c r="P307" s="1">
        <v>6</v>
      </c>
      <c r="Q307" s="1">
        <v>7</v>
      </c>
      <c r="R307" s="1">
        <v>8</v>
      </c>
      <c r="S307" s="12">
        <v>9</v>
      </c>
      <c r="T307" s="12" t="s">
        <v>17</v>
      </c>
    </row>
    <row r="308" spans="2:20" ht="15.4" x14ac:dyDescent="0.45">
      <c r="B308" s="19" t="s">
        <v>11</v>
      </c>
      <c r="C308" s="13">
        <v>9</v>
      </c>
      <c r="D308" s="14">
        <v>8</v>
      </c>
      <c r="E308" s="14">
        <v>7</v>
      </c>
      <c r="F308" s="14">
        <v>6</v>
      </c>
      <c r="G308" s="14">
        <v>5</v>
      </c>
      <c r="H308" s="14">
        <v>4</v>
      </c>
      <c r="I308" s="14">
        <v>3</v>
      </c>
      <c r="J308" s="14">
        <v>2</v>
      </c>
      <c r="K308" s="14">
        <v>1</v>
      </c>
      <c r="L308" s="14">
        <v>2</v>
      </c>
      <c r="M308" s="34">
        <v>3</v>
      </c>
      <c r="N308" s="14">
        <v>4</v>
      </c>
      <c r="O308" s="14">
        <v>5</v>
      </c>
      <c r="P308" s="14">
        <v>6</v>
      </c>
      <c r="Q308" s="14">
        <v>7</v>
      </c>
      <c r="R308" s="14">
        <v>8</v>
      </c>
      <c r="S308" s="15">
        <v>9</v>
      </c>
      <c r="T308" s="15" t="s">
        <v>18</v>
      </c>
    </row>
    <row r="309" spans="2:20" ht="15.4" x14ac:dyDescent="0.45">
      <c r="B309" s="16" t="s">
        <v>12</v>
      </c>
      <c r="C309" s="11">
        <v>9</v>
      </c>
      <c r="D309" s="1">
        <v>8</v>
      </c>
      <c r="E309" s="1">
        <v>7</v>
      </c>
      <c r="F309" s="1">
        <v>6</v>
      </c>
      <c r="G309" s="1">
        <v>5</v>
      </c>
      <c r="H309" s="1">
        <v>4</v>
      </c>
      <c r="I309" s="1">
        <v>3</v>
      </c>
      <c r="J309" s="1">
        <v>2</v>
      </c>
      <c r="K309" s="1">
        <v>1</v>
      </c>
      <c r="L309" s="1">
        <v>2</v>
      </c>
      <c r="M309" s="1">
        <v>3</v>
      </c>
      <c r="N309" s="1">
        <v>4</v>
      </c>
      <c r="O309" s="33">
        <v>5</v>
      </c>
      <c r="P309" s="1">
        <v>6</v>
      </c>
      <c r="Q309" s="1">
        <v>7</v>
      </c>
      <c r="R309" s="1">
        <v>8</v>
      </c>
      <c r="S309" s="12">
        <v>9</v>
      </c>
      <c r="T309" s="12" t="s">
        <v>13</v>
      </c>
    </row>
    <row r="310" spans="2:20" ht="15.4" x14ac:dyDescent="0.45">
      <c r="B310" s="17" t="s">
        <v>12</v>
      </c>
      <c r="C310" s="11">
        <v>9</v>
      </c>
      <c r="D310" s="1">
        <v>8</v>
      </c>
      <c r="E310" s="1">
        <v>7</v>
      </c>
      <c r="F310" s="1">
        <v>6</v>
      </c>
      <c r="G310" s="1">
        <v>5</v>
      </c>
      <c r="H310" s="1">
        <v>4</v>
      </c>
      <c r="I310" s="1">
        <v>3</v>
      </c>
      <c r="J310" s="1">
        <v>2</v>
      </c>
      <c r="K310" s="1">
        <v>1</v>
      </c>
      <c r="L310" s="1">
        <v>2</v>
      </c>
      <c r="M310" s="33">
        <v>3</v>
      </c>
      <c r="N310" s="1">
        <v>4</v>
      </c>
      <c r="O310" s="1">
        <v>5</v>
      </c>
      <c r="P310" s="1">
        <v>6</v>
      </c>
      <c r="Q310" s="1">
        <v>7</v>
      </c>
      <c r="R310" s="1">
        <v>8</v>
      </c>
      <c r="S310" s="12">
        <v>9</v>
      </c>
      <c r="T310" s="12" t="s">
        <v>14</v>
      </c>
    </row>
    <row r="311" spans="2:20" ht="15.4" x14ac:dyDescent="0.45">
      <c r="B311" s="17" t="s">
        <v>12</v>
      </c>
      <c r="C311" s="11">
        <v>9</v>
      </c>
      <c r="D311" s="1">
        <v>8</v>
      </c>
      <c r="E311" s="1">
        <v>7</v>
      </c>
      <c r="F311" s="1">
        <v>6</v>
      </c>
      <c r="G311" s="1">
        <v>5</v>
      </c>
      <c r="H311" s="33">
        <v>4</v>
      </c>
      <c r="I311" s="1">
        <v>3</v>
      </c>
      <c r="J311" s="1">
        <v>2</v>
      </c>
      <c r="K311" s="1">
        <v>1</v>
      </c>
      <c r="L311" s="1">
        <v>2</v>
      </c>
      <c r="M311" s="1">
        <v>3</v>
      </c>
      <c r="N311" s="1">
        <v>4</v>
      </c>
      <c r="O311" s="1">
        <v>5</v>
      </c>
      <c r="P311" s="1">
        <v>6</v>
      </c>
      <c r="Q311" s="1">
        <v>7</v>
      </c>
      <c r="R311" s="1">
        <v>8</v>
      </c>
      <c r="S311" s="12">
        <v>9</v>
      </c>
      <c r="T311" s="12" t="s">
        <v>15</v>
      </c>
    </row>
    <row r="312" spans="2:20" ht="15.4" x14ac:dyDescent="0.45">
      <c r="B312" s="17" t="s">
        <v>12</v>
      </c>
      <c r="C312" s="11">
        <v>9</v>
      </c>
      <c r="D312" s="1">
        <v>8</v>
      </c>
      <c r="E312" s="1">
        <v>7</v>
      </c>
      <c r="F312" s="1">
        <v>6</v>
      </c>
      <c r="G312" s="1">
        <v>5</v>
      </c>
      <c r="H312" s="1">
        <v>4</v>
      </c>
      <c r="I312" s="1">
        <v>3</v>
      </c>
      <c r="J312" s="1">
        <v>2</v>
      </c>
      <c r="K312" s="1">
        <v>1</v>
      </c>
      <c r="L312" s="33">
        <v>2</v>
      </c>
      <c r="M312" s="1">
        <v>3</v>
      </c>
      <c r="N312" s="1">
        <v>4</v>
      </c>
      <c r="O312" s="1">
        <v>5</v>
      </c>
      <c r="P312" s="1">
        <v>6</v>
      </c>
      <c r="Q312" s="1">
        <v>7</v>
      </c>
      <c r="R312" s="1">
        <v>8</v>
      </c>
      <c r="S312" s="12">
        <v>9</v>
      </c>
      <c r="T312" s="12" t="s">
        <v>16</v>
      </c>
    </row>
    <row r="313" spans="2:20" ht="15.4" x14ac:dyDescent="0.45">
      <c r="B313" s="17" t="s">
        <v>12</v>
      </c>
      <c r="C313" s="11">
        <v>9</v>
      </c>
      <c r="D313" s="1">
        <v>8</v>
      </c>
      <c r="E313" s="1">
        <v>7</v>
      </c>
      <c r="F313" s="1">
        <v>6</v>
      </c>
      <c r="G313" s="1">
        <v>5</v>
      </c>
      <c r="H313" s="1">
        <v>4</v>
      </c>
      <c r="I313" s="1">
        <v>3</v>
      </c>
      <c r="J313" s="1">
        <v>2</v>
      </c>
      <c r="K313" s="1">
        <v>1</v>
      </c>
      <c r="L313" s="33">
        <v>2</v>
      </c>
      <c r="M313" s="1">
        <v>3</v>
      </c>
      <c r="N313" s="1">
        <v>4</v>
      </c>
      <c r="O313" s="1">
        <v>5</v>
      </c>
      <c r="P313" s="1">
        <v>6</v>
      </c>
      <c r="Q313" s="1">
        <v>7</v>
      </c>
      <c r="R313" s="1">
        <v>8</v>
      </c>
      <c r="S313" s="12">
        <v>9</v>
      </c>
      <c r="T313" s="12" t="s">
        <v>17</v>
      </c>
    </row>
    <row r="314" spans="2:20" ht="15.4" x14ac:dyDescent="0.45">
      <c r="B314" s="19" t="s">
        <v>12</v>
      </c>
      <c r="C314" s="13">
        <v>9</v>
      </c>
      <c r="D314" s="14">
        <v>8</v>
      </c>
      <c r="E314" s="14">
        <v>7</v>
      </c>
      <c r="F314" s="14">
        <v>6</v>
      </c>
      <c r="G314" s="14">
        <v>5</v>
      </c>
      <c r="H314" s="14">
        <v>4</v>
      </c>
      <c r="I314" s="34">
        <v>3</v>
      </c>
      <c r="J314" s="14">
        <v>2</v>
      </c>
      <c r="K314" s="14">
        <v>1</v>
      </c>
      <c r="L314" s="14">
        <v>2</v>
      </c>
      <c r="M314" s="14">
        <v>3</v>
      </c>
      <c r="N314" s="14">
        <v>4</v>
      </c>
      <c r="O314" s="14">
        <v>5</v>
      </c>
      <c r="P314" s="14">
        <v>6</v>
      </c>
      <c r="Q314" s="14">
        <v>7</v>
      </c>
      <c r="R314" s="14">
        <v>8</v>
      </c>
      <c r="S314" s="15">
        <v>9</v>
      </c>
      <c r="T314" s="15" t="s">
        <v>18</v>
      </c>
    </row>
    <row r="315" spans="2:20" ht="15.4" x14ac:dyDescent="0.45">
      <c r="B315" s="16" t="s">
        <v>13</v>
      </c>
      <c r="C315" s="11">
        <v>9</v>
      </c>
      <c r="D315" s="1">
        <v>8</v>
      </c>
      <c r="E315" s="1">
        <v>7</v>
      </c>
      <c r="F315" s="1">
        <v>6</v>
      </c>
      <c r="G315" s="33">
        <v>5</v>
      </c>
      <c r="H315" s="1">
        <v>4</v>
      </c>
      <c r="I315" s="1">
        <v>3</v>
      </c>
      <c r="J315" s="1">
        <v>2</v>
      </c>
      <c r="K315" s="1">
        <v>1</v>
      </c>
      <c r="L315" s="1">
        <v>2</v>
      </c>
      <c r="M315" s="1">
        <v>3</v>
      </c>
      <c r="N315" s="1">
        <v>4</v>
      </c>
      <c r="O315" s="1">
        <v>5</v>
      </c>
      <c r="P315" s="1">
        <v>6</v>
      </c>
      <c r="Q315" s="1">
        <v>7</v>
      </c>
      <c r="R315" s="1">
        <v>8</v>
      </c>
      <c r="S315" s="12">
        <v>9</v>
      </c>
      <c r="T315" s="7" t="s">
        <v>14</v>
      </c>
    </row>
    <row r="316" spans="2:20" ht="15.4" x14ac:dyDescent="0.45">
      <c r="B316" s="17" t="s">
        <v>13</v>
      </c>
      <c r="C316" s="11">
        <v>9</v>
      </c>
      <c r="D316" s="1">
        <v>8</v>
      </c>
      <c r="E316" s="33">
        <v>7</v>
      </c>
      <c r="F316" s="1">
        <v>6</v>
      </c>
      <c r="G316" s="1">
        <v>5</v>
      </c>
      <c r="H316" s="1">
        <v>4</v>
      </c>
      <c r="I316" s="1">
        <v>3</v>
      </c>
      <c r="J316" s="1">
        <v>2</v>
      </c>
      <c r="K316" s="1">
        <v>1</v>
      </c>
      <c r="L316" s="1">
        <v>2</v>
      </c>
      <c r="M316" s="1">
        <v>3</v>
      </c>
      <c r="N316" s="1">
        <v>4</v>
      </c>
      <c r="O316" s="1">
        <v>5</v>
      </c>
      <c r="P316" s="1">
        <v>6</v>
      </c>
      <c r="Q316" s="1">
        <v>7</v>
      </c>
      <c r="R316" s="1">
        <v>8</v>
      </c>
      <c r="S316" s="12">
        <v>9</v>
      </c>
      <c r="T316" s="12" t="s">
        <v>15</v>
      </c>
    </row>
    <row r="317" spans="2:20" ht="15.4" x14ac:dyDescent="0.45">
      <c r="B317" s="17" t="s">
        <v>13</v>
      </c>
      <c r="C317" s="11">
        <v>9</v>
      </c>
      <c r="D317" s="1">
        <v>8</v>
      </c>
      <c r="E317" s="1">
        <v>7</v>
      </c>
      <c r="F317" s="1">
        <v>6</v>
      </c>
      <c r="G317" s="1">
        <v>5</v>
      </c>
      <c r="H317" s="1">
        <v>4</v>
      </c>
      <c r="I317" s="33">
        <v>3</v>
      </c>
      <c r="J317" s="1">
        <v>2</v>
      </c>
      <c r="K317" s="1">
        <v>1</v>
      </c>
      <c r="L317" s="1">
        <v>2</v>
      </c>
      <c r="M317" s="1">
        <v>3</v>
      </c>
      <c r="N317" s="1">
        <v>4</v>
      </c>
      <c r="O317" s="1">
        <v>5</v>
      </c>
      <c r="P317" s="1">
        <v>6</v>
      </c>
      <c r="Q317" s="1">
        <v>7</v>
      </c>
      <c r="R317" s="1">
        <v>8</v>
      </c>
      <c r="S317" s="12">
        <v>9</v>
      </c>
      <c r="T317" s="12" t="s">
        <v>16</v>
      </c>
    </row>
    <row r="318" spans="2:20" ht="15.4" x14ac:dyDescent="0.45">
      <c r="B318" s="17" t="s">
        <v>13</v>
      </c>
      <c r="C318" s="11">
        <v>9</v>
      </c>
      <c r="D318" s="1">
        <v>8</v>
      </c>
      <c r="E318" s="1">
        <v>7</v>
      </c>
      <c r="F318" s="1">
        <v>6</v>
      </c>
      <c r="G318" s="1">
        <v>5</v>
      </c>
      <c r="H318" s="1">
        <v>4</v>
      </c>
      <c r="I318" s="33">
        <v>3</v>
      </c>
      <c r="J318" s="1">
        <v>2</v>
      </c>
      <c r="K318" s="1">
        <v>1</v>
      </c>
      <c r="L318" s="1">
        <v>2</v>
      </c>
      <c r="M318" s="1">
        <v>3</v>
      </c>
      <c r="N318" s="1">
        <v>4</v>
      </c>
      <c r="O318" s="1">
        <v>5</v>
      </c>
      <c r="P318" s="1">
        <v>6</v>
      </c>
      <c r="Q318" s="1">
        <v>7</v>
      </c>
      <c r="R318" s="1">
        <v>8</v>
      </c>
      <c r="S318" s="12">
        <v>9</v>
      </c>
      <c r="T318" s="12" t="s">
        <v>17</v>
      </c>
    </row>
    <row r="319" spans="2:20" ht="15.4" x14ac:dyDescent="0.45">
      <c r="B319" s="17" t="s">
        <v>13</v>
      </c>
      <c r="C319" s="11">
        <v>9</v>
      </c>
      <c r="D319" s="1">
        <v>8</v>
      </c>
      <c r="E319" s="1">
        <v>7</v>
      </c>
      <c r="F319" s="1">
        <v>6</v>
      </c>
      <c r="G319" s="33">
        <v>5</v>
      </c>
      <c r="H319" s="1">
        <v>4</v>
      </c>
      <c r="I319" s="1">
        <v>3</v>
      </c>
      <c r="J319" s="1">
        <v>2</v>
      </c>
      <c r="K319" s="1">
        <v>1</v>
      </c>
      <c r="L319" s="1">
        <v>2</v>
      </c>
      <c r="M319" s="1">
        <v>3</v>
      </c>
      <c r="N319" s="1">
        <v>4</v>
      </c>
      <c r="O319" s="1">
        <v>5</v>
      </c>
      <c r="P319" s="1">
        <v>6</v>
      </c>
      <c r="Q319" s="1">
        <v>7</v>
      </c>
      <c r="R319" s="1">
        <v>8</v>
      </c>
      <c r="S319" s="12">
        <v>9</v>
      </c>
      <c r="T319" s="15" t="s">
        <v>18</v>
      </c>
    </row>
    <row r="320" spans="2:20" ht="15.4" x14ac:dyDescent="0.45">
      <c r="B320" s="4" t="s">
        <v>14</v>
      </c>
      <c r="C320" s="4">
        <v>9</v>
      </c>
      <c r="D320" s="5">
        <v>8</v>
      </c>
      <c r="E320" s="5">
        <v>7</v>
      </c>
      <c r="F320" s="5">
        <v>6</v>
      </c>
      <c r="G320" s="5">
        <v>5</v>
      </c>
      <c r="H320" s="5">
        <v>4</v>
      </c>
      <c r="I320" s="6">
        <v>3</v>
      </c>
      <c r="J320" s="5">
        <v>2</v>
      </c>
      <c r="K320" s="5">
        <v>1</v>
      </c>
      <c r="L320" s="5">
        <v>2</v>
      </c>
      <c r="M320" s="5">
        <v>3</v>
      </c>
      <c r="N320" s="5">
        <v>4</v>
      </c>
      <c r="O320" s="5">
        <v>5</v>
      </c>
      <c r="P320" s="5">
        <v>6</v>
      </c>
      <c r="Q320" s="5">
        <v>7</v>
      </c>
      <c r="R320" s="5">
        <v>8</v>
      </c>
      <c r="S320" s="7">
        <v>9</v>
      </c>
      <c r="T320" s="12" t="s">
        <v>15</v>
      </c>
    </row>
    <row r="321" spans="2:20" ht="15.4" x14ac:dyDescent="0.45">
      <c r="B321" s="11" t="s">
        <v>14</v>
      </c>
      <c r="C321" s="11">
        <v>9</v>
      </c>
      <c r="D321" s="1">
        <v>8</v>
      </c>
      <c r="E321" s="1">
        <v>7</v>
      </c>
      <c r="F321" s="1">
        <v>6</v>
      </c>
      <c r="G321" s="1">
        <v>5</v>
      </c>
      <c r="H321" s="1">
        <v>4</v>
      </c>
      <c r="I321" s="1">
        <v>3</v>
      </c>
      <c r="J321" s="1">
        <v>2</v>
      </c>
      <c r="K321" s="1">
        <v>1</v>
      </c>
      <c r="L321" s="1">
        <v>2</v>
      </c>
      <c r="M321" s="1">
        <v>3</v>
      </c>
      <c r="N321" s="1">
        <v>4</v>
      </c>
      <c r="O321" s="33">
        <v>5</v>
      </c>
      <c r="P321" s="1">
        <v>6</v>
      </c>
      <c r="Q321" s="1">
        <v>7</v>
      </c>
      <c r="R321" s="1">
        <v>8</v>
      </c>
      <c r="S321" s="12">
        <v>9</v>
      </c>
      <c r="T321" s="12" t="s">
        <v>16</v>
      </c>
    </row>
    <row r="322" spans="2:20" ht="15.4" x14ac:dyDescent="0.45">
      <c r="B322" s="11" t="s">
        <v>14</v>
      </c>
      <c r="C322" s="11">
        <v>9</v>
      </c>
      <c r="D322" s="1">
        <v>8</v>
      </c>
      <c r="E322" s="1">
        <v>7</v>
      </c>
      <c r="F322" s="1">
        <v>6</v>
      </c>
      <c r="G322" s="1">
        <v>5</v>
      </c>
      <c r="H322" s="1">
        <v>4</v>
      </c>
      <c r="I322" s="1">
        <v>3</v>
      </c>
      <c r="J322" s="1">
        <v>2</v>
      </c>
      <c r="K322" s="1">
        <v>1</v>
      </c>
      <c r="L322" s="1">
        <v>2</v>
      </c>
      <c r="M322" s="1">
        <v>3</v>
      </c>
      <c r="N322" s="1">
        <v>4</v>
      </c>
      <c r="O322" s="33">
        <v>5</v>
      </c>
      <c r="P322" s="1">
        <v>6</v>
      </c>
      <c r="Q322" s="1">
        <v>7</v>
      </c>
      <c r="R322" s="1">
        <v>8</v>
      </c>
      <c r="S322" s="12">
        <v>9</v>
      </c>
      <c r="T322" s="12" t="s">
        <v>17</v>
      </c>
    </row>
    <row r="323" spans="2:20" ht="15.4" x14ac:dyDescent="0.45">
      <c r="B323" s="13" t="s">
        <v>14</v>
      </c>
      <c r="C323" s="13">
        <v>9</v>
      </c>
      <c r="D323" s="14">
        <v>8</v>
      </c>
      <c r="E323" s="14">
        <v>7</v>
      </c>
      <c r="F323" s="14">
        <v>6</v>
      </c>
      <c r="G323" s="34">
        <v>5</v>
      </c>
      <c r="H323" s="14">
        <v>4</v>
      </c>
      <c r="I323" s="14">
        <v>3</v>
      </c>
      <c r="J323" s="14">
        <v>2</v>
      </c>
      <c r="K323" s="14">
        <v>1</v>
      </c>
      <c r="L323" s="14">
        <v>2</v>
      </c>
      <c r="M323" s="14">
        <v>3</v>
      </c>
      <c r="N323" s="14">
        <v>4</v>
      </c>
      <c r="O323" s="14">
        <v>5</v>
      </c>
      <c r="P323" s="14">
        <v>6</v>
      </c>
      <c r="Q323" s="14">
        <v>7</v>
      </c>
      <c r="R323" s="14">
        <v>8</v>
      </c>
      <c r="S323" s="15">
        <v>9</v>
      </c>
      <c r="T323" s="15" t="s">
        <v>18</v>
      </c>
    </row>
    <row r="324" spans="2:20" ht="15.4" x14ac:dyDescent="0.45">
      <c r="B324" s="16" t="s">
        <v>15</v>
      </c>
      <c r="C324" s="11">
        <v>9</v>
      </c>
      <c r="D324" s="1">
        <v>8</v>
      </c>
      <c r="E324" s="1">
        <v>7</v>
      </c>
      <c r="F324" s="1">
        <v>6</v>
      </c>
      <c r="G324" s="1">
        <v>5</v>
      </c>
      <c r="H324" s="1">
        <v>4</v>
      </c>
      <c r="I324" s="1">
        <v>3</v>
      </c>
      <c r="J324" s="1">
        <v>2</v>
      </c>
      <c r="K324" s="1">
        <v>1</v>
      </c>
      <c r="L324" s="1">
        <v>2</v>
      </c>
      <c r="M324" s="1">
        <v>3</v>
      </c>
      <c r="N324" s="1">
        <v>4</v>
      </c>
      <c r="O324" s="1">
        <v>5</v>
      </c>
      <c r="P324" s="33">
        <v>6</v>
      </c>
      <c r="Q324" s="1">
        <v>7</v>
      </c>
      <c r="R324" s="1">
        <v>8</v>
      </c>
      <c r="S324" s="12">
        <v>9</v>
      </c>
      <c r="T324" s="12" t="s">
        <v>16</v>
      </c>
    </row>
    <row r="325" spans="2:20" ht="15.4" x14ac:dyDescent="0.45">
      <c r="B325" s="17" t="s">
        <v>15</v>
      </c>
      <c r="C325" s="11">
        <v>9</v>
      </c>
      <c r="D325" s="1">
        <v>8</v>
      </c>
      <c r="E325" s="1">
        <v>7</v>
      </c>
      <c r="F325" s="1">
        <v>6</v>
      </c>
      <c r="G325" s="1">
        <v>5</v>
      </c>
      <c r="H325" s="1">
        <v>4</v>
      </c>
      <c r="I325" s="1">
        <v>3</v>
      </c>
      <c r="J325" s="1">
        <v>2</v>
      </c>
      <c r="K325" s="1">
        <v>1</v>
      </c>
      <c r="L325" s="1">
        <v>2</v>
      </c>
      <c r="M325" s="1">
        <v>3</v>
      </c>
      <c r="N325" s="1">
        <v>4</v>
      </c>
      <c r="O325" s="1">
        <v>5</v>
      </c>
      <c r="P325" s="33">
        <v>6</v>
      </c>
      <c r="Q325" s="1">
        <v>7</v>
      </c>
      <c r="R325" s="1">
        <v>8</v>
      </c>
      <c r="S325" s="12">
        <v>9</v>
      </c>
      <c r="T325" s="12" t="s">
        <v>17</v>
      </c>
    </row>
    <row r="326" spans="2:20" ht="15.4" x14ac:dyDescent="0.45">
      <c r="B326" s="19" t="s">
        <v>15</v>
      </c>
      <c r="C326" s="13">
        <v>9</v>
      </c>
      <c r="D326" s="14">
        <v>8</v>
      </c>
      <c r="E326" s="14">
        <v>7</v>
      </c>
      <c r="F326" s="14">
        <v>6</v>
      </c>
      <c r="G326" s="14">
        <v>5</v>
      </c>
      <c r="H326" s="14">
        <v>4</v>
      </c>
      <c r="I326" s="14">
        <v>3</v>
      </c>
      <c r="J326" s="34">
        <v>2</v>
      </c>
      <c r="K326" s="14">
        <v>1</v>
      </c>
      <c r="L326" s="14">
        <v>2</v>
      </c>
      <c r="M326" s="14">
        <v>3</v>
      </c>
      <c r="N326" s="14">
        <v>4</v>
      </c>
      <c r="O326" s="14">
        <v>5</v>
      </c>
      <c r="P326" s="14">
        <v>6</v>
      </c>
      <c r="Q326" s="14">
        <v>7</v>
      </c>
      <c r="R326" s="14">
        <v>8</v>
      </c>
      <c r="S326" s="15">
        <v>9</v>
      </c>
      <c r="T326" s="15" t="s">
        <v>18</v>
      </c>
    </row>
    <row r="327" spans="2:20" ht="15.4" x14ac:dyDescent="0.45">
      <c r="B327" s="16" t="s">
        <v>16</v>
      </c>
      <c r="C327" s="11">
        <v>9</v>
      </c>
      <c r="D327" s="1">
        <v>8</v>
      </c>
      <c r="E327" s="1">
        <v>7</v>
      </c>
      <c r="F327" s="1">
        <v>6</v>
      </c>
      <c r="G327" s="1">
        <v>5</v>
      </c>
      <c r="H327" s="1">
        <v>4</v>
      </c>
      <c r="I327" s="1">
        <v>3</v>
      </c>
      <c r="J327" s="1">
        <v>2</v>
      </c>
      <c r="K327" s="33">
        <v>1</v>
      </c>
      <c r="L327" s="1">
        <v>2</v>
      </c>
      <c r="M327" s="1">
        <v>3</v>
      </c>
      <c r="N327" s="1">
        <v>4</v>
      </c>
      <c r="O327" s="1">
        <v>5</v>
      </c>
      <c r="P327" s="1">
        <v>6</v>
      </c>
      <c r="Q327" s="1">
        <v>7</v>
      </c>
      <c r="R327" s="1">
        <v>8</v>
      </c>
      <c r="S327" s="12">
        <v>9</v>
      </c>
      <c r="T327" s="7" t="s">
        <v>17</v>
      </c>
    </row>
    <row r="328" spans="2:20" ht="15.4" x14ac:dyDescent="0.45">
      <c r="B328" s="19" t="s">
        <v>16</v>
      </c>
      <c r="C328" s="13">
        <v>9</v>
      </c>
      <c r="D328" s="14">
        <v>8</v>
      </c>
      <c r="E328" s="34">
        <v>7</v>
      </c>
      <c r="F328" s="14">
        <v>6</v>
      </c>
      <c r="G328" s="14">
        <v>5</v>
      </c>
      <c r="H328" s="14">
        <v>4</v>
      </c>
      <c r="I328" s="14">
        <v>3</v>
      </c>
      <c r="J328" s="14">
        <v>2</v>
      </c>
      <c r="K328" s="14">
        <v>1</v>
      </c>
      <c r="L328" s="14">
        <v>2</v>
      </c>
      <c r="M328" s="14">
        <v>3</v>
      </c>
      <c r="N328" s="14">
        <v>4</v>
      </c>
      <c r="O328" s="14">
        <v>5</v>
      </c>
      <c r="P328" s="14">
        <v>6</v>
      </c>
      <c r="Q328" s="14">
        <v>7</v>
      </c>
      <c r="R328" s="14">
        <v>8</v>
      </c>
      <c r="S328" s="15">
        <v>9</v>
      </c>
      <c r="T328" s="15" t="s">
        <v>18</v>
      </c>
    </row>
    <row r="329" spans="2:20" ht="15.4" x14ac:dyDescent="0.45">
      <c r="B329" s="3" t="s">
        <v>17</v>
      </c>
      <c r="C329" s="13">
        <v>9</v>
      </c>
      <c r="D329" s="14">
        <v>8</v>
      </c>
      <c r="E329" s="34">
        <v>7</v>
      </c>
      <c r="F329" s="14">
        <v>6</v>
      </c>
      <c r="G329" s="14">
        <v>5</v>
      </c>
      <c r="H329" s="14">
        <v>4</v>
      </c>
      <c r="I329" s="14">
        <v>3</v>
      </c>
      <c r="J329" s="14">
        <v>2</v>
      </c>
      <c r="K329" s="14">
        <v>1</v>
      </c>
      <c r="L329" s="14">
        <v>2</v>
      </c>
      <c r="M329" s="14">
        <v>3</v>
      </c>
      <c r="N329" s="14">
        <v>4</v>
      </c>
      <c r="O329" s="14">
        <v>5</v>
      </c>
      <c r="P329" s="14">
        <v>6</v>
      </c>
      <c r="Q329" s="14">
        <v>7</v>
      </c>
      <c r="R329" s="14">
        <v>8</v>
      </c>
      <c r="S329" s="15">
        <v>9</v>
      </c>
      <c r="T329" s="15" t="s">
        <v>18</v>
      </c>
    </row>
  </sheetData>
  <mergeCells count="15"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  <mergeCell ref="B111:T111"/>
    <mergeCell ref="B1:T1"/>
    <mergeCell ref="B2:T2"/>
    <mergeCell ref="B3:B4"/>
    <mergeCell ref="C3:S3"/>
    <mergeCell ref="T3:T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8899-6BFF-48D9-8A20-AA14CB9FBBBA}">
  <dimension ref="A1:R124"/>
  <sheetViews>
    <sheetView topLeftCell="A36" zoomScale="60" zoomScaleNormal="90" workbookViewId="0">
      <selection activeCell="A109" sqref="A109"/>
    </sheetView>
  </sheetViews>
  <sheetFormatPr defaultRowHeight="15.75" x14ac:dyDescent="0.5"/>
  <cols>
    <col min="1" max="1" width="36.8125" bestFit="1" customWidth="1"/>
    <col min="2" max="2" width="10.625" customWidth="1"/>
  </cols>
  <sheetData>
    <row r="1" spans="1:16" x14ac:dyDescent="0.5">
      <c r="A1" s="6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16" x14ac:dyDescent="0.5">
      <c r="A2" s="2" t="s">
        <v>4</v>
      </c>
      <c r="B2" s="3">
        <v>1</v>
      </c>
      <c r="C2" s="3">
        <f>GEOMEAN('NORMALISASI % KERUSAKAN GEDUNG'!X6,'NORMALISASI % KERUSAKAN GEDUNG'!X116,'NORMALISASI % KERUSAKAN GEDUNG'!X226)</f>
        <v>0.30285343213868993</v>
      </c>
      <c r="D2" s="3">
        <f>GEOMEAN('NORMALISASI % KERUSAKAN GEDUNG'!Y6,'NORMALISASI % KERUSAKAN GEDUNG'!Y116,'NORMALISASI % KERUSAKAN GEDUNG'!Y226)</f>
        <v>1.040041911525952</v>
      </c>
      <c r="E2" s="3">
        <f>GEOMEAN('NORMALISASI % KERUSAKAN GEDUNG'!Z6,'NORMALISASI % KERUSAKAN GEDUNG'!Z116,'NORMALISASI % KERUSAKAN GEDUNG'!Z226)</f>
        <v>3.9148676411688634</v>
      </c>
      <c r="F2" s="3">
        <f>GEOMEAN('NORMALISASI % KERUSAKAN GEDUNG'!AA6,'NORMALISASI % KERUSAKAN GEDUNG'!AA116,'NORMALISASI % KERUSAKAN GEDUNG'!AA226)</f>
        <v>6.3163595976563789</v>
      </c>
      <c r="G2" s="3">
        <f>GEOMEAN('NORMALISASI % KERUSAKAN GEDUNG'!AB6,'NORMALISASI % KERUSAKAN GEDUNG'!AB116,'NORMALISASI % KERUSAKAN GEDUNG'!AB226)</f>
        <v>5.6462161732861711</v>
      </c>
      <c r="H2" s="3">
        <f>GEOMEAN('NORMALISASI % KERUSAKAN GEDUNG'!AC6,'NORMALISASI % KERUSAKAN GEDUNG'!AC116,'NORMALISASI % KERUSAKAN GEDUNG'!AC226)</f>
        <v>0.24037492838456806</v>
      </c>
      <c r="I2" s="3">
        <f>GEOMEAN('NORMALISASI % KERUSAKAN GEDUNG'!AD6,'NORMALISASI % KERUSAKAN GEDUNG'!AD116,'NORMALISASI % KERUSAKAN GEDUNG'!AD226)</f>
        <v>0.20274006651911333</v>
      </c>
      <c r="J2" s="3">
        <f>GEOMEAN('NORMALISASI % KERUSAKAN GEDUNG'!AE6,'NORMALISASI % KERUSAKAN GEDUNG'!AE116,'NORMALISASI % KERUSAKAN GEDUNG'!AE226)</f>
        <v>0.48528550064051729</v>
      </c>
      <c r="K2" s="3">
        <f>GEOMEAN('NORMALISASI % KERUSAKAN GEDUNG'!AF6,'NORMALISASI % KERUSAKAN GEDUNG'!AF116,'NORMALISASI % KERUSAKAN GEDUNG'!AF226)</f>
        <v>0.24264275032025864</v>
      </c>
      <c r="L2" s="3">
        <f>GEOMEAN('NORMALISASI % KERUSAKAN GEDUNG'!AG6,'NORMALISASI % KERUSAKAN GEDUNG'!AG116,'NORMALISASI % KERUSAKAN GEDUNG'!AG226)</f>
        <v>0.2283355701981471</v>
      </c>
      <c r="M2" s="3">
        <f>GEOMEAN('NORMALISASI % KERUSAKAN GEDUNG'!AH6,'NORMALISASI % KERUSAKAN GEDUNG'!AH116,'NORMALISASI % KERUSAKAN GEDUNG'!AH226)</f>
        <v>0.79370052598409979</v>
      </c>
      <c r="N2" s="3">
        <f>GEOMEAN('NORMALISASI % KERUSAKAN GEDUNG'!AI6,'NORMALISASI % KERUSAKAN GEDUNG'!AI116,'NORMALISASI % KERUSAKAN GEDUNG'!AI226)</f>
        <v>0.2283355701981471</v>
      </c>
      <c r="O2" s="3">
        <f>GEOMEAN('NORMALISASI % KERUSAKAN GEDUNG'!AJ6,'NORMALISASI % KERUSAKAN GEDUNG'!AJ116,'NORMALISASI % KERUSAKAN GEDUNG'!AJ226)</f>
        <v>0.18123006216714868</v>
      </c>
      <c r="P2" s="3">
        <f>GEOMEAN('NORMALISASI % KERUSAKAN GEDUNG'!AK6,'NORMALISASI % KERUSAKAN GEDUNG'!AK116,'NORMALISASI % KERUSAKAN GEDUNG'!AK226)</f>
        <v>1.2164403991146802</v>
      </c>
    </row>
    <row r="3" spans="1:16" x14ac:dyDescent="0.5">
      <c r="A3" s="2" t="s">
        <v>5</v>
      </c>
      <c r="B3" s="3">
        <f>1/C2</f>
        <v>3.3019272488946267</v>
      </c>
      <c r="C3" s="3">
        <v>1</v>
      </c>
      <c r="D3" s="3">
        <f>GEOMEAN('NORMALISASI % KERUSAKAN GEDUNG'!Y7,'NORMALISASI % KERUSAKAN GEDUNG'!Y117,'NORMALISASI % KERUSAKAN GEDUNG'!Y227)</f>
        <v>0.79370052598409979</v>
      </c>
      <c r="E3" s="3">
        <f>GEOMEAN('NORMALISASI % KERUSAKAN GEDUNG'!Z7,'NORMALISASI % KERUSAKAN GEDUNG'!Z117,'NORMALISASI % KERUSAKAN GEDUNG'!Z227)</f>
        <v>4.1601676461038082</v>
      </c>
      <c r="F3" s="3">
        <f>GEOMEAN('NORMALISASI % KERUSAKAN GEDUNG'!AA7,'NORMALISASI % KERUSAKAN GEDUNG'!AA117,'NORMALISASI % KERUSAKAN GEDUNG'!AA227)</f>
        <v>5.1299278400300912</v>
      </c>
      <c r="G3" s="3">
        <f>GEOMEAN('NORMALISASI % KERUSAKAN GEDUNG'!AB7,'NORMALISASI % KERUSAKAN GEDUNG'!AB117,'NORMALISASI % KERUSAKAN GEDUNG'!AB227)</f>
        <v>4.7622031559045981</v>
      </c>
      <c r="H3" s="3">
        <f>GEOMEAN('NORMALISASI % KERUSAKAN GEDUNG'!AC7,'NORMALISASI % KERUSAKAN GEDUNG'!AC117,'NORMALISASI % KERUSAKAN GEDUNG'!AC227)</f>
        <v>0.57235712127666594</v>
      </c>
      <c r="I3" s="3">
        <f>GEOMEAN('NORMALISASI % KERUSAKAN GEDUNG'!AD7,'NORMALISASI % KERUSAKAN GEDUNG'!AD117,'NORMALISASI % KERUSAKAN GEDUNG'!AD227)</f>
        <v>0.58480354764257325</v>
      </c>
      <c r="J3" s="3">
        <f>GEOMEAN('NORMALISASI % KERUSAKAN GEDUNG'!AE7,'NORMALISASI % KERUSAKAN GEDUNG'!AE117,'NORMALISASI % KERUSAKAN GEDUNG'!AE227)</f>
        <v>0.73680629972807732</v>
      </c>
      <c r="K3" s="3">
        <f>GEOMEAN('NORMALISASI % KERUSAKAN GEDUNG'!AF7,'NORMALISASI % KERUSAKAN GEDUNG'!AF117,'NORMALISASI % KERUSAKAN GEDUNG'!AF227)</f>
        <v>0.34668063717531733</v>
      </c>
      <c r="L3" s="3">
        <f>GEOMEAN('NORMALISASI % KERUSAKAN GEDUNG'!AG7,'NORMALISASI % KERUSAKAN GEDUNG'!AG117,'NORMALISASI % KERUSAKAN GEDUNG'!AG227)</f>
        <v>0.46415888336127792</v>
      </c>
      <c r="M3" s="3">
        <f>GEOMEAN('NORMALISASI % KERUSAKAN GEDUNG'!AH7,'NORMALISASI % KERUSAKAN GEDUNG'!AH117,'NORMALISASI % KERUSAKAN GEDUNG'!AH227)</f>
        <v>3.3019272488946267</v>
      </c>
      <c r="N3" s="3">
        <f>GEOMEAN('NORMALISASI % KERUSAKAN GEDUNG'!AI7,'NORMALISASI % KERUSAKAN GEDUNG'!AI117,'NORMALISASI % KERUSAKAN GEDUNG'!AI227)</f>
        <v>0.53132928459130557</v>
      </c>
      <c r="O3" s="3">
        <f>GEOMEAN('NORMALISASI % KERUSAKAN GEDUNG'!AJ7,'NORMALISASI % KERUSAKAN GEDUNG'!AJ117,'NORMALISASI % KERUSAKAN GEDUNG'!AJ227)</f>
        <v>0.51087295492903539</v>
      </c>
      <c r="P3" s="3">
        <f>GEOMEAN('NORMALISASI % KERUSAKAN GEDUNG'!AK7,'NORMALISASI % KERUSAKAN GEDUNG'!AK117,'NORMALISASI % KERUSAKAN GEDUNG'!AK227)</f>
        <v>3.9148676411688634</v>
      </c>
    </row>
    <row r="4" spans="1:16" x14ac:dyDescent="0.5">
      <c r="A4" s="2" t="s">
        <v>6</v>
      </c>
      <c r="B4" s="3">
        <f>1/D2</f>
        <v>0.96149971353827224</v>
      </c>
      <c r="C4" s="3">
        <f>1/D3</f>
        <v>1.259921049894873</v>
      </c>
      <c r="D4" s="3">
        <v>1</v>
      </c>
      <c r="E4" s="3">
        <f>GEOMEAN('NORMALISASI % KERUSAKAN GEDUNG'!Z8,'NORMALISASI % KERUSAKAN GEDUNG'!Z118,'NORMALISASI % KERUSAKAN GEDUNG'!Z228)</f>
        <v>4.3088693800637676</v>
      </c>
      <c r="F4" s="3">
        <f>GEOMEAN('NORMALISASI % KERUSAKAN GEDUNG'!AA8,'NORMALISASI % KERUSAKAN GEDUNG'!AA118,'NORMALISASI % KERUSAKAN GEDUNG'!AA228)</f>
        <v>5.6462161732861711</v>
      </c>
      <c r="G4" s="3">
        <f>GEOMEAN('NORMALISASI % KERUSAKAN GEDUNG'!AB8,'NORMALISASI % KERUSAKAN GEDUNG'!AB118,'NORMALISASI % KERUSAKAN GEDUNG'!AB228)</f>
        <v>4.3267487109222253</v>
      </c>
      <c r="H4" s="3">
        <f>GEOMEAN('NORMALISASI % KERUSAKAN GEDUNG'!AC8,'NORMALISASI % KERUSAKAN GEDUNG'!AC118,'NORMALISASI % KERUSAKAN GEDUNG'!AC228)</f>
        <v>0.33333333333333331</v>
      </c>
      <c r="I4" s="3">
        <f>GEOMEAN('NORMALISASI % KERUSAKAN GEDUNG'!AD8,'NORMALISASI % KERUSAKAN GEDUNG'!AD118,'NORMALISASI % KERUSAKAN GEDUNG'!AD228)</f>
        <v>2.0800838230519041</v>
      </c>
      <c r="J4" s="3">
        <f>GEOMEAN('NORMALISASI % KERUSAKAN GEDUNG'!AE8,'NORMALISASI % KERUSAKAN GEDUNG'!AE118,'NORMALISASI % KERUSAKAN GEDUNG'!AE228)</f>
        <v>3.3019272488946267</v>
      </c>
      <c r="K4" s="3">
        <f>GEOMEAN('NORMALISASI % KERUSAKAN GEDUNG'!AF8,'NORMALISASI % KERUSAKAN GEDUNG'!AF118,'NORMALISASI % KERUSAKAN GEDUNG'!AF228)</f>
        <v>0.79370052598409979</v>
      </c>
      <c r="L4" s="3">
        <f>GEOMEAN('NORMALISASI % KERUSAKAN GEDUNG'!AG8,'NORMALISASI % KERUSAKAN GEDUNG'!AG118,'NORMALISASI % KERUSAKAN GEDUNG'!AG228)</f>
        <v>1.2599210498948732</v>
      </c>
      <c r="M4" s="3">
        <f>GEOMEAN('NORMALISASI % KERUSAKAN GEDUNG'!AH8,'NORMALISASI % KERUSAKAN GEDUNG'!AH118,'NORMALISASI % KERUSAKAN GEDUNG'!AH228)</f>
        <v>3.6342411856642793</v>
      </c>
      <c r="N4" s="3">
        <f>GEOMEAN('NORMALISASI % KERUSAKAN GEDUNG'!AI8,'NORMALISASI % KERUSAKAN GEDUNG'!AI118,'NORMALISASI % KERUSAKAN GEDUNG'!AI228)</f>
        <v>1.1447142425533319</v>
      </c>
      <c r="O4" s="3">
        <f>GEOMEAN('NORMALISASI % KERUSAKAN GEDUNG'!AJ8,'NORMALISASI % KERUSAKAN GEDUNG'!AJ118,'NORMALISASI % KERUSAKAN GEDUNG'!AJ228)</f>
        <v>0.38157141418444396</v>
      </c>
      <c r="P4" s="3">
        <f>GEOMEAN('NORMALISASI % KERUSAKAN GEDUNG'!AK8,'NORMALISASI % KERUSAKAN GEDUNG'!AK118,'NORMALISASI % KERUSAKAN GEDUNG'!AK228)</f>
        <v>1.7380133224432248</v>
      </c>
    </row>
    <row r="5" spans="1:16" x14ac:dyDescent="0.5">
      <c r="A5" s="2" t="s">
        <v>7</v>
      </c>
      <c r="B5" s="3">
        <f>1/E2</f>
        <v>0.2554364774645177</v>
      </c>
      <c r="C5" s="3">
        <f>1/E3</f>
        <v>0.24037492838456806</v>
      </c>
      <c r="D5" s="3">
        <f>1/E4</f>
        <v>0.23207944168063893</v>
      </c>
      <c r="E5" s="3">
        <v>1</v>
      </c>
      <c r="F5" s="3">
        <f>GEOMEAN('NORMALISASI % KERUSAKAN GEDUNG'!AA9,'NORMALISASI % KERUSAKAN GEDUNG'!AA119,'NORMALISASI % KERUSAKAN GEDUNG'!AA229)</f>
        <v>4.1601676461038082</v>
      </c>
      <c r="G5" s="3">
        <f>GEOMEAN('NORMALISASI % KERUSAKAN GEDUNG'!AB9,'NORMALISASI % KERUSAKAN GEDUNG'!AB119,'NORMALISASI % KERUSAKAN GEDUNG'!AB229)</f>
        <v>2.0800838230519041</v>
      </c>
      <c r="H5" s="3">
        <f>GEOMEAN('NORMALISASI % KERUSAKAN GEDUNG'!AC9,'NORMALISASI % KERUSAKAN GEDUNG'!AC119,'NORMALISASI % KERUSAKAN GEDUNG'!AC229)</f>
        <v>0.21839511618407473</v>
      </c>
      <c r="I5" s="3">
        <f>GEOMEAN('NORMALISASI % KERUSAKAN GEDUNG'!AD9,'NORMALISASI % KERUSAKAN GEDUNG'!AD119,'NORMALISASI % KERUSAKAN GEDUNG'!AD229)</f>
        <v>0.2554364774645177</v>
      </c>
      <c r="J5" s="3">
        <f>GEOMEAN('NORMALISASI % KERUSAKAN GEDUNG'!AE9,'NORMALISASI % KERUSAKAN GEDUNG'!AE119,'NORMALISASI % KERUSAKAN GEDUNG'!AE229)</f>
        <v>0.29240177382128663</v>
      </c>
      <c r="K5" s="3">
        <f>GEOMEAN('NORMALISASI % KERUSAKAN GEDUNG'!AF9,'NORMALISASI % KERUSAKAN GEDUNG'!AF119,'NORMALISASI % KERUSAKAN GEDUNG'!AF229)</f>
        <v>0.25131581370971795</v>
      </c>
      <c r="L5" s="3">
        <f>GEOMEAN('NORMALISASI % KERUSAKAN GEDUNG'!AG9,'NORMALISASI % KERUSAKAN GEDUNG'!AG119,'NORMALISASI % KERUSAKAN GEDUNG'!AG229)</f>
        <v>0.2283355701981471</v>
      </c>
      <c r="M5" s="3">
        <f>GEOMEAN('NORMALISASI % KERUSAKAN GEDUNG'!AH9,'NORMALISASI % KERUSAKAN GEDUNG'!AH119,'NORMALISASI % KERUSAKAN GEDUNG'!AH229)</f>
        <v>0.79370052598409979</v>
      </c>
      <c r="N5" s="3">
        <f>GEOMEAN('NORMALISASI % KERUSAKAN GEDUNG'!AI9,'NORMALISASI % KERUSAKAN GEDUNG'!AI119,'NORMALISASI % KERUSAKAN GEDUNG'!AI229)</f>
        <v>0.19078570709222198</v>
      </c>
      <c r="O5" s="3">
        <f>GEOMEAN('NORMALISASI % KERUSAKAN GEDUNG'!AJ9,'NORMALISASI % KERUSAKAN GEDUNG'!AJ119,'NORMALISASI % KERUSAKAN GEDUNG'!AJ229)</f>
        <v>0.18820720577620573</v>
      </c>
      <c r="P5" s="3">
        <f>GEOMEAN('NORMALISASI % KERUSAKAN GEDUNG'!AK9,'NORMALISASI % KERUSAKAN GEDUNG'!AK119,'NORMALISASI % KERUSAKAN GEDUNG'!AK229)</f>
        <v>0.40824829046386302</v>
      </c>
    </row>
    <row r="6" spans="1:16" x14ac:dyDescent="0.5">
      <c r="A6" s="2" t="s">
        <v>8</v>
      </c>
      <c r="B6" s="3">
        <f>1/F2</f>
        <v>0.15831904193216609</v>
      </c>
      <c r="C6" s="3">
        <f>1/F3</f>
        <v>0.19493451588085772</v>
      </c>
      <c r="D6" s="3">
        <f>1/F4</f>
        <v>0.17710976153043517</v>
      </c>
      <c r="E6" s="3">
        <f>1/F5</f>
        <v>0.24037492838456806</v>
      </c>
      <c r="F6" s="3">
        <v>1</v>
      </c>
      <c r="G6" s="3">
        <f>GEOMEAN('NORMALISASI % KERUSAKAN GEDUNG'!AB10,'NORMALISASI % KERUSAKAN GEDUNG'!AB120,'NORMALISASI % KERUSAKAN GEDUNG'!AB230)</f>
        <v>0.87358046473629891</v>
      </c>
      <c r="H6" s="3">
        <f>GEOMEAN('NORMALISASI % KERUSAKAN GEDUNG'!AC10,'NORMALISASI % KERUSAKAN GEDUNG'!AC120,'NORMALISASI % KERUSAKAN GEDUNG'!AC230)</f>
        <v>0.1771097615304352</v>
      </c>
      <c r="I6" s="3">
        <f>GEOMEAN('NORMALISASI % KERUSAKAN GEDUNG'!AD10,'NORMALISASI % KERUSAKAN GEDUNG'!AD120,'NORMALISASI % KERUSAKAN GEDUNG'!AD230)</f>
        <v>0.16441413828869803</v>
      </c>
      <c r="J6" s="3">
        <f>GEOMEAN('NORMALISASI % KERUSAKAN GEDUNG'!AE10,'NORMALISASI % KERUSAKAN GEDUNG'!AE120,'NORMALISASI % KERUSAKAN GEDUNG'!AE230)</f>
        <v>0.22314431669405652</v>
      </c>
      <c r="K6" s="3">
        <f>GEOMEAN('NORMALISASI % KERUSAKAN GEDUNG'!AF10,'NORMALISASI % KERUSAKAN GEDUNG'!AF120,'NORMALISASI % KERUSAKAN GEDUNG'!AF230)</f>
        <v>0.15471962778709264</v>
      </c>
      <c r="L6" s="3">
        <f>GEOMEAN('NORMALISASI % KERUSAKAN GEDUNG'!AG10,'NORMALISASI % KERUSAKAN GEDUNG'!AG120,'NORMALISASI % KERUSAKAN GEDUNG'!AG230)</f>
        <v>0.15831904193216609</v>
      </c>
      <c r="M6" s="3">
        <f>GEOMEAN('NORMALISASI % KERUSAKAN GEDUNG'!AH10,'NORMALISASI % KERUSAKAN GEDUNG'!AH120,'NORMALISASI % KERUSAKAN GEDUNG'!AH230)</f>
        <v>0.19078570709222198</v>
      </c>
      <c r="N6" s="3">
        <f>GEOMEAN('NORMALISASI % KERUSAKAN GEDUNG'!AI10,'NORMALISASI % KERUSAKAN GEDUNG'!AI120,'NORMALISASI % KERUSAKAN GEDUNG'!AI230)</f>
        <v>0.16666666666666666</v>
      </c>
      <c r="O6" s="3">
        <f>GEOMEAN('NORMALISASI % KERUSAKAN GEDUNG'!AJ10,'NORMALISASI % KERUSAKAN GEDUNG'!AJ120,'NORMALISASI % KERUSAKAN GEDUNG'!AJ230)</f>
        <v>0.15471962778709264</v>
      </c>
      <c r="P6" s="3">
        <f>GEOMEAN('NORMALISASI % KERUSAKAN GEDUNG'!AK10,'NORMALISASI % KERUSAKAN GEDUNG'!AK120,'NORMALISASI % KERUSAKAN GEDUNG'!AK230)</f>
        <v>0.15471962778709264</v>
      </c>
    </row>
    <row r="7" spans="1:16" x14ac:dyDescent="0.5">
      <c r="A7" s="2" t="s">
        <v>9</v>
      </c>
      <c r="B7" s="3">
        <f>1/G2</f>
        <v>0.17710976153043517</v>
      </c>
      <c r="C7" s="3">
        <f>1/G3</f>
        <v>0.20998684164914555</v>
      </c>
      <c r="D7" s="3">
        <f>1/G4</f>
        <v>0.23112042478354489</v>
      </c>
      <c r="E7" s="3">
        <f>1/G5</f>
        <v>0.48074985676913612</v>
      </c>
      <c r="F7" s="3">
        <f>1/G6</f>
        <v>1.1447142425533319</v>
      </c>
      <c r="G7" s="3">
        <v>1</v>
      </c>
      <c r="H7" s="3">
        <f>GEOMEAN('NORMALISASI % KERUSAKAN GEDUNG'!AC11,'NORMALISASI % KERUSAKAN GEDUNG'!AC121,'NORMALISASI % KERUSAKAN GEDUNG'!AC231)</f>
        <v>0.23112042478354489</v>
      </c>
      <c r="I7" s="3">
        <f>GEOMEAN('NORMALISASI % KERUSAKAN GEDUNG'!AD11,'NORMALISASI % KERUSAKAN GEDUNG'!AD121,'NORMALISASI % KERUSAKAN GEDUNG'!AD231)</f>
        <v>0.19493451588085772</v>
      </c>
      <c r="J7" s="3">
        <f>GEOMEAN('NORMALISASI % KERUSAKAN GEDUNG'!AE11,'NORMALISASI % KERUSAKAN GEDUNG'!AE121,'NORMALISASI % KERUSAKAN GEDUNG'!AE231)</f>
        <v>0.22314431669405652</v>
      </c>
      <c r="K7" s="3">
        <f>GEOMEAN('NORMALISASI % KERUSAKAN GEDUNG'!AF11,'NORMALISASI % KERUSAKAN GEDUNG'!AF121,'NORMALISASI % KERUSAKAN GEDUNG'!AF231)</f>
        <v>0.15831904193216609</v>
      </c>
      <c r="L7" s="3">
        <f>GEOMEAN('NORMALISASI % KERUSAKAN GEDUNG'!AG11,'NORMALISASI % KERUSAKAN GEDUNG'!AG121,'NORMALISASI % KERUSAKAN GEDUNG'!AG231)</f>
        <v>0.16666666666666666</v>
      </c>
      <c r="M7" s="3">
        <f>GEOMEAN('NORMALISASI % KERUSAKAN GEDUNG'!AH11,'NORMALISASI % KERUSAKAN GEDUNG'!AH121,'NORMALISASI % KERUSAKAN GEDUNG'!AH231)</f>
        <v>0.22314431669405652</v>
      </c>
      <c r="N7" s="3">
        <f>GEOMEAN('NORMALISASI % KERUSAKAN GEDUNG'!AI11,'NORMALISASI % KERUSAKAN GEDUNG'!AI121,'NORMALISASI % KERUSAKAN GEDUNG'!AI231)</f>
        <v>0.19078570709222198</v>
      </c>
      <c r="O7" s="3">
        <f>GEOMEAN('NORMALISASI % KERUSAKAN GEDUNG'!AJ11,'NORMALISASI % KERUSAKAN GEDUNG'!AJ121,'NORMALISASI % KERUSAKAN GEDUNG'!AJ231)</f>
        <v>0.15831904193216609</v>
      </c>
      <c r="P7" s="3">
        <f>GEOMEAN('NORMALISASI % KERUSAKAN GEDUNG'!AK11,'NORMALISASI % KERUSAKAN GEDUNG'!AK121,'NORMALISASI % KERUSAKAN GEDUNG'!AK231)</f>
        <v>0.19946949352952514</v>
      </c>
    </row>
    <row r="8" spans="1:16" x14ac:dyDescent="0.5">
      <c r="A8" s="2" t="s">
        <v>10</v>
      </c>
      <c r="B8" s="3">
        <f>1/H2</f>
        <v>4.1601676461038082</v>
      </c>
      <c r="C8" s="3">
        <f>1/H3</f>
        <v>1.7471609294725978</v>
      </c>
      <c r="D8" s="3">
        <f>1/H4</f>
        <v>3</v>
      </c>
      <c r="E8" s="3">
        <f>1/H5</f>
        <v>4.5788569702133275</v>
      </c>
      <c r="F8" s="3">
        <f>1/H6</f>
        <v>5.6462161732861702</v>
      </c>
      <c r="G8" s="3">
        <f>1/H7</f>
        <v>4.3267487109222253</v>
      </c>
      <c r="H8" s="3">
        <v>1</v>
      </c>
      <c r="I8" s="3">
        <f>GEOMEAN('NORMALISASI % KERUSAKAN GEDUNG'!AD12,'NORMALISASI % KERUSAKAN GEDUNG'!AD122,'NORMALISASI % KERUSAKAN GEDUNG'!AD232)</f>
        <v>1.3263524026321305</v>
      </c>
      <c r="J8" s="3">
        <f>GEOMEAN('NORMALISASI % KERUSAKAN GEDUNG'!AE12,'NORMALISASI % KERUSAKAN GEDUNG'!AE122,'NORMALISASI % KERUSAKAN GEDUNG'!AE232)</f>
        <v>1.6710993116548616</v>
      </c>
      <c r="K8" s="3">
        <f>GEOMEAN('NORMALISASI % KERUSAKAN GEDUNG'!AF12,'NORMALISASI % KERUSAKAN GEDUNG'!AF122,'NORMALISASI % KERUSAKAN GEDUNG'!AF232)</f>
        <v>0.48074985676913612</v>
      </c>
      <c r="L8" s="3">
        <f>GEOMEAN('NORMALISASI % KERUSAKAN GEDUNG'!AG12,'NORMALISASI % KERUSAKAN GEDUNG'!AG122,'NORMALISASI % KERUSAKAN GEDUNG'!AG232)</f>
        <v>1.126247880443606</v>
      </c>
      <c r="M8" s="3">
        <f>GEOMEAN('NORMALISASI % KERUSAKAN GEDUNG'!AH12,'NORMALISASI % KERUSAKAN GEDUNG'!AH122,'NORMALISASI % KERUSAKAN GEDUNG'!AH232)</f>
        <v>3.9790572078963922</v>
      </c>
      <c r="N8" s="3">
        <f>GEOMEAN('NORMALISASI % KERUSAKAN GEDUNG'!AI12,'NORMALISASI % KERUSAKAN GEDUNG'!AI122,'NORMALISASI % KERUSAKAN GEDUNG'!AI232)</f>
        <v>1.1447142425533319</v>
      </c>
      <c r="O8" s="3">
        <f>GEOMEAN('NORMALISASI % KERUSAKAN GEDUNG'!AJ12,'NORMALISASI % KERUSAKAN GEDUNG'!AJ122,'NORMALISASI % KERUSAKAN GEDUNG'!AJ232)</f>
        <v>0.69336127435063466</v>
      </c>
      <c r="P8" s="3">
        <f>GEOMEAN('NORMALISASI % KERUSAKAN GEDUNG'!AK12,'NORMALISASI % KERUSAKAN GEDUNG'!AK122,'NORMALISASI % KERUSAKAN GEDUNG'!AK232)</f>
        <v>4.1601676461038082</v>
      </c>
    </row>
    <row r="9" spans="1:16" x14ac:dyDescent="0.5">
      <c r="A9" s="2" t="s">
        <v>11</v>
      </c>
      <c r="B9" s="3">
        <f>1/I2</f>
        <v>4.9324241486609406</v>
      </c>
      <c r="C9" s="3">
        <f>1/I3</f>
        <v>1.7099759466766968</v>
      </c>
      <c r="D9" s="3">
        <f>1/I4</f>
        <v>0.48074985676913612</v>
      </c>
      <c r="E9" s="3">
        <f>1/I5</f>
        <v>3.9148676411688639</v>
      </c>
      <c r="F9" s="3">
        <f>1/I6</f>
        <v>6.0822019955733992</v>
      </c>
      <c r="G9" s="3">
        <f>1/I7</f>
        <v>5.1299278400300912</v>
      </c>
      <c r="H9" s="3">
        <f>1/I8</f>
        <v>0.75394744112915391</v>
      </c>
      <c r="I9" s="3">
        <v>1</v>
      </c>
      <c r="J9" s="3">
        <f>GEOMEAN('NORMALISASI % KERUSAKAN GEDUNG'!AE13,'NORMALISASI % KERUSAKAN GEDUNG'!AE123,'NORMALISASI % KERUSAKAN GEDUNG'!AE233)</f>
        <v>1.2599210498948732</v>
      </c>
      <c r="K9" s="3">
        <f>GEOMEAN('NORMALISASI % KERUSAKAN GEDUNG'!AF13,'NORMALISASI % KERUSAKAN GEDUNG'!AF123,'NORMALISASI % KERUSAKAN GEDUNG'!AF233)</f>
        <v>0.48074985676913612</v>
      </c>
      <c r="L9" s="3">
        <f>GEOMEAN('NORMALISASI % KERUSAKAN GEDUNG'!AG13,'NORMALISASI % KERUSAKAN GEDUNG'!AG123,'NORMALISASI % KERUSAKAN GEDUNG'!AG233)</f>
        <v>0.34668063717531733</v>
      </c>
      <c r="M9" s="3">
        <f>GEOMEAN('NORMALISASI % KERUSAKAN GEDUNG'!AH13,'NORMALISASI % KERUSAKAN GEDUNG'!AH123,'NORMALISASI % KERUSAKAN GEDUNG'!AH233)</f>
        <v>1.2599210498948732</v>
      </c>
      <c r="N9" s="3">
        <f>GEOMEAN('NORMALISASI % KERUSAKAN GEDUNG'!AI13,'NORMALISASI % KERUSAKAN GEDUNG'!AI123,'NORMALISASI % KERUSAKAN GEDUNG'!AI233)</f>
        <v>0.29240177382128663</v>
      </c>
      <c r="O9" s="3">
        <f>GEOMEAN('NORMALISASI % KERUSAKAN GEDUNG'!AJ13,'NORMALISASI % KERUSAKAN GEDUNG'!AJ123,'NORMALISASI % KERUSAKAN GEDUNG'!AJ233)</f>
        <v>0.29240177382128663</v>
      </c>
      <c r="P9" s="3">
        <f>GEOMEAN('NORMALISASI % KERUSAKAN GEDUNG'!AK13,'NORMALISASI % KERUSAKAN GEDUNG'!AK123,'NORMALISASI % KERUSAKAN GEDUNG'!AK233)</f>
        <v>0.79370052598409979</v>
      </c>
    </row>
    <row r="10" spans="1:16" x14ac:dyDescent="0.5">
      <c r="A10" s="2" t="s">
        <v>12</v>
      </c>
      <c r="B10" s="3">
        <f>1/J2</f>
        <v>2.0606426499042785</v>
      </c>
      <c r="C10" s="3">
        <f>1/J3</f>
        <v>1.3572088082974534</v>
      </c>
      <c r="D10" s="3">
        <f>1/J4</f>
        <v>0.30285343213868993</v>
      </c>
      <c r="E10" s="3">
        <f>1/J5</f>
        <v>3.4199518933533937</v>
      </c>
      <c r="F10" s="3">
        <f>1/J6</f>
        <v>4.4814047465571649</v>
      </c>
      <c r="G10" s="3">
        <f>1/J7</f>
        <v>4.4814047465571649</v>
      </c>
      <c r="H10" s="3">
        <f>1/J8</f>
        <v>0.59840848058857543</v>
      </c>
      <c r="I10" s="3">
        <f>1/J9</f>
        <v>0.79370052598409968</v>
      </c>
      <c r="J10" s="3">
        <v>1</v>
      </c>
      <c r="K10" s="3">
        <f>GEOMEAN('NORMALISASI % KERUSAKAN GEDUNG'!AF14,'NORMALISASI % KERUSAKAN GEDUNG'!AF124,'NORMALISASI % KERUSAKAN GEDUNG'!AF234)</f>
        <v>0.92831776672255584</v>
      </c>
      <c r="L10" s="3">
        <f>GEOMEAN('NORMALISASI % KERUSAKAN GEDUNG'!AG14,'NORMALISASI % KERUSAKAN GEDUNG'!AG124,'NORMALISASI % KERUSAKAN GEDUNG'!AG234)</f>
        <v>0.27516060407455223</v>
      </c>
      <c r="M10" s="3">
        <f>GEOMEAN('NORMALISASI % KERUSAKAN GEDUNG'!AH14,'NORMALISASI % KERUSAKAN GEDUNG'!AH124,'NORMALISASI % KERUSAKAN GEDUNG'!AH234)</f>
        <v>2.5198420997897464</v>
      </c>
      <c r="N10" s="3">
        <f>GEOMEAN('NORMALISASI % KERUSAKAN GEDUNG'!AI14,'NORMALISASI % KERUSAKAN GEDUNG'!AI124,'NORMALISASI % KERUSAKAN GEDUNG'!AI234)</f>
        <v>0.43679023236814946</v>
      </c>
      <c r="O10" s="3">
        <f>GEOMEAN('NORMALISASI % KERUSAKAN GEDUNG'!AJ14,'NORMALISASI % KERUSAKAN GEDUNG'!AJ124,'NORMALISASI % KERUSAKAN GEDUNG'!AJ234)</f>
        <v>0.3149802624737183</v>
      </c>
      <c r="P10" s="3">
        <f>GEOMEAN('NORMALISASI % KERUSAKAN GEDUNG'!AK14,'NORMALISASI % KERUSAKAN GEDUNG'!AK124,'NORMALISASI % KERUSAKAN GEDUNG'!AK234)</f>
        <v>1.4422495703074083</v>
      </c>
    </row>
    <row r="11" spans="1:16" x14ac:dyDescent="0.5">
      <c r="A11" s="2" t="s">
        <v>13</v>
      </c>
      <c r="B11" s="3">
        <f>1/K2</f>
        <v>4.121285299808557</v>
      </c>
      <c r="C11" s="3">
        <f>1/K3</f>
        <v>2.884499140614817</v>
      </c>
      <c r="D11" s="3">
        <f>1/K4</f>
        <v>1.259921049894873</v>
      </c>
      <c r="E11" s="3">
        <f>1/K5</f>
        <v>3.9790572078963917</v>
      </c>
      <c r="F11" s="3">
        <f>1/K6</f>
        <v>6.463304070095651</v>
      </c>
      <c r="G11" s="3">
        <f>1/K7</f>
        <v>6.3163595976563789</v>
      </c>
      <c r="H11" s="3">
        <f>1/K8</f>
        <v>2.0800838230519041</v>
      </c>
      <c r="I11" s="3">
        <f>1/K9</f>
        <v>2.0800838230519041</v>
      </c>
      <c r="J11" s="3">
        <f>1/K10</f>
        <v>1.0772173450159417</v>
      </c>
      <c r="K11" s="3">
        <v>1</v>
      </c>
      <c r="L11" s="3">
        <f>GEOMEAN('NORMALISASI % KERUSAKAN GEDUNG'!AG15,'NORMALISASI % KERUSAKAN GEDUNG'!AG125,'NORMALISASI % KERUSAKAN GEDUNG'!AG235)</f>
        <v>0.74690079109286078</v>
      </c>
      <c r="M11" s="3">
        <f>GEOMEAN('NORMALISASI % KERUSAKAN GEDUNG'!AH15,'NORMALISASI % KERUSAKAN GEDUNG'!AH125,'NORMALISASI % KERUSAKAN GEDUNG'!AH235)</f>
        <v>3.0365889718756627</v>
      </c>
      <c r="N11" s="3">
        <f>GEOMEAN('NORMALISASI % KERUSAKAN GEDUNG'!AI15,'NORMALISASI % KERUSAKAN GEDUNG'!AI125,'NORMALISASI % KERUSAKAN GEDUNG'!AI235)</f>
        <v>0.69336127435063466</v>
      </c>
      <c r="O11" s="3">
        <f>GEOMEAN('NORMALISASI % KERUSAKAN GEDUNG'!AJ15,'NORMALISASI % KERUSAKAN GEDUNG'!AJ125,'NORMALISASI % KERUSAKAN GEDUNG'!AJ235)</f>
        <v>0.72112478515370415</v>
      </c>
      <c r="P11" s="3">
        <f>GEOMEAN('NORMALISASI % KERUSAKAN GEDUNG'!AK15,'NORMALISASI % KERUSAKAN GEDUNG'!AK125,'NORMALISASI % KERUSAKAN GEDUNG'!AK235)</f>
        <v>1.9574338205844317</v>
      </c>
    </row>
    <row r="12" spans="1:16" x14ac:dyDescent="0.5">
      <c r="A12" s="2" t="s">
        <v>14</v>
      </c>
      <c r="B12" s="3">
        <f>1/L2</f>
        <v>4.3795191398878899</v>
      </c>
      <c r="C12" s="3">
        <f>1/L3</f>
        <v>2.1544346900318834</v>
      </c>
      <c r="D12" s="3">
        <f>1/L4</f>
        <v>0.79370052598409968</v>
      </c>
      <c r="E12" s="3">
        <f>1/L5</f>
        <v>4.3795191398878899</v>
      </c>
      <c r="F12" s="3">
        <f>1/L6</f>
        <v>6.3163595976563789</v>
      </c>
      <c r="G12" s="3">
        <f>1/L7</f>
        <v>6</v>
      </c>
      <c r="H12" s="3">
        <f>1/L8</f>
        <v>0.88790400174260076</v>
      </c>
      <c r="I12" s="3">
        <f>1/L9</f>
        <v>2.884499140614817</v>
      </c>
      <c r="J12" s="3">
        <f>1/L10</f>
        <v>3.6342411856642793</v>
      </c>
      <c r="K12" s="3">
        <f>1/L11</f>
        <v>1.338865900164339</v>
      </c>
      <c r="L12" s="3">
        <v>1</v>
      </c>
      <c r="M12" s="3">
        <f>GEOMEAN('NORMALISASI % KERUSAKAN GEDUNG'!AH16,'NORMALISASI % KERUSAKAN GEDUNG'!AH126,'NORMALISASI % KERUSAKAN GEDUNG'!AH236)</f>
        <v>3.9148676411688634</v>
      </c>
      <c r="N12" s="3">
        <f>GEOMEAN('NORMALISASI % KERUSAKAN GEDUNG'!AI16,'NORMALISASI % KERUSAKAN GEDUNG'!AI126,'NORMALISASI % KERUSAKAN GEDUNG'!AI236)</f>
        <v>0.92831776672255584</v>
      </c>
      <c r="O12" s="3">
        <f>GEOMEAN('NORMALISASI % KERUSAKAN GEDUNG'!AJ16,'NORMALISASI % KERUSAKAN GEDUNG'!AJ126,'NORMALISASI % KERUSAKAN GEDUNG'!AJ236)</f>
        <v>0.2119679665896653</v>
      </c>
      <c r="P12" s="3">
        <f>GEOMEAN('NORMALISASI % KERUSAKAN GEDUNG'!AK16,'NORMALISASI % KERUSAKAN GEDUNG'!AK126,'NORMALISASI % KERUSAKAN GEDUNG'!AK236)</f>
        <v>2.4662120743304699</v>
      </c>
    </row>
    <row r="13" spans="1:16" x14ac:dyDescent="0.5">
      <c r="A13" s="2" t="s">
        <v>15</v>
      </c>
      <c r="B13" s="3">
        <f>1/M2</f>
        <v>1.259921049894873</v>
      </c>
      <c r="C13" s="3">
        <f>1/M3</f>
        <v>0.30285343213868993</v>
      </c>
      <c r="D13" s="3">
        <f>1/M4</f>
        <v>0.27516060407455223</v>
      </c>
      <c r="E13" s="3">
        <f>1/M5</f>
        <v>1.259921049894873</v>
      </c>
      <c r="F13" s="3">
        <f>1/M6</f>
        <v>5.2414827884177928</v>
      </c>
      <c r="G13" s="3">
        <f>1/M7</f>
        <v>4.4814047465571649</v>
      </c>
      <c r="H13" s="3">
        <f>1/M8</f>
        <v>0.25131581370971789</v>
      </c>
      <c r="I13" s="3">
        <f>1/M9</f>
        <v>0.79370052598409968</v>
      </c>
      <c r="J13" s="3">
        <f>1/M10</f>
        <v>0.39685026299204984</v>
      </c>
      <c r="K13" s="3">
        <f>1/M11</f>
        <v>0.32931687800417475</v>
      </c>
      <c r="L13" s="3">
        <f>1/M12</f>
        <v>0.2554364774645177</v>
      </c>
      <c r="M13" s="3">
        <v>1</v>
      </c>
      <c r="N13" s="3">
        <f>GEOMEAN('NORMALISASI % KERUSAKAN GEDUNG'!AI17,'NORMALISASI % KERUSAKAN GEDUNG'!AI127,'NORMALISASI % KERUSAKAN GEDUNG'!AI237)</f>
        <v>0.21839511618407473</v>
      </c>
      <c r="O13" s="3">
        <f>GEOMEAN('NORMALISASI % KERUSAKAN GEDUNG'!AJ17,'NORMALISASI % KERUSAKAN GEDUNG'!AJ127,'NORMALISASI % KERUSAKAN GEDUNG'!AJ237)</f>
        <v>0.20274006651911333</v>
      </c>
      <c r="P13" s="3">
        <f>GEOMEAN('NORMALISASI % KERUSAKAN GEDUNG'!AK17,'NORMALISASI % KERUSAKAN GEDUNG'!AK127,'NORMALISASI % KERUSAKAN GEDUNG'!AK237)</f>
        <v>0.87358046473629891</v>
      </c>
    </row>
    <row r="14" spans="1:16" x14ac:dyDescent="0.5">
      <c r="A14" s="2" t="s">
        <v>16</v>
      </c>
      <c r="B14" s="3">
        <f>1/N2</f>
        <v>4.3795191398878899</v>
      </c>
      <c r="C14" s="3">
        <f>1/N3</f>
        <v>1.8820720577620569</v>
      </c>
      <c r="D14" s="3">
        <f>1/N4</f>
        <v>0.87358046473629891</v>
      </c>
      <c r="E14" s="3">
        <f>1/N5</f>
        <v>5.2414827884177928</v>
      </c>
      <c r="F14" s="3">
        <f>1/N6</f>
        <v>6</v>
      </c>
      <c r="G14" s="3">
        <f>1/N7</f>
        <v>5.2414827884177928</v>
      </c>
      <c r="H14" s="3">
        <f>1/N8</f>
        <v>0.87358046473629891</v>
      </c>
      <c r="I14" s="3">
        <f>1/N9</f>
        <v>3.4199518933533937</v>
      </c>
      <c r="J14" s="3">
        <f>1/N10</f>
        <v>2.2894284851066637</v>
      </c>
      <c r="K14" s="3">
        <f>1/N11</f>
        <v>1.4422495703074085</v>
      </c>
      <c r="L14" s="3">
        <f>1/N12</f>
        <v>1.0772173450159417</v>
      </c>
      <c r="M14" s="3">
        <f>1/N13</f>
        <v>4.5788569702133275</v>
      </c>
      <c r="N14" s="3">
        <v>1</v>
      </c>
      <c r="O14" s="3">
        <f>GEOMEAN('NORMALISASI % KERUSAKAN GEDUNG'!AJ18,'NORMALISASI % KERUSAKAN GEDUNG'!AJ128,'NORMALISASI % KERUSAKAN GEDUNG'!AJ238)</f>
        <v>0.43679023236814946</v>
      </c>
      <c r="P14" s="3">
        <f>GEOMEAN('NORMALISASI % KERUSAKAN GEDUNG'!AK18,'NORMALISASI % KERUSAKAN GEDUNG'!AK128,'NORMALISASI % KERUSAKAN GEDUNG'!AK238)</f>
        <v>2.7589241763811208</v>
      </c>
    </row>
    <row r="15" spans="1:16" x14ac:dyDescent="0.5">
      <c r="A15" s="2" t="s">
        <v>17</v>
      </c>
      <c r="B15" s="3">
        <f>1/O2</f>
        <v>5.5178483527622415</v>
      </c>
      <c r="C15" s="3">
        <f>1/O3</f>
        <v>1.9574338205844319</v>
      </c>
      <c r="D15" s="3">
        <f>1/O4</f>
        <v>2.6207413942088964</v>
      </c>
      <c r="E15" s="3">
        <f>1/O5</f>
        <v>5.3132928459130548</v>
      </c>
      <c r="F15" s="3">
        <f>1/O6</f>
        <v>6.463304070095651</v>
      </c>
      <c r="G15" s="3">
        <f>1/O7</f>
        <v>6.3163595976563789</v>
      </c>
      <c r="H15" s="3">
        <f>1/O8</f>
        <v>1.4422495703074085</v>
      </c>
      <c r="I15" s="3">
        <f>1/O9</f>
        <v>3.4199518933533937</v>
      </c>
      <c r="J15" s="3">
        <f>1/O10</f>
        <v>3.1748021039363987</v>
      </c>
      <c r="K15" s="3">
        <f>1/O11</f>
        <v>1.3867225487012695</v>
      </c>
      <c r="L15" s="3">
        <f>1/O12</f>
        <v>4.7176939803165334</v>
      </c>
      <c r="M15" s="3">
        <f>1/O13</f>
        <v>4.9324241486609406</v>
      </c>
      <c r="N15" s="3">
        <f>1/O14</f>
        <v>2.2894284851066637</v>
      </c>
      <c r="O15" s="3">
        <v>1</v>
      </c>
      <c r="P15" s="3">
        <f>GEOMEAN('NORMALISASI % KERUSAKAN GEDUNG'!AK19,'NORMALISASI % KERUSAKAN GEDUNG'!AK129,'NORMALISASI % KERUSAKAN GEDUNG'!AK239)</f>
        <v>1.5182944859378313</v>
      </c>
    </row>
    <row r="16" spans="1:16" x14ac:dyDescent="0.5">
      <c r="A16" s="2" t="s">
        <v>18</v>
      </c>
      <c r="B16" s="3">
        <f>1/P2</f>
        <v>0.82207069144348999</v>
      </c>
      <c r="C16" s="3">
        <f>1/P3</f>
        <v>0.2554364774645177</v>
      </c>
      <c r="D16" s="3">
        <f>1/P4</f>
        <v>0.5753695826647881</v>
      </c>
      <c r="E16" s="3">
        <f>1/P5</f>
        <v>2.4494897427831779</v>
      </c>
      <c r="F16" s="3">
        <f>1/P6</f>
        <v>6.463304070095651</v>
      </c>
      <c r="G16" s="3">
        <f>1/P7</f>
        <v>5.0132979349645845</v>
      </c>
      <c r="H16" s="3">
        <f>1/P8</f>
        <v>0.24037492838456806</v>
      </c>
      <c r="I16" s="3">
        <f>1/P9</f>
        <v>1.259921049894873</v>
      </c>
      <c r="J16" s="3">
        <f>1/P10</f>
        <v>0.69336127435063477</v>
      </c>
      <c r="K16" s="3">
        <f>1/P11</f>
        <v>0.51087295492903539</v>
      </c>
      <c r="L16" s="3">
        <f>1/P12</f>
        <v>0.40548013303822672</v>
      </c>
      <c r="M16" s="3">
        <f>1/P13</f>
        <v>1.1447142425533319</v>
      </c>
      <c r="N16" s="3">
        <f>1/P14</f>
        <v>0.36246012433429736</v>
      </c>
      <c r="O16" s="3">
        <f>1/P15</f>
        <v>0.6586337560083495</v>
      </c>
      <c r="P16" s="3">
        <v>1</v>
      </c>
    </row>
    <row r="17" spans="1:17" x14ac:dyDescent="0.5">
      <c r="A17" s="75" t="s">
        <v>67</v>
      </c>
      <c r="B17">
        <f>SUM(B2:B16)</f>
        <v>37.487690361713987</v>
      </c>
      <c r="C17">
        <f t="shared" ref="C17:P17" si="0">SUM(C2:C16)</f>
        <v>17.459146070991281</v>
      </c>
      <c r="D17">
        <f t="shared" si="0"/>
        <v>13.656128975976007</v>
      </c>
      <c r="E17">
        <f t="shared" si="0"/>
        <v>48.641468732018907</v>
      </c>
      <c r="F17">
        <f t="shared" si="0"/>
        <v>76.554963011407636</v>
      </c>
      <c r="G17">
        <f t="shared" si="0"/>
        <v>65.995818290662982</v>
      </c>
      <c r="H17">
        <f t="shared" si="0"/>
        <v>9.9005552091428513</v>
      </c>
      <c r="I17">
        <f t="shared" si="0"/>
        <v>20.460573823716377</v>
      </c>
      <c r="J17">
        <f t="shared" si="0"/>
        <v>20.459630475088325</v>
      </c>
      <c r="K17">
        <f t="shared" si="0"/>
        <v>9.845223729275709</v>
      </c>
      <c r="L17">
        <f t="shared" si="0"/>
        <v>12.456554630872835</v>
      </c>
      <c r="M17">
        <f t="shared" si="0"/>
        <v>35.303771842366523</v>
      </c>
      <c r="N17">
        <f t="shared" si="0"/>
        <v>9.8184861936348895</v>
      </c>
      <c r="O17">
        <f t="shared" si="0"/>
        <v>6.1069204240607142</v>
      </c>
      <c r="P17">
        <f t="shared" si="0"/>
        <v>24.602321538872722</v>
      </c>
    </row>
    <row r="20" spans="1:17" x14ac:dyDescent="0.5">
      <c r="A20" s="63" t="s">
        <v>0</v>
      </c>
      <c r="B20" s="2" t="s">
        <v>4</v>
      </c>
      <c r="C20" s="2" t="s">
        <v>5</v>
      </c>
      <c r="D20" s="2" t="s">
        <v>6</v>
      </c>
      <c r="E20" s="2" t="s">
        <v>7</v>
      </c>
      <c r="F20" s="2" t="s">
        <v>8</v>
      </c>
      <c r="G20" s="2" t="s">
        <v>9</v>
      </c>
      <c r="H20" s="2" t="s">
        <v>10</v>
      </c>
      <c r="I20" s="2" t="s">
        <v>11</v>
      </c>
      <c r="J20" s="2" t="s">
        <v>12</v>
      </c>
      <c r="K20" s="2" t="s">
        <v>13</v>
      </c>
      <c r="L20" s="2" t="s">
        <v>14</v>
      </c>
      <c r="M20" s="2" t="s">
        <v>15</v>
      </c>
      <c r="N20" s="2" t="s">
        <v>16</v>
      </c>
      <c r="O20" s="2" t="s">
        <v>17</v>
      </c>
      <c r="P20" s="2" t="s">
        <v>18</v>
      </c>
      <c r="Q20" s="75" t="s">
        <v>68</v>
      </c>
    </row>
    <row r="21" spans="1:17" x14ac:dyDescent="0.5">
      <c r="A21" s="2" t="s">
        <v>4</v>
      </c>
      <c r="B21" s="3">
        <f t="shared" ref="B21:B35" si="1">B2/$B$17</f>
        <v>2.6675423061573715E-2</v>
      </c>
      <c r="C21" s="3">
        <f t="shared" ref="C21:C35" si="2">C2/$C$17</f>
        <v>1.7346405769631937E-2</v>
      </c>
      <c r="D21" s="3">
        <f t="shared" ref="D21:D35" si="3">D2/$D$17</f>
        <v>7.6159350380741411E-2</v>
      </c>
      <c r="E21" s="3">
        <f t="shared" ref="E21:E35" si="4">E2/$E$17</f>
        <v>8.0484157720176919E-2</v>
      </c>
      <c r="F21" s="3">
        <f t="shared" ref="F21:F35" si="5">F2/$F$17</f>
        <v>8.2507512892601928E-2</v>
      </c>
      <c r="G21" s="3">
        <f t="shared" ref="G21:G35" si="6">G2/$G$17</f>
        <v>8.5554150543580607E-2</v>
      </c>
      <c r="H21" s="3">
        <f t="shared" ref="H21:H35" si="7">H2/$H$17</f>
        <v>2.4278934191750114E-2</v>
      </c>
      <c r="I21" s="3">
        <f t="shared" ref="I21:I35" si="8">I2/$I$17</f>
        <v>9.9088162563706842E-3</v>
      </c>
      <c r="J21" s="3">
        <f t="shared" ref="J21:J35" si="9">J2/$J$17</f>
        <v>2.371917231014517E-2</v>
      </c>
      <c r="K21" s="3">
        <f t="shared" ref="K21:K35" si="10">K2/$K$17</f>
        <v>2.4645732488408297E-2</v>
      </c>
      <c r="L21" s="3">
        <f t="shared" ref="L21:L35" si="11">L2/$L$17</f>
        <v>1.8330555837023414E-2</v>
      </c>
      <c r="M21" s="3">
        <f t="shared" ref="M21:M35" si="12">M2/$M$17</f>
        <v>2.24820319349451E-2</v>
      </c>
      <c r="N21" s="3">
        <f t="shared" ref="N21:N35" si="13">N2/$N$17</f>
        <v>2.3255679714269197E-2</v>
      </c>
      <c r="O21" s="3">
        <f t="shared" ref="O21:O35" si="14">O2/$O$17</f>
        <v>2.9676178758301586E-2</v>
      </c>
      <c r="P21" s="3">
        <f t="shared" ref="P21:P35" si="15">P2/$P$17</f>
        <v>4.9444130595263223E-2</v>
      </c>
      <c r="Q21">
        <f>AVERAGE(B21:P21)</f>
        <v>3.9631215496985554E-2</v>
      </c>
    </row>
    <row r="22" spans="1:17" x14ac:dyDescent="0.5">
      <c r="A22" s="2" t="s">
        <v>5</v>
      </c>
      <c r="B22" s="3">
        <f t="shared" si="1"/>
        <v>8.8080306282802376E-2</v>
      </c>
      <c r="C22" s="3">
        <f t="shared" si="2"/>
        <v>5.7276569881130668E-2</v>
      </c>
      <c r="D22" s="3">
        <f t="shared" si="3"/>
        <v>5.8120462056296146E-2</v>
      </c>
      <c r="E22" s="3">
        <f t="shared" si="4"/>
        <v>8.5527179884790805E-2</v>
      </c>
      <c r="F22" s="3">
        <f t="shared" si="5"/>
        <v>6.7009735727593112E-2</v>
      </c>
      <c r="G22" s="3">
        <f t="shared" si="6"/>
        <v>7.2159165220599286E-2</v>
      </c>
      <c r="H22" s="3">
        <f t="shared" si="7"/>
        <v>5.7810608514976228E-2</v>
      </c>
      <c r="I22" s="3">
        <f t="shared" si="8"/>
        <v>2.8581971976011367E-2</v>
      </c>
      <c r="J22" s="3">
        <f t="shared" si="9"/>
        <v>3.6012688529502707E-2</v>
      </c>
      <c r="K22" s="3">
        <f t="shared" si="10"/>
        <v>3.5213078616428951E-2</v>
      </c>
      <c r="L22" s="3">
        <f t="shared" si="11"/>
        <v>3.7262220342283693E-2</v>
      </c>
      <c r="M22" s="3">
        <f t="shared" si="12"/>
        <v>9.3529021874431198E-2</v>
      </c>
      <c r="N22" s="3">
        <f t="shared" si="13"/>
        <v>5.4115193942601329E-2</v>
      </c>
      <c r="O22" s="3">
        <f t="shared" si="14"/>
        <v>8.3654758774363944E-2</v>
      </c>
      <c r="P22" s="3">
        <f t="shared" si="15"/>
        <v>0.15912594406927025</v>
      </c>
      <c r="Q22">
        <f t="shared" ref="Q22:Q35" si="16">AVERAGE(B22:P22)</f>
        <v>6.7565260379538791E-2</v>
      </c>
    </row>
    <row r="23" spans="1:17" x14ac:dyDescent="0.5">
      <c r="A23" s="2" t="s">
        <v>6</v>
      </c>
      <c r="B23" s="3">
        <f t="shared" si="1"/>
        <v>2.5648411632215349E-2</v>
      </c>
      <c r="C23" s="3">
        <f t="shared" si="2"/>
        <v>7.2163956059011214E-2</v>
      </c>
      <c r="D23" s="3">
        <f t="shared" si="3"/>
        <v>7.3227193574343777E-2</v>
      </c>
      <c r="E23" s="3">
        <f t="shared" si="4"/>
        <v>8.8584277826861665E-2</v>
      </c>
      <c r="F23" s="3">
        <f t="shared" si="5"/>
        <v>7.3753757446722495E-2</v>
      </c>
      <c r="G23" s="3">
        <f t="shared" si="6"/>
        <v>6.5560952541963841E-2</v>
      </c>
      <c r="H23" s="3">
        <f t="shared" si="7"/>
        <v>3.3668145502134109E-2</v>
      </c>
      <c r="I23" s="3">
        <f t="shared" si="8"/>
        <v>0.10166302475059744</v>
      </c>
      <c r="J23" s="3">
        <f t="shared" si="9"/>
        <v>0.16138743331239819</v>
      </c>
      <c r="K23" s="3">
        <f t="shared" si="10"/>
        <v>8.0617825232752793E-2</v>
      </c>
      <c r="L23" s="3">
        <f t="shared" si="11"/>
        <v>0.10114522733053595</v>
      </c>
      <c r="M23" s="3">
        <f t="shared" si="12"/>
        <v>0.102942008629882</v>
      </c>
      <c r="N23" s="3">
        <f t="shared" si="13"/>
        <v>0.11658765108774356</v>
      </c>
      <c r="O23" s="3">
        <f t="shared" si="14"/>
        <v>6.2481805507254864E-2</v>
      </c>
      <c r="P23" s="3">
        <f t="shared" si="15"/>
        <v>7.0644281260087149E-2</v>
      </c>
      <c r="Q23">
        <f t="shared" si="16"/>
        <v>8.2005063446300291E-2</v>
      </c>
    </row>
    <row r="24" spans="1:17" x14ac:dyDescent="0.5">
      <c r="A24" s="2" t="s">
        <v>7</v>
      </c>
      <c r="B24" s="3">
        <f t="shared" si="1"/>
        <v>6.8138761017241499E-3</v>
      </c>
      <c r="C24" s="3">
        <f t="shared" si="2"/>
        <v>1.3767851383290492E-2</v>
      </c>
      <c r="D24" s="3">
        <f t="shared" si="3"/>
        <v>1.6994526200573772E-2</v>
      </c>
      <c r="E24" s="3">
        <f t="shared" si="4"/>
        <v>2.055858973974066E-2</v>
      </c>
      <c r="F24" s="3">
        <f t="shared" si="5"/>
        <v>5.4342233115361724E-2</v>
      </c>
      <c r="G24" s="3">
        <f t="shared" si="6"/>
        <v>3.1518418544197249E-2</v>
      </c>
      <c r="H24" s="3">
        <f t="shared" si="7"/>
        <v>2.2058875645922738E-2</v>
      </c>
      <c r="I24" s="3">
        <f t="shared" si="8"/>
        <v>1.2484326180941939E-2</v>
      </c>
      <c r="J24" s="3">
        <f t="shared" si="9"/>
        <v>1.4291644913983928E-2</v>
      </c>
      <c r="K24" s="3">
        <f t="shared" si="10"/>
        <v>2.5526673707008452E-2</v>
      </c>
      <c r="L24" s="3">
        <f t="shared" si="11"/>
        <v>1.8330555837023414E-2</v>
      </c>
      <c r="M24" s="3">
        <f t="shared" si="12"/>
        <v>2.24820319349451E-2</v>
      </c>
      <c r="N24" s="3">
        <f t="shared" si="13"/>
        <v>1.9431275181290595E-2</v>
      </c>
      <c r="O24" s="3">
        <f t="shared" si="14"/>
        <v>3.0818676633592008E-2</v>
      </c>
      <c r="P24" s="3">
        <f t="shared" si="15"/>
        <v>1.6593892971393503E-2</v>
      </c>
      <c r="Q24">
        <f t="shared" si="16"/>
        <v>2.1734229872732651E-2</v>
      </c>
    </row>
    <row r="25" spans="1:17" x14ac:dyDescent="0.5">
      <c r="A25" s="2" t="s">
        <v>8</v>
      </c>
      <c r="B25" s="3">
        <f t="shared" si="1"/>
        <v>4.2232274222435591E-3</v>
      </c>
      <c r="C25" s="3">
        <f t="shared" si="2"/>
        <v>1.1165180421094323E-2</v>
      </c>
      <c r="D25" s="3">
        <f t="shared" si="3"/>
        <v>1.296925079149504E-2</v>
      </c>
      <c r="E25" s="3">
        <f t="shared" si="4"/>
        <v>4.9417695363778765E-3</v>
      </c>
      <c r="F25" s="3">
        <f t="shared" si="5"/>
        <v>1.3062510393362578E-2</v>
      </c>
      <c r="G25" s="3">
        <f t="shared" si="6"/>
        <v>1.3236906327743679E-2</v>
      </c>
      <c r="H25" s="3">
        <f t="shared" si="7"/>
        <v>1.7888871663164902E-2</v>
      </c>
      <c r="I25" s="3">
        <f t="shared" si="8"/>
        <v>8.0356562677690573E-3</v>
      </c>
      <c r="J25" s="3">
        <f t="shared" si="9"/>
        <v>1.0906566321701526E-2</v>
      </c>
      <c r="K25" s="3">
        <f t="shared" si="10"/>
        <v>1.5715196733114261E-2</v>
      </c>
      <c r="L25" s="3">
        <f t="shared" si="11"/>
        <v>1.270969755471402E-2</v>
      </c>
      <c r="M25" s="3">
        <f t="shared" si="12"/>
        <v>5.4041168163020004E-3</v>
      </c>
      <c r="N25" s="3">
        <f t="shared" si="13"/>
        <v>1.6974782403290745E-2</v>
      </c>
      <c r="O25" s="3">
        <f t="shared" si="14"/>
        <v>2.533513080955031E-2</v>
      </c>
      <c r="P25" s="3">
        <f t="shared" si="15"/>
        <v>6.2888222781183065E-3</v>
      </c>
      <c r="Q25">
        <f t="shared" si="16"/>
        <v>1.1923845716002811E-2</v>
      </c>
    </row>
    <row r="26" spans="1:17" x14ac:dyDescent="0.5">
      <c r="A26" s="2" t="s">
        <v>9</v>
      </c>
      <c r="B26" s="3">
        <f t="shared" si="1"/>
        <v>4.7244778171587915E-3</v>
      </c>
      <c r="C26" s="3">
        <f t="shared" si="2"/>
        <v>1.2027326009835205E-2</v>
      </c>
      <c r="D26" s="3">
        <f t="shared" si="3"/>
        <v>1.6924300084609201E-2</v>
      </c>
      <c r="E26" s="3">
        <f t="shared" si="4"/>
        <v>9.883539072755753E-3</v>
      </c>
      <c r="F26" s="3">
        <f t="shared" si="5"/>
        <v>1.4952841690783069E-2</v>
      </c>
      <c r="G26" s="3">
        <f t="shared" si="6"/>
        <v>1.5152475200712511E-2</v>
      </c>
      <c r="H26" s="3">
        <f t="shared" si="7"/>
        <v>2.3344188270382295E-2</v>
      </c>
      <c r="I26" s="3">
        <f t="shared" si="8"/>
        <v>9.5273239920037889E-3</v>
      </c>
      <c r="J26" s="3">
        <f t="shared" si="9"/>
        <v>1.0906566321701526E-2</v>
      </c>
      <c r="K26" s="3">
        <f t="shared" si="10"/>
        <v>1.6080796768628971E-2</v>
      </c>
      <c r="L26" s="3">
        <f t="shared" si="11"/>
        <v>1.3379836688837953E-2</v>
      </c>
      <c r="M26" s="3">
        <f t="shared" si="12"/>
        <v>6.3206933720965962E-3</v>
      </c>
      <c r="N26" s="3">
        <f t="shared" si="13"/>
        <v>1.9431275181290595E-2</v>
      </c>
      <c r="O26" s="3">
        <f t="shared" si="14"/>
        <v>2.5924530031274581E-2</v>
      </c>
      <c r="P26" s="3">
        <f t="shared" si="15"/>
        <v>8.1077508565342016E-3</v>
      </c>
      <c r="Q26">
        <f t="shared" si="16"/>
        <v>1.3779194757240336E-2</v>
      </c>
    </row>
    <row r="27" spans="1:17" x14ac:dyDescent="0.5">
      <c r="A27" s="2" t="s">
        <v>10</v>
      </c>
      <c r="B27" s="3">
        <f t="shared" si="1"/>
        <v>0.11097423196689037</v>
      </c>
      <c r="C27" s="3">
        <f t="shared" si="2"/>
        <v>0.10007138507051845</v>
      </c>
      <c r="D27" s="3">
        <f t="shared" si="3"/>
        <v>0.21968158072303132</v>
      </c>
      <c r="E27" s="3">
        <f t="shared" si="4"/>
        <v>9.4134841927567714E-2</v>
      </c>
      <c r="F27" s="3">
        <f t="shared" si="5"/>
        <v>7.3753757446722482E-2</v>
      </c>
      <c r="G27" s="3">
        <f t="shared" si="6"/>
        <v>6.5560952541963841E-2</v>
      </c>
      <c r="H27" s="3">
        <f t="shared" si="7"/>
        <v>0.10100443650640234</v>
      </c>
      <c r="I27" s="3">
        <f t="shared" si="8"/>
        <v>6.4824790060126342E-2</v>
      </c>
      <c r="J27" s="3">
        <f t="shared" si="9"/>
        <v>8.1677883365957882E-2</v>
      </c>
      <c r="K27" s="3">
        <f t="shared" si="10"/>
        <v>4.8830770126592524E-2</v>
      </c>
      <c r="L27" s="3">
        <f t="shared" si="11"/>
        <v>9.0414076268912041E-2</v>
      </c>
      <c r="M27" s="3">
        <f t="shared" si="12"/>
        <v>0.11270912427326812</v>
      </c>
      <c r="N27" s="3">
        <f t="shared" si="13"/>
        <v>0.11658765108774356</v>
      </c>
      <c r="O27" s="3">
        <f t="shared" si="14"/>
        <v>0.1135369754645654</v>
      </c>
      <c r="P27" s="3">
        <f t="shared" si="15"/>
        <v>0.16909654804448293</v>
      </c>
      <c r="Q27">
        <f t="shared" si="16"/>
        <v>0.10419060032498301</v>
      </c>
    </row>
    <row r="28" spans="1:17" x14ac:dyDescent="0.5">
      <c r="A28" s="2" t="s">
        <v>11</v>
      </c>
      <c r="B28" s="3">
        <f t="shared" si="1"/>
        <v>0.13157450088465317</v>
      </c>
      <c r="C28" s="3">
        <f t="shared" si="2"/>
        <v>9.7941556804880398E-2</v>
      </c>
      <c r="D28" s="3">
        <f t="shared" si="3"/>
        <v>3.5203962822471575E-2</v>
      </c>
      <c r="E28" s="3">
        <f t="shared" si="4"/>
        <v>8.0484157720176919E-2</v>
      </c>
      <c r="F28" s="3">
        <f t="shared" si="5"/>
        <v>7.9448826781708143E-2</v>
      </c>
      <c r="G28" s="3">
        <f t="shared" si="6"/>
        <v>7.7731104377500651E-2</v>
      </c>
      <c r="H28" s="3">
        <f t="shared" si="7"/>
        <v>7.6152036446694132E-2</v>
      </c>
      <c r="I28" s="3">
        <f t="shared" si="8"/>
        <v>4.8874484587566859E-2</v>
      </c>
      <c r="J28" s="3">
        <f t="shared" si="9"/>
        <v>6.1580831160609417E-2</v>
      </c>
      <c r="K28" s="3">
        <f t="shared" si="10"/>
        <v>4.8830770126592524E-2</v>
      </c>
      <c r="L28" s="3">
        <f t="shared" si="11"/>
        <v>2.7831181851528178E-2</v>
      </c>
      <c r="M28" s="3">
        <f t="shared" si="12"/>
        <v>3.5688001143914509E-2</v>
      </c>
      <c r="N28" s="3">
        <f t="shared" si="13"/>
        <v>2.9780738909715464E-2</v>
      </c>
      <c r="O28" s="3">
        <f t="shared" si="14"/>
        <v>4.7880396913188863E-2</v>
      </c>
      <c r="P28" s="3">
        <f t="shared" si="15"/>
        <v>3.2261204485520563E-2</v>
      </c>
      <c r="Q28">
        <f t="shared" si="16"/>
        <v>6.0750917001114763E-2</v>
      </c>
    </row>
    <row r="29" spans="1:17" x14ac:dyDescent="0.5">
      <c r="A29" s="2" t="s">
        <v>12</v>
      </c>
      <c r="B29" s="3">
        <f t="shared" si="1"/>
        <v>5.4968514464918961E-2</v>
      </c>
      <c r="C29" s="3">
        <f t="shared" si="2"/>
        <v>7.7736265151735165E-2</v>
      </c>
      <c r="D29" s="3">
        <f t="shared" si="3"/>
        <v>2.2177106899874233E-2</v>
      </c>
      <c r="E29" s="3">
        <f t="shared" si="4"/>
        <v>7.0309387905101717E-2</v>
      </c>
      <c r="F29" s="3">
        <f t="shared" si="5"/>
        <v>5.853839607876736E-2</v>
      </c>
      <c r="G29" s="3">
        <f t="shared" si="6"/>
        <v>6.7904374286562777E-2</v>
      </c>
      <c r="H29" s="3">
        <f t="shared" si="7"/>
        <v>6.0441911382501462E-2</v>
      </c>
      <c r="I29" s="3">
        <f t="shared" si="8"/>
        <v>3.8791704124353593E-2</v>
      </c>
      <c r="J29" s="3">
        <f t="shared" si="9"/>
        <v>4.8876738082713735E-2</v>
      </c>
      <c r="K29" s="3">
        <f t="shared" si="10"/>
        <v>9.4291180398685573E-2</v>
      </c>
      <c r="L29" s="3">
        <f t="shared" si="11"/>
        <v>2.2089623674317046E-2</v>
      </c>
      <c r="M29" s="3">
        <f t="shared" si="12"/>
        <v>7.1376002287829018E-2</v>
      </c>
      <c r="N29" s="3">
        <f t="shared" si="13"/>
        <v>4.4486514901992839E-2</v>
      </c>
      <c r="O29" s="3">
        <f t="shared" si="14"/>
        <v>5.1577594041134801E-2</v>
      </c>
      <c r="P29" s="3">
        <f t="shared" si="15"/>
        <v>5.8622499020207997E-2</v>
      </c>
      <c r="Q29">
        <f t="shared" si="16"/>
        <v>5.6145854180046424E-2</v>
      </c>
    </row>
    <row r="30" spans="1:17" x14ac:dyDescent="0.5">
      <c r="A30" s="2" t="s">
        <v>13</v>
      </c>
      <c r="B30" s="3">
        <f t="shared" si="1"/>
        <v>0.10993702892983792</v>
      </c>
      <c r="C30" s="3">
        <f t="shared" si="2"/>
        <v>0.16521421659948593</v>
      </c>
      <c r="D30" s="3">
        <f t="shared" si="3"/>
        <v>9.2260482609042294E-2</v>
      </c>
      <c r="E30" s="3">
        <f t="shared" si="4"/>
        <v>8.1803804688099876E-2</v>
      </c>
      <c r="F30" s="3">
        <f t="shared" si="5"/>
        <v>8.4426976591087097E-2</v>
      </c>
      <c r="G30" s="3">
        <f t="shared" si="6"/>
        <v>9.5708482162270736E-2</v>
      </c>
      <c r="H30" s="3">
        <f t="shared" si="7"/>
        <v>0.21009769443344067</v>
      </c>
      <c r="I30" s="3">
        <f t="shared" si="8"/>
        <v>0.10166302475059744</v>
      </c>
      <c r="J30" s="3">
        <f t="shared" si="9"/>
        <v>5.2650870030500459E-2</v>
      </c>
      <c r="K30" s="3">
        <f t="shared" si="10"/>
        <v>0.10157209500749129</v>
      </c>
      <c r="L30" s="3">
        <f t="shared" si="11"/>
        <v>5.9960463645518103E-2</v>
      </c>
      <c r="M30" s="3">
        <f t="shared" si="12"/>
        <v>8.6013159880882303E-2</v>
      </c>
      <c r="N30" s="3">
        <f t="shared" si="13"/>
        <v>7.0617940553822409E-2</v>
      </c>
      <c r="O30" s="3">
        <f t="shared" si="14"/>
        <v>0.11808321299104173</v>
      </c>
      <c r="P30" s="3">
        <f t="shared" si="15"/>
        <v>7.9562972034635124E-2</v>
      </c>
      <c r="Q30">
        <f t="shared" si="16"/>
        <v>0.10063816166051689</v>
      </c>
    </row>
    <row r="31" spans="1:17" x14ac:dyDescent="0.5">
      <c r="A31" s="2" t="s">
        <v>14</v>
      </c>
      <c r="B31" s="3">
        <f t="shared" si="1"/>
        <v>0.1168255258627689</v>
      </c>
      <c r="C31" s="3">
        <f t="shared" si="2"/>
        <v>0.12339862907794326</v>
      </c>
      <c r="D31" s="3">
        <f t="shared" si="3"/>
        <v>5.8120462056296132E-2</v>
      </c>
      <c r="E31" s="3">
        <f t="shared" si="4"/>
        <v>9.0036737254297006E-2</v>
      </c>
      <c r="F31" s="3">
        <f t="shared" si="5"/>
        <v>8.2507512892601928E-2</v>
      </c>
      <c r="G31" s="3">
        <f t="shared" si="6"/>
        <v>9.0914851204275074E-2</v>
      </c>
      <c r="H31" s="3">
        <f t="shared" si="7"/>
        <v>8.968224336779107E-2</v>
      </c>
      <c r="I31" s="3">
        <f t="shared" si="8"/>
        <v>0.14097840879082874</v>
      </c>
      <c r="J31" s="3">
        <f t="shared" si="9"/>
        <v>0.17762985456112398</v>
      </c>
      <c r="K31" s="3">
        <f t="shared" si="10"/>
        <v>0.1359914144137826</v>
      </c>
      <c r="L31" s="3">
        <f t="shared" si="11"/>
        <v>8.027902013302772E-2</v>
      </c>
      <c r="M31" s="3">
        <f t="shared" si="12"/>
        <v>0.11089091722688965</v>
      </c>
      <c r="N31" s="3">
        <f t="shared" si="13"/>
        <v>9.4547952547345229E-2</v>
      </c>
      <c r="O31" s="3">
        <f t="shared" si="14"/>
        <v>3.4709469236659886E-2</v>
      </c>
      <c r="P31" s="3">
        <f t="shared" si="15"/>
        <v>0.10024306325863391</v>
      </c>
      <c r="Q31">
        <f t="shared" si="16"/>
        <v>0.101783737458951</v>
      </c>
    </row>
    <row r="32" spans="1:17" x14ac:dyDescent="0.5">
      <c r="A32" s="2" t="s">
        <v>15</v>
      </c>
      <c r="B32" s="3">
        <f t="shared" si="1"/>
        <v>3.3608927030127862E-2</v>
      </c>
      <c r="C32" s="3">
        <f t="shared" si="2"/>
        <v>1.7346405769631937E-2</v>
      </c>
      <c r="D32" s="3">
        <f t="shared" si="3"/>
        <v>2.01492388186006E-2</v>
      </c>
      <c r="E32" s="3">
        <f t="shared" si="4"/>
        <v>2.5902199969252016E-2</v>
      </c>
      <c r="F32" s="3">
        <f t="shared" si="5"/>
        <v>6.8466923400338484E-2</v>
      </c>
      <c r="G32" s="3">
        <f t="shared" si="6"/>
        <v>6.7904374286562777E-2</v>
      </c>
      <c r="H32" s="3">
        <f t="shared" si="7"/>
        <v>2.5384012148898037E-2</v>
      </c>
      <c r="I32" s="3">
        <f t="shared" si="8"/>
        <v>3.8791704124353593E-2</v>
      </c>
      <c r="J32" s="3">
        <f t="shared" si="9"/>
        <v>1.9396746362318484E-2</v>
      </c>
      <c r="K32" s="3">
        <f t="shared" si="10"/>
        <v>3.3449405220210456E-2</v>
      </c>
      <c r="L32" s="3">
        <f t="shared" si="11"/>
        <v>2.0506190117083697E-2</v>
      </c>
      <c r="M32" s="3">
        <f t="shared" si="12"/>
        <v>2.8325585279246095E-2</v>
      </c>
      <c r="N32" s="3">
        <f t="shared" si="13"/>
        <v>2.224325745099642E-2</v>
      </c>
      <c r="O32" s="3">
        <f t="shared" si="14"/>
        <v>3.3198413020142821E-2</v>
      </c>
      <c r="P32" s="3">
        <f t="shared" si="15"/>
        <v>3.5508050057633966E-2</v>
      </c>
      <c r="Q32">
        <f t="shared" si="16"/>
        <v>3.2678762203693146E-2</v>
      </c>
    </row>
    <row r="33" spans="1:17" x14ac:dyDescent="0.5">
      <c r="A33" s="2" t="s">
        <v>16</v>
      </c>
      <c r="B33" s="3">
        <f t="shared" si="1"/>
        <v>0.1168255258627689</v>
      </c>
      <c r="C33" s="3">
        <f t="shared" si="2"/>
        <v>0.10779863173773184</v>
      </c>
      <c r="D33" s="3">
        <f t="shared" si="3"/>
        <v>6.3969845794010147E-2</v>
      </c>
      <c r="E33" s="3">
        <f t="shared" si="4"/>
        <v>0.1077574942749933</v>
      </c>
      <c r="F33" s="3">
        <f t="shared" si="5"/>
        <v>7.8375062360175468E-2</v>
      </c>
      <c r="G33" s="3">
        <f t="shared" si="6"/>
        <v>7.9421437966462075E-2</v>
      </c>
      <c r="H33" s="3">
        <f t="shared" si="7"/>
        <v>8.823550258369095E-2</v>
      </c>
      <c r="I33" s="3">
        <f t="shared" si="8"/>
        <v>0.16714838610192054</v>
      </c>
      <c r="J33" s="3">
        <f t="shared" si="9"/>
        <v>0.11189979642566249</v>
      </c>
      <c r="K33" s="3">
        <f t="shared" si="10"/>
        <v>0.14649231037977758</v>
      </c>
      <c r="L33" s="3">
        <f t="shared" si="11"/>
        <v>8.6477952928181445E-2</v>
      </c>
      <c r="M33" s="3">
        <f t="shared" si="12"/>
        <v>0.129698803591248</v>
      </c>
      <c r="N33" s="3">
        <f t="shared" si="13"/>
        <v>0.10184869441974448</v>
      </c>
      <c r="O33" s="3">
        <f t="shared" si="14"/>
        <v>7.1523812664601852E-2</v>
      </c>
      <c r="P33" s="3">
        <f t="shared" si="15"/>
        <v>0.11214080638779972</v>
      </c>
      <c r="Q33">
        <f t="shared" si="16"/>
        <v>0.10464093756525127</v>
      </c>
    </row>
    <row r="34" spans="1:17" x14ac:dyDescent="0.5">
      <c r="A34" s="2" t="s">
        <v>17</v>
      </c>
      <c r="B34" s="3">
        <f t="shared" si="1"/>
        <v>0.14719093919954043</v>
      </c>
      <c r="C34" s="3">
        <f t="shared" si="2"/>
        <v>0.11211509501239281</v>
      </c>
      <c r="D34" s="3">
        <f t="shared" si="3"/>
        <v>0.19190953738203043</v>
      </c>
      <c r="E34" s="3">
        <f t="shared" si="4"/>
        <v>0.10923380778622557</v>
      </c>
      <c r="F34" s="3">
        <f t="shared" si="5"/>
        <v>8.4426976591087097E-2</v>
      </c>
      <c r="G34" s="3">
        <f t="shared" si="6"/>
        <v>9.5708482162270736E-2</v>
      </c>
      <c r="H34" s="3">
        <f t="shared" si="7"/>
        <v>0.14567360515050071</v>
      </c>
      <c r="I34" s="3">
        <f t="shared" si="8"/>
        <v>0.16714838610192054</v>
      </c>
      <c r="J34" s="3">
        <f t="shared" si="9"/>
        <v>0.15517397089854787</v>
      </c>
      <c r="K34" s="3">
        <f t="shared" si="10"/>
        <v>0.14085231446571581</v>
      </c>
      <c r="L34" s="3">
        <f t="shared" si="11"/>
        <v>0.37873185002729465</v>
      </c>
      <c r="M34" s="3">
        <f t="shared" si="12"/>
        <v>0.1397138008563083</v>
      </c>
      <c r="N34" s="3">
        <f t="shared" si="13"/>
        <v>0.23317530217548713</v>
      </c>
      <c r="O34" s="3">
        <f t="shared" si="14"/>
        <v>0.16374865407777223</v>
      </c>
      <c r="P34" s="3">
        <f t="shared" si="15"/>
        <v>6.1713464054148751E-2</v>
      </c>
      <c r="Q34">
        <f t="shared" si="16"/>
        <v>0.15510107906274953</v>
      </c>
    </row>
    <row r="35" spans="1:17" x14ac:dyDescent="0.5">
      <c r="A35" s="2" t="s">
        <v>18</v>
      </c>
      <c r="B35" s="3">
        <f t="shared" si="1"/>
        <v>2.1929083480775522E-2</v>
      </c>
      <c r="C35" s="3">
        <f t="shared" si="2"/>
        <v>1.4630525251686306E-2</v>
      </c>
      <c r="D35" s="3">
        <f t="shared" si="3"/>
        <v>4.213269980658383E-2</v>
      </c>
      <c r="E35" s="3">
        <f t="shared" si="4"/>
        <v>5.0358054693582226E-2</v>
      </c>
      <c r="F35" s="3">
        <f t="shared" si="5"/>
        <v>8.4426976591087097E-2</v>
      </c>
      <c r="G35" s="3">
        <f t="shared" si="6"/>
        <v>7.5963872633334109E-2</v>
      </c>
      <c r="H35" s="3">
        <f t="shared" si="7"/>
        <v>2.4278934191750114E-2</v>
      </c>
      <c r="I35" s="3">
        <f t="shared" si="8"/>
        <v>6.1577991934638025E-2</v>
      </c>
      <c r="J35" s="3">
        <f t="shared" si="9"/>
        <v>3.3889237403132592E-2</v>
      </c>
      <c r="K35" s="3">
        <f t="shared" si="10"/>
        <v>5.1890436314809794E-2</v>
      </c>
      <c r="L35" s="3">
        <f t="shared" si="11"/>
        <v>3.2551547763718561E-2</v>
      </c>
      <c r="M35" s="3">
        <f t="shared" si="12"/>
        <v>3.2424700897811999E-2</v>
      </c>
      <c r="N35" s="3">
        <f t="shared" si="13"/>
        <v>3.6916090442666444E-2</v>
      </c>
      <c r="O35" s="3">
        <f t="shared" si="14"/>
        <v>0.10785039107655506</v>
      </c>
      <c r="P35" s="3">
        <f t="shared" si="15"/>
        <v>4.0646570626270258E-2</v>
      </c>
      <c r="Q35">
        <f t="shared" si="16"/>
        <v>4.7431140873893454E-2</v>
      </c>
    </row>
    <row r="36" spans="1:17" x14ac:dyDescent="0.5">
      <c r="A36" s="75" t="s">
        <v>67</v>
      </c>
      <c r="B36">
        <f>SUM(B21:B35)</f>
        <v>0.99999999999999989</v>
      </c>
      <c r="C36">
        <f t="shared" ref="C36" si="17">SUM(C21:C35)</f>
        <v>1</v>
      </c>
      <c r="D36">
        <f t="shared" ref="D36" si="18">SUM(D21:D35)</f>
        <v>1</v>
      </c>
      <c r="E36">
        <f t="shared" ref="E36" si="19">SUM(E21:E35)</f>
        <v>1</v>
      </c>
      <c r="F36">
        <f t="shared" ref="F36" si="20">SUM(F21:F35)</f>
        <v>1</v>
      </c>
      <c r="G36">
        <f t="shared" ref="G36" si="21">SUM(G21:G35)</f>
        <v>1</v>
      </c>
      <c r="H36">
        <f t="shared" ref="H36" si="22">SUM(H21:H35)</f>
        <v>0.99999999999999989</v>
      </c>
      <c r="I36">
        <f t="shared" ref="I36" si="23">SUM(I21:I35)</f>
        <v>0.99999999999999989</v>
      </c>
      <c r="J36">
        <f t="shared" ref="J36" si="24">SUM(J21:J35)</f>
        <v>1</v>
      </c>
      <c r="K36">
        <f t="shared" ref="K36" si="25">SUM(K21:K35)</f>
        <v>0.99999999999999989</v>
      </c>
      <c r="L36">
        <f t="shared" ref="L36" si="26">SUM(L21:L35)</f>
        <v>1</v>
      </c>
      <c r="M36">
        <f t="shared" ref="M36" si="27">SUM(M21:M35)</f>
        <v>1</v>
      </c>
      <c r="N36">
        <f t="shared" ref="N36" si="28">SUM(N21:N35)</f>
        <v>0.99999999999999989</v>
      </c>
      <c r="O36">
        <f t="shared" ref="O36" si="29">SUM(O21:O35)</f>
        <v>0.99999999999999989</v>
      </c>
      <c r="P36">
        <f t="shared" ref="P36:Q36" si="30">SUM(P21:P35)</f>
        <v>1</v>
      </c>
      <c r="Q36">
        <f t="shared" si="30"/>
        <v>0.99999999999999989</v>
      </c>
    </row>
    <row r="39" spans="1:17" x14ac:dyDescent="0.5">
      <c r="A39" s="70" t="s">
        <v>69</v>
      </c>
      <c r="B39" s="70" t="s">
        <v>70</v>
      </c>
      <c r="C39" s="70" t="s">
        <v>71</v>
      </c>
    </row>
    <row r="40" spans="1:17" x14ac:dyDescent="0.5">
      <c r="A40" s="70" t="s">
        <v>72</v>
      </c>
      <c r="B40" s="70">
        <f>MMULT(B17:P17,Q21:Q35)</f>
        <v>16.641721910094322</v>
      </c>
      <c r="C40" s="78" t="str">
        <f>IF(B44&lt;=0.1,"Konsistensi Baik/Acceptable","Konsistensi Buruk")</f>
        <v>Konsistensi Baik/Acceptable</v>
      </c>
    </row>
    <row r="41" spans="1:17" x14ac:dyDescent="0.5">
      <c r="A41" s="70" t="s">
        <v>90</v>
      </c>
      <c r="B41" s="70">
        <v>15</v>
      </c>
      <c r="C41" s="78"/>
    </row>
    <row r="42" spans="1:17" x14ac:dyDescent="0.5">
      <c r="A42" s="70" t="s">
        <v>73</v>
      </c>
      <c r="B42" s="70">
        <f>(B40-B41)/(B41-1)</f>
        <v>0.11726585072102301</v>
      </c>
      <c r="C42" s="78"/>
    </row>
    <row r="43" spans="1:17" x14ac:dyDescent="0.5">
      <c r="A43" s="70" t="s">
        <v>74</v>
      </c>
      <c r="B43" s="70">
        <f>INDEX(B49:P49, MATCH(B41, B48:P48, 0))</f>
        <v>1.59</v>
      </c>
      <c r="C43" s="78"/>
    </row>
    <row r="44" spans="1:17" x14ac:dyDescent="0.5">
      <c r="A44" s="70" t="s">
        <v>75</v>
      </c>
      <c r="B44" s="71">
        <f>B42/B43</f>
        <v>7.3752107371712575E-2</v>
      </c>
      <c r="C44" s="78"/>
    </row>
    <row r="47" spans="1:17" x14ac:dyDescent="0.5">
      <c r="A47" s="79" t="s">
        <v>76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</row>
    <row r="48" spans="1:17" x14ac:dyDescent="0.5">
      <c r="A48" s="69" t="s">
        <v>77</v>
      </c>
      <c r="B48" s="69">
        <v>1</v>
      </c>
      <c r="C48" s="69">
        <v>2</v>
      </c>
      <c r="D48" s="69">
        <v>3</v>
      </c>
      <c r="E48" s="69">
        <v>4</v>
      </c>
      <c r="F48" s="69">
        <v>5</v>
      </c>
      <c r="G48" s="69">
        <v>6</v>
      </c>
      <c r="H48" s="69">
        <v>7</v>
      </c>
      <c r="I48" s="69">
        <v>8</v>
      </c>
      <c r="J48" s="69">
        <v>9</v>
      </c>
      <c r="K48" s="69">
        <v>10</v>
      </c>
      <c r="L48" s="69">
        <v>11</v>
      </c>
      <c r="M48" s="69">
        <v>12</v>
      </c>
      <c r="N48" s="69">
        <v>13</v>
      </c>
      <c r="O48" s="69">
        <v>14</v>
      </c>
      <c r="P48" s="69">
        <v>15</v>
      </c>
    </row>
    <row r="49" spans="1:18" x14ac:dyDescent="0.5">
      <c r="A49" s="69" t="s">
        <v>74</v>
      </c>
      <c r="B49" s="69">
        <v>0</v>
      </c>
      <c r="C49" s="69">
        <v>0</v>
      </c>
      <c r="D49" s="69">
        <v>0.57999999999999996</v>
      </c>
      <c r="E49" s="69">
        <v>0.9</v>
      </c>
      <c r="F49" s="69">
        <v>1.1200000000000001</v>
      </c>
      <c r="G49" s="69">
        <v>1.24</v>
      </c>
      <c r="H49" s="69">
        <v>1.32</v>
      </c>
      <c r="I49" s="69">
        <v>1.41</v>
      </c>
      <c r="J49" s="69">
        <v>1.45</v>
      </c>
      <c r="K49" s="69">
        <v>1.49</v>
      </c>
      <c r="L49" s="69">
        <v>1.51</v>
      </c>
      <c r="M49" s="69">
        <v>1.48</v>
      </c>
      <c r="N49" s="69">
        <v>1.56</v>
      </c>
      <c r="O49" s="69">
        <v>1.57</v>
      </c>
      <c r="P49" s="69">
        <v>1.59</v>
      </c>
    </row>
    <row r="52" spans="1:18" x14ac:dyDescent="0.5">
      <c r="A52" s="72" t="s">
        <v>78</v>
      </c>
    </row>
    <row r="53" spans="1:18" x14ac:dyDescent="0.5">
      <c r="A53" s="63" t="s">
        <v>0</v>
      </c>
      <c r="B53" s="2" t="s">
        <v>4</v>
      </c>
      <c r="C53" s="2" t="s">
        <v>5</v>
      </c>
      <c r="D53" s="2" t="s">
        <v>6</v>
      </c>
      <c r="E53" s="2" t="s">
        <v>7</v>
      </c>
      <c r="F53" s="2" t="s">
        <v>8</v>
      </c>
      <c r="G53" s="2" t="s">
        <v>9</v>
      </c>
      <c r="H53" s="2" t="s">
        <v>10</v>
      </c>
      <c r="I53" s="2" t="s">
        <v>11</v>
      </c>
      <c r="J53" s="2" t="s">
        <v>12</v>
      </c>
      <c r="K53" s="2" t="s">
        <v>13</v>
      </c>
      <c r="L53" s="2" t="s">
        <v>14</v>
      </c>
      <c r="M53" s="2" t="s">
        <v>15</v>
      </c>
      <c r="N53" s="2" t="s">
        <v>16</v>
      </c>
      <c r="O53" s="2" t="s">
        <v>17</v>
      </c>
      <c r="P53" s="2" t="s">
        <v>18</v>
      </c>
      <c r="Q53" s="75" t="s">
        <v>80</v>
      </c>
      <c r="R53" s="75" t="s">
        <v>81</v>
      </c>
    </row>
    <row r="54" spans="1:18" x14ac:dyDescent="0.5">
      <c r="A54" s="2" t="s">
        <v>4</v>
      </c>
      <c r="B54" s="3">
        <f t="array" ref="B54:P68">MMULT(B2:P16,B2:P16)</f>
        <v>15</v>
      </c>
      <c r="C54" s="3">
        <v>9.2267341751540055</v>
      </c>
      <c r="D54" s="3">
        <v>8.6978916040391461</v>
      </c>
      <c r="E54" s="3">
        <v>29.462662209235656</v>
      </c>
      <c r="F54" s="3">
        <v>65.147795965556085</v>
      </c>
      <c r="G54" s="3">
        <v>50.050062623570057</v>
      </c>
      <c r="H54" s="3">
        <v>6.3828349882066755</v>
      </c>
      <c r="I54" s="3">
        <v>11.315723872929496</v>
      </c>
      <c r="J54" s="3">
        <v>12.446825920991891</v>
      </c>
      <c r="K54" s="3">
        <v>6.7034927249448799</v>
      </c>
      <c r="L54" s="3">
        <v>7.1952603265057995</v>
      </c>
      <c r="M54" s="3">
        <v>19.33673973052586</v>
      </c>
      <c r="N54" s="3">
        <v>6.6407634650067795</v>
      </c>
      <c r="O54" s="3">
        <v>5.1860221129018775</v>
      </c>
      <c r="P54" s="3">
        <v>13.625250477719781</v>
      </c>
      <c r="Q54">
        <f>SUM(B54:P54)</f>
        <v>266.41806019728801</v>
      </c>
      <c r="R54">
        <f>Q54/$Q$69</f>
        <v>3.6997451825931227E-2</v>
      </c>
    </row>
    <row r="55" spans="1:18" x14ac:dyDescent="0.5">
      <c r="A55" s="2" t="s">
        <v>5</v>
      </c>
      <c r="B55" s="3">
        <v>32.855063412376524</v>
      </c>
      <c r="C55" s="3">
        <v>15</v>
      </c>
      <c r="D55" s="3">
        <v>15.986870002300497</v>
      </c>
      <c r="E55" s="3">
        <v>58.280663323213076</v>
      </c>
      <c r="F55" s="3">
        <v>122.71862405677278</v>
      </c>
      <c r="G55" s="3">
        <v>98.925412698602301</v>
      </c>
      <c r="H55" s="3">
        <v>10.107647956750405</v>
      </c>
      <c r="I55" s="3">
        <v>20.84580121212565</v>
      </c>
      <c r="J55" s="3">
        <v>19.737281484805212</v>
      </c>
      <c r="K55" s="3">
        <v>11.141544949811381</v>
      </c>
      <c r="L55" s="3">
        <v>11.960410518861059</v>
      </c>
      <c r="M55" s="3">
        <v>34.627256160080165</v>
      </c>
      <c r="N55" s="3">
        <v>10.41140499935497</v>
      </c>
      <c r="O55" s="3">
        <v>8.8819198024947461</v>
      </c>
      <c r="P55" s="3">
        <v>27.525080795338177</v>
      </c>
      <c r="Q55">
        <f t="shared" ref="Q55:Q68" si="31">SUM(B55:P55)</f>
        <v>499.0049813728869</v>
      </c>
      <c r="R55">
        <f t="shared" ref="R55:R68" si="32">Q55/$Q$69</f>
        <v>6.9296776448156974E-2</v>
      </c>
    </row>
    <row r="56" spans="1:18" x14ac:dyDescent="0.5">
      <c r="A56" s="2" t="s">
        <v>6</v>
      </c>
      <c r="B56" s="3">
        <v>49.209985382749942</v>
      </c>
      <c r="C56" s="3">
        <v>23.926443496934667</v>
      </c>
      <c r="D56" s="3">
        <v>15</v>
      </c>
      <c r="E56" s="3">
        <v>67.562160741653713</v>
      </c>
      <c r="F56" s="3">
        <v>128.74291969318051</v>
      </c>
      <c r="G56" s="3">
        <v>106.87041902499402</v>
      </c>
      <c r="H56" s="3">
        <v>13.755213932618242</v>
      </c>
      <c r="I56" s="3">
        <v>26.606447214017038</v>
      </c>
      <c r="J56" s="3">
        <v>26.575200885561525</v>
      </c>
      <c r="K56" s="3">
        <v>15.076137692802329</v>
      </c>
      <c r="L56" s="3">
        <v>13.18729413314399</v>
      </c>
      <c r="M56" s="3">
        <v>46.377530420789078</v>
      </c>
      <c r="N56" s="3">
        <v>12.216205556224406</v>
      </c>
      <c r="O56" s="3">
        <v>9.0509256148060508</v>
      </c>
      <c r="P56" s="3">
        <v>32.446839050705435</v>
      </c>
      <c r="Q56">
        <f t="shared" si="31"/>
        <v>586.60372284018092</v>
      </c>
      <c r="R56">
        <f t="shared" si="32"/>
        <v>8.1461605720798774E-2</v>
      </c>
    </row>
    <row r="57" spans="1:18" x14ac:dyDescent="0.5">
      <c r="A57" s="2" t="s">
        <v>7</v>
      </c>
      <c r="B57" s="3">
        <v>10.571173215105517</v>
      </c>
      <c r="C57" s="3">
        <v>5.6024602063791633</v>
      </c>
      <c r="D57" s="3">
        <v>4.6157726607746099</v>
      </c>
      <c r="E57" s="3">
        <v>15</v>
      </c>
      <c r="F57" s="3">
        <v>31.181970454774081</v>
      </c>
      <c r="G57" s="3">
        <v>25.700966731117212</v>
      </c>
      <c r="H57" s="3">
        <v>3.7594570100556228</v>
      </c>
      <c r="I57" s="3">
        <v>6.419046191212864</v>
      </c>
      <c r="J57" s="3">
        <v>6.464351703305943</v>
      </c>
      <c r="K57" s="3">
        <v>3.6161635239556151</v>
      </c>
      <c r="L57" s="3">
        <v>3.9886703579898821</v>
      </c>
      <c r="M57" s="3">
        <v>10.539048702453117</v>
      </c>
      <c r="N57" s="3">
        <v>3.5143209862905858</v>
      </c>
      <c r="O57" s="3">
        <v>2.6680213857308113</v>
      </c>
      <c r="P57" s="3">
        <v>7.6237391244405561</v>
      </c>
      <c r="Q57">
        <f t="shared" si="31"/>
        <v>141.26516225358557</v>
      </c>
      <c r="R57">
        <f t="shared" si="32"/>
        <v>1.9617480253737669E-2</v>
      </c>
    </row>
    <row r="58" spans="1:18" x14ac:dyDescent="0.5">
      <c r="A58" s="2" t="s">
        <v>8</v>
      </c>
      <c r="B58" s="3">
        <v>6.6365057749040393</v>
      </c>
      <c r="C58" s="3">
        <v>3.2968281528344092</v>
      </c>
      <c r="D58" s="3">
        <v>2.6224243152923372</v>
      </c>
      <c r="E58" s="3">
        <v>8.9363971632722734</v>
      </c>
      <c r="F58" s="3">
        <v>15</v>
      </c>
      <c r="G58" s="3">
        <v>12.854101653369391</v>
      </c>
      <c r="H58" s="3">
        <v>1.9910554170489156</v>
      </c>
      <c r="I58" s="3">
        <v>3.71102649862874</v>
      </c>
      <c r="J58" s="3">
        <v>3.8176903211837216</v>
      </c>
      <c r="K58" s="3">
        <v>1.9348243174087738</v>
      </c>
      <c r="L58" s="3">
        <v>2.3212506211152193</v>
      </c>
      <c r="M58" s="3">
        <v>6.4474493019381001</v>
      </c>
      <c r="N58" s="3">
        <v>1.9428196258904358</v>
      </c>
      <c r="O58" s="3">
        <v>1.2885175989391471</v>
      </c>
      <c r="P58" s="3">
        <v>4.5892029620642356</v>
      </c>
      <c r="Q58">
        <f t="shared" si="31"/>
        <v>77.390093723889748</v>
      </c>
      <c r="R58">
        <f t="shared" si="32"/>
        <v>1.0747155287571829E-2</v>
      </c>
    </row>
    <row r="59" spans="1:18" x14ac:dyDescent="0.5">
      <c r="A59" s="2" t="s">
        <v>9</v>
      </c>
      <c r="B59" s="3">
        <v>7.4933044185370914</v>
      </c>
      <c r="C59" s="3">
        <v>3.7467482325872403</v>
      </c>
      <c r="D59" s="3">
        <v>3.071579405245116</v>
      </c>
      <c r="E59" s="3">
        <v>10.354841317504864</v>
      </c>
      <c r="F59" s="3">
        <v>17.983685777504729</v>
      </c>
      <c r="G59" s="3">
        <v>15</v>
      </c>
      <c r="H59" s="3">
        <v>2.2666067957888041</v>
      </c>
      <c r="I59" s="3">
        <v>4.256406088707811</v>
      </c>
      <c r="J59" s="3">
        <v>4.420467804932902</v>
      </c>
      <c r="K59" s="3">
        <v>2.2189940120944343</v>
      </c>
      <c r="L59" s="3">
        <v>2.6512635250450907</v>
      </c>
      <c r="M59" s="3">
        <v>7.4637083486758442</v>
      </c>
      <c r="N59" s="3">
        <v>2.2476754907062473</v>
      </c>
      <c r="O59" s="3">
        <v>1.5087735454553632</v>
      </c>
      <c r="P59" s="3">
        <v>5.3321748666717728</v>
      </c>
      <c r="Q59">
        <f t="shared" si="31"/>
        <v>90.016229629457328</v>
      </c>
      <c r="R59">
        <f t="shared" si="32"/>
        <v>1.2500545634187123E-2</v>
      </c>
    </row>
    <row r="60" spans="1:18" x14ac:dyDescent="0.5">
      <c r="A60" s="2" t="s">
        <v>10</v>
      </c>
      <c r="B60" s="3">
        <v>53.975465506102196</v>
      </c>
      <c r="C60" s="3">
        <v>25.772435849676171</v>
      </c>
      <c r="D60" s="3">
        <v>23.725116417908538</v>
      </c>
      <c r="E60" s="3">
        <v>91.717148882020027</v>
      </c>
      <c r="F60" s="3">
        <v>172.34402197864694</v>
      </c>
      <c r="G60" s="3">
        <v>141.05460077950721</v>
      </c>
      <c r="H60" s="3">
        <v>15</v>
      </c>
      <c r="I60" s="3">
        <v>33.960298254188437</v>
      </c>
      <c r="J60" s="3">
        <v>35.686088018210555</v>
      </c>
      <c r="K60" s="3">
        <v>17.412069980143652</v>
      </c>
      <c r="L60" s="3">
        <v>18.939825540878839</v>
      </c>
      <c r="M60" s="3">
        <v>58.783306062343613</v>
      </c>
      <c r="N60" s="3">
        <v>16.702801034743814</v>
      </c>
      <c r="O60" s="3">
        <v>12.144663921208839</v>
      </c>
      <c r="P60" s="3">
        <v>43.909224464585002</v>
      </c>
      <c r="Q60">
        <f t="shared" si="31"/>
        <v>761.12706669016382</v>
      </c>
      <c r="R60">
        <f t="shared" si="32"/>
        <v>0.10569764663262245</v>
      </c>
    </row>
    <row r="61" spans="1:18" x14ac:dyDescent="0.5">
      <c r="A61" s="2" t="s">
        <v>11</v>
      </c>
      <c r="B61" s="3">
        <v>33.211077418442706</v>
      </c>
      <c r="C61" s="3">
        <v>15.591201423827009</v>
      </c>
      <c r="D61" s="3">
        <v>15.969423998148036</v>
      </c>
      <c r="E61" s="3">
        <v>58.063128875904539</v>
      </c>
      <c r="F61" s="3">
        <v>107.54287963549417</v>
      </c>
      <c r="G61" s="3">
        <v>88.819108133911186</v>
      </c>
      <c r="H61" s="3">
        <v>10.196672433430304</v>
      </c>
      <c r="I61" s="3">
        <v>15</v>
      </c>
      <c r="J61" s="3">
        <v>17.093221526480455</v>
      </c>
      <c r="K61" s="3">
        <v>9.513589044541316</v>
      </c>
      <c r="L61" s="3">
        <v>9.8238231797206446</v>
      </c>
      <c r="M61" s="3">
        <v>31.921957193045401</v>
      </c>
      <c r="N61" s="3">
        <v>9.2100680224692759</v>
      </c>
      <c r="O61" s="3">
        <v>7.2714222628472509</v>
      </c>
      <c r="P61" s="3">
        <v>27.780819454173212</v>
      </c>
      <c r="Q61">
        <f t="shared" si="31"/>
        <v>457.00839260243549</v>
      </c>
      <c r="R61">
        <f t="shared" si="32"/>
        <v>6.3464713979352771E-2</v>
      </c>
    </row>
    <row r="62" spans="1:18" x14ac:dyDescent="0.5">
      <c r="A62" s="2" t="s">
        <v>12</v>
      </c>
      <c r="B62" s="3">
        <v>30.717314680865435</v>
      </c>
      <c r="C62" s="3">
        <v>14.600190679557974</v>
      </c>
      <c r="D62" s="3">
        <v>12.744264252035528</v>
      </c>
      <c r="E62" s="3">
        <v>46.506619580117956</v>
      </c>
      <c r="F62" s="3">
        <v>93.138594734160861</v>
      </c>
      <c r="G62" s="3">
        <v>76.377130602713308</v>
      </c>
      <c r="H62" s="3">
        <v>9.7357603654130216</v>
      </c>
      <c r="I62" s="3">
        <v>15.819323501227391</v>
      </c>
      <c r="J62" s="3">
        <v>15</v>
      </c>
      <c r="K62" s="3">
        <v>9.0009123953230024</v>
      </c>
      <c r="L62" s="3">
        <v>9.0971001257571391</v>
      </c>
      <c r="M62" s="3">
        <v>29.308488400680858</v>
      </c>
      <c r="N62" s="3">
        <v>8.2766567774860587</v>
      </c>
      <c r="O62" s="3">
        <v>6.8851687831006396</v>
      </c>
      <c r="P62" s="3">
        <v>23.714012459596397</v>
      </c>
      <c r="Q62">
        <f t="shared" si="31"/>
        <v>400.92153733803553</v>
      </c>
      <c r="R62">
        <f t="shared" si="32"/>
        <v>5.5675937482083847E-2</v>
      </c>
    </row>
    <row r="63" spans="1:18" x14ac:dyDescent="0.5">
      <c r="A63" s="2" t="s">
        <v>13</v>
      </c>
      <c r="B63" s="3">
        <v>58.991576983080407</v>
      </c>
      <c r="C63" s="3">
        <v>26.545727424422481</v>
      </c>
      <c r="D63" s="3">
        <v>25.240283322518515</v>
      </c>
      <c r="E63" s="3">
        <v>86.820563083378801</v>
      </c>
      <c r="F63" s="3">
        <v>155.9831280266165</v>
      </c>
      <c r="G63" s="3">
        <v>129.60334769039005</v>
      </c>
      <c r="H63" s="3">
        <v>16.450794920061757</v>
      </c>
      <c r="I63" s="3">
        <v>28.095830908620556</v>
      </c>
      <c r="J63" s="3">
        <v>29.705407310096763</v>
      </c>
      <c r="K63" s="3">
        <v>15</v>
      </c>
      <c r="L63" s="3">
        <v>17.42418109024085</v>
      </c>
      <c r="M63" s="3">
        <v>54.756600178233924</v>
      </c>
      <c r="N63" s="3">
        <v>15.520895330798643</v>
      </c>
      <c r="O63" s="3">
        <v>11.648214741895954</v>
      </c>
      <c r="P63" s="3">
        <v>45.655330666923739</v>
      </c>
      <c r="Q63">
        <f t="shared" si="31"/>
        <v>717.44188167727896</v>
      </c>
      <c r="R63">
        <f t="shared" si="32"/>
        <v>9.9631088956974465E-2</v>
      </c>
    </row>
    <row r="64" spans="1:18" x14ac:dyDescent="0.5">
      <c r="A64" s="2" t="s">
        <v>14</v>
      </c>
      <c r="B64" s="3">
        <v>62.940456023622104</v>
      </c>
      <c r="C64" s="3">
        <v>29.434928771810007</v>
      </c>
      <c r="D64" s="3">
        <v>22.074684852237294</v>
      </c>
      <c r="E64" s="3">
        <v>92.769597670689521</v>
      </c>
      <c r="F64" s="3">
        <v>171.81357288175516</v>
      </c>
      <c r="G64" s="3">
        <v>144.54418941927926</v>
      </c>
      <c r="H64" s="3">
        <v>17.615914028966507</v>
      </c>
      <c r="I64" s="3">
        <v>29.855895226364368</v>
      </c>
      <c r="J64" s="3">
        <v>30.252978973849871</v>
      </c>
      <c r="K64" s="3">
        <v>17.514345789253142</v>
      </c>
      <c r="L64" s="3">
        <v>15</v>
      </c>
      <c r="M64" s="3">
        <v>55.833831005884761</v>
      </c>
      <c r="N64" s="3">
        <v>14.552625420287463</v>
      </c>
      <c r="O64" s="3">
        <v>11.765354148335597</v>
      </c>
      <c r="P64" s="3">
        <v>44.184072056159522</v>
      </c>
      <c r="Q64">
        <f t="shared" si="31"/>
        <v>760.1524462684946</v>
      </c>
      <c r="R64">
        <f t="shared" si="32"/>
        <v>0.10556230118317141</v>
      </c>
    </row>
    <row r="65" spans="1:18" x14ac:dyDescent="0.5">
      <c r="A65" s="2" t="s">
        <v>15</v>
      </c>
      <c r="B65" s="3">
        <v>16.777113112392499</v>
      </c>
      <c r="C65" s="3">
        <v>8.4657663231425406</v>
      </c>
      <c r="D65" s="3">
        <v>7.4556368146443299</v>
      </c>
      <c r="E65" s="3">
        <v>25.718172233972339</v>
      </c>
      <c r="F65" s="3">
        <v>51.95346144574885</v>
      </c>
      <c r="G65" s="3">
        <v>43.263963511208246</v>
      </c>
      <c r="H65" s="3">
        <v>5.7506392661280632</v>
      </c>
      <c r="I65" s="3">
        <v>9.2605196357286879</v>
      </c>
      <c r="J65" s="3">
        <v>9.5272405587370805</v>
      </c>
      <c r="K65" s="3">
        <v>5.3800259701335227</v>
      </c>
      <c r="L65" s="3">
        <v>5.6095358331598613</v>
      </c>
      <c r="M65" s="3">
        <v>15</v>
      </c>
      <c r="N65" s="3">
        <v>5.1086768593915348</v>
      </c>
      <c r="O65" s="3">
        <v>4.1448243885780265</v>
      </c>
      <c r="P65" s="3">
        <v>11.595632881495582</v>
      </c>
      <c r="Q65">
        <f t="shared" si="31"/>
        <v>225.01120883446117</v>
      </c>
      <c r="R65">
        <f t="shared" si="32"/>
        <v>3.1247286137369268E-2</v>
      </c>
    </row>
    <row r="66" spans="1:18" x14ac:dyDescent="0.5">
      <c r="A66" s="2" t="s">
        <v>16</v>
      </c>
      <c r="B66" s="3">
        <v>65.359924232578081</v>
      </c>
      <c r="C66" s="3">
        <v>29.630265593206353</v>
      </c>
      <c r="D66" s="3">
        <v>22.908747628357272</v>
      </c>
      <c r="E66" s="3">
        <v>93.706805391234312</v>
      </c>
      <c r="F66" s="3">
        <v>178.82916449904118</v>
      </c>
      <c r="G66" s="3">
        <v>148.36419702131798</v>
      </c>
      <c r="H66" s="3">
        <v>17.935903785580823</v>
      </c>
      <c r="I66" s="3">
        <v>31.679765497152268</v>
      </c>
      <c r="J66" s="3">
        <v>31.37045496994255</v>
      </c>
      <c r="K66" s="3">
        <v>17.523152004254939</v>
      </c>
      <c r="L66" s="3">
        <v>16.374585054109925</v>
      </c>
      <c r="M66" s="3">
        <v>55.960687946536069</v>
      </c>
      <c r="N66" s="3">
        <v>15</v>
      </c>
      <c r="O66" s="3">
        <v>12.047390658122872</v>
      </c>
      <c r="P66" s="3">
        <v>43.638806680245239</v>
      </c>
      <c r="Q66">
        <f t="shared" si="31"/>
        <v>780.32985096167988</v>
      </c>
      <c r="R66">
        <f t="shared" si="32"/>
        <v>0.10836433554058558</v>
      </c>
    </row>
    <row r="67" spans="1:18" x14ac:dyDescent="0.5">
      <c r="A67" s="2" t="s">
        <v>17</v>
      </c>
      <c r="B67" s="3">
        <v>96.794307277807093</v>
      </c>
      <c r="C67" s="3">
        <v>45.782559323486979</v>
      </c>
      <c r="D67" s="3">
        <v>33.026328786189502</v>
      </c>
      <c r="E67" s="3">
        <v>135.21689726138291</v>
      </c>
      <c r="F67" s="3">
        <v>233.28881658750163</v>
      </c>
      <c r="G67" s="3">
        <v>197.93996632347285</v>
      </c>
      <c r="H67" s="3">
        <v>25.125941462380641</v>
      </c>
      <c r="I67" s="3">
        <v>52.788803388979218</v>
      </c>
      <c r="J67" s="3">
        <v>57.138102769713797</v>
      </c>
      <c r="K67" s="3">
        <v>27.509314554630041</v>
      </c>
      <c r="L67" s="3">
        <v>27.256058646031455</v>
      </c>
      <c r="M67" s="3">
        <v>90.040502659777246</v>
      </c>
      <c r="N67" s="3">
        <v>24.181052321073071</v>
      </c>
      <c r="O67" s="3">
        <v>15</v>
      </c>
      <c r="P67" s="3">
        <v>64.663519215461918</v>
      </c>
      <c r="Q67">
        <f t="shared" si="31"/>
        <v>1125.7521705778884</v>
      </c>
      <c r="R67">
        <f t="shared" si="32"/>
        <v>0.1563331016975737</v>
      </c>
    </row>
    <row r="68" spans="1:18" x14ac:dyDescent="0.5">
      <c r="A68" s="2" t="s">
        <v>18</v>
      </c>
      <c r="B68" s="3">
        <v>24.766036714688472</v>
      </c>
      <c r="C68" s="3">
        <v>12.566929869997244</v>
      </c>
      <c r="D68" s="3">
        <v>9.9403681779616999</v>
      </c>
      <c r="E68" s="3">
        <v>34.677408479987776</v>
      </c>
      <c r="F68" s="3">
        <v>69.029547707085968</v>
      </c>
      <c r="G68" s="3">
        <v>56.575705431910187</v>
      </c>
      <c r="H68" s="3">
        <v>8.1964428229666861</v>
      </c>
      <c r="I68" s="3">
        <v>14.200379274633304</v>
      </c>
      <c r="J68" s="3">
        <v>14.539034655667287</v>
      </c>
      <c r="K68" s="3">
        <v>7.8966216080714648</v>
      </c>
      <c r="L68" s="3">
        <v>9.3302227258372099</v>
      </c>
      <c r="M68" s="3">
        <v>22.510381117141922</v>
      </c>
      <c r="N68" s="3">
        <v>7.6429394375236637</v>
      </c>
      <c r="O68" s="3">
        <v>5.6692191194429142</v>
      </c>
      <c r="P68" s="3">
        <v>15</v>
      </c>
      <c r="Q68">
        <f t="shared" si="31"/>
        <v>312.54123714291575</v>
      </c>
      <c r="R68">
        <f t="shared" si="32"/>
        <v>4.3402573219882938E-2</v>
      </c>
    </row>
    <row r="69" spans="1:18" x14ac:dyDescent="0.5">
      <c r="A69" s="115" t="s">
        <v>67</v>
      </c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>
        <f>SUM(Q54:Q68)</f>
        <v>7200.9840421106419</v>
      </c>
      <c r="R69">
        <f>SUM(R54:R68)</f>
        <v>1</v>
      </c>
    </row>
    <row r="72" spans="1:18" x14ac:dyDescent="0.5">
      <c r="A72" s="72" t="s">
        <v>82</v>
      </c>
    </row>
    <row r="73" spans="1:18" x14ac:dyDescent="0.5">
      <c r="A73" s="63" t="s">
        <v>0</v>
      </c>
      <c r="B73" s="2" t="s">
        <v>4</v>
      </c>
      <c r="C73" s="2" t="s">
        <v>5</v>
      </c>
      <c r="D73" s="2" t="s">
        <v>6</v>
      </c>
      <c r="E73" s="2" t="s">
        <v>7</v>
      </c>
      <c r="F73" s="2" t="s">
        <v>8</v>
      </c>
      <c r="G73" s="2" t="s">
        <v>9</v>
      </c>
      <c r="H73" s="2" t="s">
        <v>10</v>
      </c>
      <c r="I73" s="2" t="s">
        <v>11</v>
      </c>
      <c r="J73" s="2" t="s">
        <v>12</v>
      </c>
      <c r="K73" s="2" t="s">
        <v>13</v>
      </c>
      <c r="L73" s="2" t="s">
        <v>14</v>
      </c>
      <c r="M73" s="2" t="s">
        <v>15</v>
      </c>
      <c r="N73" s="2" t="s">
        <v>16</v>
      </c>
      <c r="O73" s="2" t="s">
        <v>17</v>
      </c>
      <c r="P73" s="2" t="s">
        <v>18</v>
      </c>
      <c r="Q73" s="75" t="s">
        <v>80</v>
      </c>
      <c r="R73" s="75" t="s">
        <v>81</v>
      </c>
    </row>
    <row r="74" spans="1:18" x14ac:dyDescent="0.5">
      <c r="A74" s="2" t="s">
        <v>4</v>
      </c>
      <c r="B74" s="3">
        <f t="array" ref="B74:P88">MMULT(B54:P68,B54:P68)</f>
        <v>5623.8718915990412</v>
      </c>
      <c r="C74" s="3">
        <v>2733.7999719507625</v>
      </c>
      <c r="D74" s="3">
        <v>2290.8246589718842</v>
      </c>
      <c r="E74" s="3">
        <v>8473.8359458063424</v>
      </c>
      <c r="F74" s="3">
        <v>16125.989014781902</v>
      </c>
      <c r="G74" s="3">
        <v>13322.51948162109</v>
      </c>
      <c r="H74" s="3">
        <v>1704.1871857863139</v>
      </c>
      <c r="I74" s="3">
        <v>3080.6693502497251</v>
      </c>
      <c r="J74" s="3">
        <v>3172.0550779625387</v>
      </c>
      <c r="K74" s="3">
        <v>1706.1888140365215</v>
      </c>
      <c r="L74" s="3">
        <v>1790.125477466868</v>
      </c>
      <c r="M74" s="3">
        <v>5422.3946058173569</v>
      </c>
      <c r="N74" s="3">
        <v>1595.0770136701462</v>
      </c>
      <c r="O74" s="3">
        <v>1199.9526421619062</v>
      </c>
      <c r="P74" s="3">
        <v>4098.5298492008005</v>
      </c>
      <c r="Q74">
        <f>SUM(B74:P74)</f>
        <v>72340.020981083202</v>
      </c>
      <c r="R74">
        <f>Q74/$Q$89</f>
        <v>3.767939368499372E-2</v>
      </c>
    </row>
    <row r="75" spans="1:18" x14ac:dyDescent="0.5">
      <c r="A75" s="2" t="s">
        <v>5</v>
      </c>
      <c r="B75" s="3">
        <v>10001.20589607651</v>
      </c>
      <c r="C75" s="3">
        <v>4888.0736541166261</v>
      </c>
      <c r="D75" s="3">
        <v>4093.1666105194154</v>
      </c>
      <c r="E75" s="3">
        <v>15071.406692364446</v>
      </c>
      <c r="F75" s="3">
        <v>28724.471332560955</v>
      </c>
      <c r="G75" s="3">
        <v>23711.622787647368</v>
      </c>
      <c r="H75" s="3">
        <v>3053.8461953141787</v>
      </c>
      <c r="I75" s="3">
        <v>5508.9304051090048</v>
      </c>
      <c r="J75" s="3">
        <v>5682.4823442253519</v>
      </c>
      <c r="K75" s="3">
        <v>3055.0891758306575</v>
      </c>
      <c r="L75" s="3">
        <v>3219.1703909008352</v>
      </c>
      <c r="M75" s="3">
        <v>9677.2545830533309</v>
      </c>
      <c r="N75" s="3">
        <v>2864.6173467485537</v>
      </c>
      <c r="O75" s="3">
        <v>2150.140431200909</v>
      </c>
      <c r="P75" s="3">
        <v>7285.4346885029463</v>
      </c>
      <c r="Q75">
        <f t="shared" ref="Q75:Q88" si="33">SUM(B75:P75)</f>
        <v>128986.91253417109</v>
      </c>
      <c r="R75">
        <f t="shared" ref="R75:R88" si="34">Q75/$Q$89</f>
        <v>6.7184783632531775E-2</v>
      </c>
    </row>
    <row r="76" spans="1:18" x14ac:dyDescent="0.5">
      <c r="A76" s="2" t="s">
        <v>6</v>
      </c>
      <c r="B76" s="3">
        <v>12049.791528010066</v>
      </c>
      <c r="C76" s="3">
        <v>5897.6463035830084</v>
      </c>
      <c r="D76" s="3">
        <v>5021.8939608796554</v>
      </c>
      <c r="E76" s="3">
        <v>18389.456442432172</v>
      </c>
      <c r="F76" s="3">
        <v>35302.951604175432</v>
      </c>
      <c r="G76" s="3">
        <v>29066.66153940907</v>
      </c>
      <c r="H76" s="3">
        <v>3710.6787733466949</v>
      </c>
      <c r="I76" s="3">
        <v>6680.0022938715802</v>
      </c>
      <c r="J76" s="3">
        <v>6889.1041771716773</v>
      </c>
      <c r="K76" s="3">
        <v>3710.8773803075278</v>
      </c>
      <c r="L76" s="3">
        <v>3923.5024917770857</v>
      </c>
      <c r="M76" s="3">
        <v>11738.716523393599</v>
      </c>
      <c r="N76" s="3">
        <v>3494.5898069046689</v>
      </c>
      <c r="O76" s="3">
        <v>2644.2382033800518</v>
      </c>
      <c r="P76" s="3">
        <v>8878.6871625748408</v>
      </c>
      <c r="Q76">
        <f t="shared" si="33"/>
        <v>157398.79819121715</v>
      </c>
      <c r="R76">
        <f t="shared" si="34"/>
        <v>8.1983543855241828E-2</v>
      </c>
    </row>
    <row r="77" spans="1:18" x14ac:dyDescent="0.5">
      <c r="A77" s="2" t="s">
        <v>7</v>
      </c>
      <c r="B77" s="3">
        <v>3060.481959814827</v>
      </c>
      <c r="C77" s="3">
        <v>1491.2058082764775</v>
      </c>
      <c r="D77" s="3">
        <v>1257.0896214195986</v>
      </c>
      <c r="E77" s="3">
        <v>4647.2358612339822</v>
      </c>
      <c r="F77" s="3">
        <v>8882.4975677720558</v>
      </c>
      <c r="G77" s="3">
        <v>7324.5925817418884</v>
      </c>
      <c r="H77" s="3">
        <v>932.01942793672799</v>
      </c>
      <c r="I77" s="3">
        <v>1685.5497871488367</v>
      </c>
      <c r="J77" s="3">
        <v>1737.3165775964226</v>
      </c>
      <c r="K77" s="3">
        <v>935.1703713815491</v>
      </c>
      <c r="L77" s="3">
        <v>980.7151617151244</v>
      </c>
      <c r="M77" s="3">
        <v>2966.0989950976664</v>
      </c>
      <c r="N77" s="3">
        <v>874.90756886490817</v>
      </c>
      <c r="O77" s="3">
        <v>660.4886632558314</v>
      </c>
      <c r="P77" s="3">
        <v>2242.986026860242</v>
      </c>
      <c r="Q77">
        <f t="shared" si="33"/>
        <v>39678.355980116139</v>
      </c>
      <c r="R77">
        <f t="shared" si="34"/>
        <v>2.0667071635755756E-2</v>
      </c>
    </row>
    <row r="78" spans="1:18" x14ac:dyDescent="0.5">
      <c r="A78" s="2" t="s">
        <v>8</v>
      </c>
      <c r="B78" s="3">
        <v>1709.0031363522398</v>
      </c>
      <c r="C78" s="3">
        <v>834.52286637647694</v>
      </c>
      <c r="D78" s="3">
        <v>705.81487121935481</v>
      </c>
      <c r="E78" s="3">
        <v>2606.2438904750388</v>
      </c>
      <c r="F78" s="3">
        <v>5007.5981673090291</v>
      </c>
      <c r="G78" s="3">
        <v>4124.0527279703219</v>
      </c>
      <c r="H78" s="3">
        <v>523.8598923125877</v>
      </c>
      <c r="I78" s="3">
        <v>943.11765498274315</v>
      </c>
      <c r="J78" s="3">
        <v>971.39061225290925</v>
      </c>
      <c r="K78" s="3">
        <v>525.04759787524506</v>
      </c>
      <c r="L78" s="3">
        <v>549.65456845921562</v>
      </c>
      <c r="M78" s="3">
        <v>1658.6424318985985</v>
      </c>
      <c r="N78" s="3">
        <v>491.02782357929948</v>
      </c>
      <c r="O78" s="3">
        <v>372.77136747252445</v>
      </c>
      <c r="P78" s="3">
        <v>1255.4198903849974</v>
      </c>
      <c r="Q78">
        <f t="shared" si="33"/>
        <v>22278.167498920582</v>
      </c>
      <c r="R78">
        <f t="shared" si="34"/>
        <v>1.1603920380277048E-2</v>
      </c>
    </row>
    <row r="79" spans="1:18" x14ac:dyDescent="0.5">
      <c r="A79" s="2" t="s">
        <v>9</v>
      </c>
      <c r="B79" s="3">
        <v>1975.3473053787372</v>
      </c>
      <c r="C79" s="3">
        <v>964.46736748300304</v>
      </c>
      <c r="D79" s="3">
        <v>814.76703663648004</v>
      </c>
      <c r="E79" s="3">
        <v>3008.7248617848586</v>
      </c>
      <c r="F79" s="3">
        <v>5777.327257966539</v>
      </c>
      <c r="G79" s="3">
        <v>4759.147766194511</v>
      </c>
      <c r="H79" s="3">
        <v>605.17871667861448</v>
      </c>
      <c r="I79" s="3">
        <v>1089.6109550056963</v>
      </c>
      <c r="J79" s="3">
        <v>1122.1728764711929</v>
      </c>
      <c r="K79" s="3">
        <v>606.42952339089459</v>
      </c>
      <c r="L79" s="3">
        <v>634.98654228915962</v>
      </c>
      <c r="M79" s="3">
        <v>1915.9432195896061</v>
      </c>
      <c r="N79" s="3">
        <v>567.09046071620298</v>
      </c>
      <c r="O79" s="3">
        <v>430.19883310251481</v>
      </c>
      <c r="P79" s="3">
        <v>1449.5752325025678</v>
      </c>
      <c r="Q79">
        <f t="shared" si="33"/>
        <v>25720.967955190583</v>
      </c>
      <c r="R79">
        <f t="shared" si="34"/>
        <v>1.3397155051920226E-2</v>
      </c>
    </row>
    <row r="80" spans="1:18" x14ac:dyDescent="0.5">
      <c r="A80" s="2" t="s">
        <v>10</v>
      </c>
      <c r="B80" s="3">
        <v>15588.002034166386</v>
      </c>
      <c r="C80" s="3">
        <v>7619.9605058477409</v>
      </c>
      <c r="D80" s="3">
        <v>6414.982244148252</v>
      </c>
      <c r="E80" s="3">
        <v>23589.496209178302</v>
      </c>
      <c r="F80" s="3">
        <v>45151.745893547595</v>
      </c>
      <c r="G80" s="3">
        <v>37236.357294794143</v>
      </c>
      <c r="H80" s="3">
        <v>4780.4926957915777</v>
      </c>
      <c r="I80" s="3">
        <v>8584.1005412631548</v>
      </c>
      <c r="J80" s="3">
        <v>8843.0063859085058</v>
      </c>
      <c r="K80" s="3">
        <v>4772.9107140692568</v>
      </c>
      <c r="L80" s="3">
        <v>5023.1353078289903</v>
      </c>
      <c r="M80" s="3">
        <v>15088.049515697605</v>
      </c>
      <c r="N80" s="3">
        <v>4475.4667892365924</v>
      </c>
      <c r="O80" s="3">
        <v>3379.5922755373781</v>
      </c>
      <c r="P80" s="3">
        <v>11391.510823756891</v>
      </c>
      <c r="Q80">
        <f t="shared" si="33"/>
        <v>201938.80923077234</v>
      </c>
      <c r="R80">
        <f t="shared" si="34"/>
        <v>0.10518288203530987</v>
      </c>
    </row>
    <row r="81" spans="1:18" x14ac:dyDescent="0.5">
      <c r="A81" s="2" t="s">
        <v>11</v>
      </c>
      <c r="B81" s="3">
        <v>9071.836552692208</v>
      </c>
      <c r="C81" s="3">
        <v>4448.1175250096321</v>
      </c>
      <c r="D81" s="3">
        <v>3722.0786459311093</v>
      </c>
      <c r="E81" s="3">
        <v>13686.820011665111</v>
      </c>
      <c r="F81" s="3">
        <v>26207.737189247131</v>
      </c>
      <c r="G81" s="3">
        <v>21605.788062030537</v>
      </c>
      <c r="H81" s="3">
        <v>2784.0069009706731</v>
      </c>
      <c r="I81" s="3">
        <v>5043.5737010690827</v>
      </c>
      <c r="J81" s="3">
        <v>5192.9336941464817</v>
      </c>
      <c r="K81" s="3">
        <v>2793.6310520283114</v>
      </c>
      <c r="L81" s="3">
        <v>2949.1176155570852</v>
      </c>
      <c r="M81" s="3">
        <v>8813.8681429613462</v>
      </c>
      <c r="N81" s="3">
        <v>2620.532735028301</v>
      </c>
      <c r="O81" s="3">
        <v>1969.5721114531998</v>
      </c>
      <c r="P81" s="3">
        <v>6606.7803457702912</v>
      </c>
      <c r="Q81">
        <f t="shared" si="33"/>
        <v>117516.39428556053</v>
      </c>
      <c r="R81">
        <f t="shared" si="34"/>
        <v>6.1210190772331717E-2</v>
      </c>
    </row>
    <row r="82" spans="1:18" x14ac:dyDescent="0.5">
      <c r="A82" s="2" t="s">
        <v>12</v>
      </c>
      <c r="B82" s="3">
        <v>8151.2594850478517</v>
      </c>
      <c r="C82" s="3">
        <v>3990.9865541363288</v>
      </c>
      <c r="D82" s="3">
        <v>3359.2743505758854</v>
      </c>
      <c r="E82" s="3">
        <v>12354.873501086788</v>
      </c>
      <c r="F82" s="3">
        <v>23643.61956474973</v>
      </c>
      <c r="G82" s="3">
        <v>19487.771546754822</v>
      </c>
      <c r="H82" s="3">
        <v>2498.3998107690377</v>
      </c>
      <c r="I82" s="3">
        <v>4523.8023158939941</v>
      </c>
      <c r="J82" s="3">
        <v>4665.4950170689426</v>
      </c>
      <c r="K82" s="3">
        <v>2507.3348269256812</v>
      </c>
      <c r="L82" s="3">
        <v>2646.2989968349871</v>
      </c>
      <c r="M82" s="3">
        <v>7925.5301254317728</v>
      </c>
      <c r="N82" s="3">
        <v>2353.9062655151329</v>
      </c>
      <c r="O82" s="3">
        <v>1770.9802871521306</v>
      </c>
      <c r="P82" s="3">
        <v>5960.6796229176525</v>
      </c>
      <c r="Q82">
        <f t="shared" si="33"/>
        <v>105840.21227086073</v>
      </c>
      <c r="R82">
        <f t="shared" si="34"/>
        <v>5.5128474829996513E-2</v>
      </c>
    </row>
    <row r="83" spans="1:18" x14ac:dyDescent="0.5">
      <c r="A83" s="2" t="s">
        <v>13</v>
      </c>
      <c r="B83" s="3">
        <v>14829.59138662548</v>
      </c>
      <c r="C83" s="3">
        <v>7269.9172760334868</v>
      </c>
      <c r="D83" s="3">
        <v>6107.0951301208197</v>
      </c>
      <c r="E83" s="3">
        <v>22489.987166414692</v>
      </c>
      <c r="F83" s="3">
        <v>43174.292231072184</v>
      </c>
      <c r="G83" s="3">
        <v>35564.161993174144</v>
      </c>
      <c r="H83" s="3">
        <v>4559.0687659846972</v>
      </c>
      <c r="I83" s="3">
        <v>8233.9348502442663</v>
      </c>
      <c r="J83" s="3">
        <v>8482.131899048527</v>
      </c>
      <c r="K83" s="3">
        <v>4573.8900604773962</v>
      </c>
      <c r="L83" s="3">
        <v>4812.1040762600805</v>
      </c>
      <c r="M83" s="3">
        <v>14413.686904020646</v>
      </c>
      <c r="N83" s="3">
        <v>4284.8721583900315</v>
      </c>
      <c r="O83" s="3">
        <v>3234.1585259876083</v>
      </c>
      <c r="P83" s="3">
        <v>10834.516771785919</v>
      </c>
      <c r="Q83">
        <f t="shared" si="33"/>
        <v>192863.40919563998</v>
      </c>
      <c r="R83">
        <f t="shared" si="34"/>
        <v>0.10045582270998871</v>
      </c>
    </row>
    <row r="84" spans="1:18" x14ac:dyDescent="0.5">
      <c r="A84" s="2" t="s">
        <v>14</v>
      </c>
      <c r="B84" s="3">
        <v>15171.46932836073</v>
      </c>
      <c r="C84" s="3">
        <v>7443.604992293067</v>
      </c>
      <c r="D84" s="3">
        <v>6302.7842651458932</v>
      </c>
      <c r="E84" s="3">
        <v>23075.973543642711</v>
      </c>
      <c r="F84" s="3">
        <v>44295.564146494544</v>
      </c>
      <c r="G84" s="3">
        <v>36470.663761337193</v>
      </c>
      <c r="H84" s="3">
        <v>4676.8083558002336</v>
      </c>
      <c r="I84" s="3">
        <v>8452.6401616169824</v>
      </c>
      <c r="J84" s="3">
        <v>8715.5380385190838</v>
      </c>
      <c r="K84" s="3">
        <v>4687.7723513926112</v>
      </c>
      <c r="L84" s="3">
        <v>4964.8549840665855</v>
      </c>
      <c r="M84" s="3">
        <v>14802.005636685366</v>
      </c>
      <c r="N84" s="3">
        <v>4414.2662687292159</v>
      </c>
      <c r="O84" s="3">
        <v>3328.1604386594545</v>
      </c>
      <c r="P84" s="3">
        <v>11139.269787277895</v>
      </c>
      <c r="Q84">
        <f t="shared" si="33"/>
        <v>197941.37606002158</v>
      </c>
      <c r="R84">
        <f t="shared" si="34"/>
        <v>0.10310075852846767</v>
      </c>
    </row>
    <row r="85" spans="1:18" x14ac:dyDescent="0.5">
      <c r="A85" s="2" t="s">
        <v>15</v>
      </c>
      <c r="B85" s="3">
        <v>4692.5146901423795</v>
      </c>
      <c r="C85" s="3">
        <v>2291.1004290606188</v>
      </c>
      <c r="D85" s="3">
        <v>1927.323796851508</v>
      </c>
      <c r="E85" s="3">
        <v>7112.1938170737913</v>
      </c>
      <c r="F85" s="3">
        <v>13588.647847353192</v>
      </c>
      <c r="G85" s="3">
        <v>11204.503842539489</v>
      </c>
      <c r="H85" s="3">
        <v>1431.2370797518124</v>
      </c>
      <c r="I85" s="3">
        <v>2594.4865916579283</v>
      </c>
      <c r="J85" s="3">
        <v>2674.4149698875622</v>
      </c>
      <c r="K85" s="3">
        <v>1437.4546145336938</v>
      </c>
      <c r="L85" s="3">
        <v>1511.5744696329241</v>
      </c>
      <c r="M85" s="3">
        <v>4558.0445199758533</v>
      </c>
      <c r="N85" s="3">
        <v>1346.6374550131522</v>
      </c>
      <c r="O85" s="3">
        <v>1013.5826617112158</v>
      </c>
      <c r="P85" s="3">
        <v>3436.7132677612371</v>
      </c>
      <c r="Q85">
        <f t="shared" si="33"/>
        <v>60820.430052946373</v>
      </c>
      <c r="R85">
        <f t="shared" si="34"/>
        <v>3.1679240577699858E-2</v>
      </c>
    </row>
    <row r="86" spans="1:18" x14ac:dyDescent="0.5">
      <c r="A86" s="2" t="s">
        <v>16</v>
      </c>
      <c r="B86" s="3">
        <v>15584.685036911049</v>
      </c>
      <c r="C86" s="3">
        <v>7645.590463888233</v>
      </c>
      <c r="D86" s="3">
        <v>6470.5338029273498</v>
      </c>
      <c r="E86" s="3">
        <v>23711.215502143936</v>
      </c>
      <c r="F86" s="3">
        <v>45495.363522484418</v>
      </c>
      <c r="G86" s="3">
        <v>37460.935090995285</v>
      </c>
      <c r="H86" s="3">
        <v>4801.8557551280301</v>
      </c>
      <c r="I86" s="3">
        <v>8674.2746041130977</v>
      </c>
      <c r="J86" s="3">
        <v>8946.0359246109147</v>
      </c>
      <c r="K86" s="3">
        <v>4813.3450198918381</v>
      </c>
      <c r="L86" s="3">
        <v>5091.3029083224837</v>
      </c>
      <c r="M86" s="3">
        <v>15204.929851206201</v>
      </c>
      <c r="N86" s="3">
        <v>4529.6093738800555</v>
      </c>
      <c r="O86" s="3">
        <v>3415.467771606272</v>
      </c>
      <c r="P86" s="3">
        <v>11447.793099739698</v>
      </c>
      <c r="Q86">
        <f t="shared" si="33"/>
        <v>203292.93772784882</v>
      </c>
      <c r="R86">
        <f t="shared" si="34"/>
        <v>0.10588820033698351</v>
      </c>
    </row>
    <row r="87" spans="1:18" x14ac:dyDescent="0.5">
      <c r="A87" s="2" t="s">
        <v>17</v>
      </c>
      <c r="B87" s="3">
        <v>23389.455160425576</v>
      </c>
      <c r="C87" s="3">
        <v>11453.800811698899</v>
      </c>
      <c r="D87" s="3">
        <v>9739.8807762089709</v>
      </c>
      <c r="E87" s="3">
        <v>35710.031598267917</v>
      </c>
      <c r="F87" s="3">
        <v>68719.863150458521</v>
      </c>
      <c r="G87" s="3">
        <v>56558.607669946825</v>
      </c>
      <c r="H87" s="3">
        <v>7218.8774988055757</v>
      </c>
      <c r="I87" s="3">
        <v>12950.206614148436</v>
      </c>
      <c r="J87" s="3">
        <v>13337.213764557802</v>
      </c>
      <c r="K87" s="3">
        <v>7211.8487485271526</v>
      </c>
      <c r="L87" s="3">
        <v>7600.8488667159736</v>
      </c>
      <c r="M87" s="3">
        <v>22770.101593876305</v>
      </c>
      <c r="N87" s="3">
        <v>6778.2734732129584</v>
      </c>
      <c r="O87" s="3">
        <v>5147.1633647274894</v>
      </c>
      <c r="P87" s="3">
        <v>17231.72936164862</v>
      </c>
      <c r="Q87">
        <f t="shared" si="33"/>
        <v>305817.90245322703</v>
      </c>
      <c r="R87">
        <f t="shared" si="34"/>
        <v>0.15928987835747799</v>
      </c>
    </row>
    <row r="88" spans="1:18" x14ac:dyDescent="0.5">
      <c r="A88" s="2" t="s">
        <v>18</v>
      </c>
      <c r="B88" s="3">
        <v>6733.3173590323804</v>
      </c>
      <c r="C88" s="3">
        <v>3282.9407399594124</v>
      </c>
      <c r="D88" s="3">
        <v>2771.3441141494627</v>
      </c>
      <c r="E88" s="3">
        <v>10241.98512796236</v>
      </c>
      <c r="F88" s="3">
        <v>19592.576748210227</v>
      </c>
      <c r="G88" s="3">
        <v>16150.799372150992</v>
      </c>
      <c r="H88" s="3">
        <v>2053.3574169002895</v>
      </c>
      <c r="I88" s="3">
        <v>3710.9094408819515</v>
      </c>
      <c r="J88" s="3">
        <v>3824.6467160053458</v>
      </c>
      <c r="K88" s="3">
        <v>2060.377436981305</v>
      </c>
      <c r="L88" s="3">
        <v>2158.5854496271822</v>
      </c>
      <c r="M88" s="3">
        <v>6535.9025920429895</v>
      </c>
      <c r="N88" s="3">
        <v>1927.6223168156755</v>
      </c>
      <c r="O88" s="3">
        <v>1456.9652437206412</v>
      </c>
      <c r="P88" s="3">
        <v>4946.8055200150366</v>
      </c>
      <c r="Q88">
        <f t="shared" si="33"/>
        <v>87448.135594455234</v>
      </c>
      <c r="R88">
        <f t="shared" si="34"/>
        <v>4.5548683611023925E-2</v>
      </c>
    </row>
    <row r="89" spans="1:18" x14ac:dyDescent="0.5">
      <c r="A89" s="115" t="s">
        <v>67</v>
      </c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>
        <f>SUM(Q74:Q88)</f>
        <v>1919882.8300120311</v>
      </c>
      <c r="R89">
        <f>SUM(R74:R88)</f>
        <v>1.0000000000000002</v>
      </c>
    </row>
    <row r="91" spans="1:18" x14ac:dyDescent="0.5">
      <c r="A91" s="72" t="s">
        <v>83</v>
      </c>
      <c r="B91" s="72"/>
      <c r="C91" s="72"/>
      <c r="D91" s="72"/>
      <c r="E91" s="72"/>
      <c r="F91" s="72"/>
      <c r="G91" s="72"/>
      <c r="H91" s="72"/>
    </row>
    <row r="92" spans="1:18" x14ac:dyDescent="0.5">
      <c r="A92" s="63" t="s">
        <v>0</v>
      </c>
      <c r="B92" s="73" t="s">
        <v>70</v>
      </c>
      <c r="C92" s="72"/>
      <c r="D92" s="76" t="s">
        <v>85</v>
      </c>
      <c r="E92" s="76"/>
      <c r="F92" s="76"/>
      <c r="G92" s="76"/>
      <c r="H92" s="76"/>
    </row>
    <row r="93" spans="1:18" x14ac:dyDescent="0.5">
      <c r="A93" s="2" t="s">
        <v>4</v>
      </c>
      <c r="B93" s="73">
        <f>R54-R74</f>
        <v>-6.8194185906249316E-4</v>
      </c>
      <c r="C93" s="72"/>
      <c r="D93" s="77" t="s">
        <v>86</v>
      </c>
      <c r="E93" s="77"/>
      <c r="F93" s="77"/>
      <c r="G93" s="77"/>
      <c r="H93" s="77"/>
    </row>
    <row r="94" spans="1:18" x14ac:dyDescent="0.5">
      <c r="A94" s="2" t="s">
        <v>5</v>
      </c>
      <c r="B94" s="73">
        <f t="shared" ref="B94:B107" si="35">R55-R75</f>
        <v>2.1119928156251994E-3</v>
      </c>
      <c r="C94" s="72"/>
      <c r="D94" s="77"/>
      <c r="E94" s="77"/>
      <c r="F94" s="77"/>
      <c r="G94" s="77"/>
      <c r="H94" s="77"/>
    </row>
    <row r="95" spans="1:18" x14ac:dyDescent="0.5">
      <c r="A95" s="2" t="s">
        <v>6</v>
      </c>
      <c r="B95" s="73">
        <f t="shared" si="35"/>
        <v>-5.2193813444305348E-4</v>
      </c>
      <c r="C95" s="72"/>
      <c r="D95" s="77"/>
      <c r="E95" s="77"/>
      <c r="F95" s="77"/>
      <c r="G95" s="77"/>
      <c r="H95" s="77"/>
    </row>
    <row r="96" spans="1:18" x14ac:dyDescent="0.5">
      <c r="A96" s="2" t="s">
        <v>7</v>
      </c>
      <c r="B96" s="73">
        <f t="shared" si="35"/>
        <v>-1.0495913820180863E-3</v>
      </c>
      <c r="C96" s="72"/>
      <c r="D96" s="77"/>
      <c r="E96" s="77"/>
      <c r="F96" s="77"/>
      <c r="G96" s="77"/>
      <c r="H96" s="77"/>
    </row>
    <row r="97" spans="1:8" x14ac:dyDescent="0.5">
      <c r="A97" s="2" t="s">
        <v>8</v>
      </c>
      <c r="B97" s="73">
        <f t="shared" si="35"/>
        <v>-8.5676509270521915E-4</v>
      </c>
      <c r="C97" s="72"/>
      <c r="D97" s="72"/>
      <c r="E97" s="72"/>
      <c r="F97" s="72"/>
      <c r="G97" s="72"/>
      <c r="H97" s="72"/>
    </row>
    <row r="98" spans="1:8" x14ac:dyDescent="0.5">
      <c r="A98" s="2" t="s">
        <v>9</v>
      </c>
      <c r="B98" s="73">
        <f t="shared" si="35"/>
        <v>-8.9660941773310292E-4</v>
      </c>
      <c r="D98" s="72"/>
      <c r="E98" s="72"/>
      <c r="F98" s="72"/>
      <c r="G98" s="72"/>
      <c r="H98" s="72"/>
    </row>
    <row r="99" spans="1:8" x14ac:dyDescent="0.5">
      <c r="A99" s="2" t="s">
        <v>10</v>
      </c>
      <c r="B99" s="73">
        <f t="shared" si="35"/>
        <v>5.1476459731257529E-4</v>
      </c>
      <c r="D99" s="72"/>
      <c r="E99" s="72"/>
      <c r="F99" s="72"/>
      <c r="G99" s="72"/>
      <c r="H99" s="72"/>
    </row>
    <row r="100" spans="1:8" x14ac:dyDescent="0.5">
      <c r="A100" s="2" t="s">
        <v>11</v>
      </c>
      <c r="B100" s="73">
        <f t="shared" si="35"/>
        <v>2.2545232070210544E-3</v>
      </c>
      <c r="D100" s="72"/>
      <c r="E100" s="72"/>
      <c r="F100" s="72"/>
      <c r="G100" s="72"/>
      <c r="H100" s="72"/>
    </row>
    <row r="101" spans="1:8" x14ac:dyDescent="0.5">
      <c r="A101" s="2" t="s">
        <v>12</v>
      </c>
      <c r="B101" s="73">
        <f t="shared" si="35"/>
        <v>5.4746265208733408E-4</v>
      </c>
      <c r="D101" s="72"/>
      <c r="E101" s="72"/>
      <c r="F101" s="72"/>
      <c r="G101" s="72"/>
      <c r="H101" s="72"/>
    </row>
    <row r="102" spans="1:8" x14ac:dyDescent="0.5">
      <c r="A102" s="2" t="s">
        <v>13</v>
      </c>
      <c r="B102" s="73">
        <f t="shared" si="35"/>
        <v>-8.2473375301424234E-4</v>
      </c>
      <c r="D102" s="72"/>
      <c r="E102" s="72"/>
      <c r="F102" s="72"/>
      <c r="G102" s="72"/>
      <c r="H102" s="72"/>
    </row>
    <row r="103" spans="1:8" x14ac:dyDescent="0.5">
      <c r="A103" s="2" t="s">
        <v>14</v>
      </c>
      <c r="B103" s="73">
        <f t="shared" si="35"/>
        <v>2.4615426547037328E-3</v>
      </c>
    </row>
    <row r="104" spans="1:8" x14ac:dyDescent="0.5">
      <c r="A104" s="2" t="s">
        <v>15</v>
      </c>
      <c r="B104" s="73">
        <f t="shared" si="35"/>
        <v>-4.3195444033058972E-4</v>
      </c>
    </row>
    <row r="105" spans="1:8" x14ac:dyDescent="0.5">
      <c r="A105" s="2" t="s">
        <v>16</v>
      </c>
      <c r="B105" s="73">
        <f t="shared" si="35"/>
        <v>2.4761352036020701E-3</v>
      </c>
    </row>
    <row r="106" spans="1:8" x14ac:dyDescent="0.5">
      <c r="A106" s="2" t="s">
        <v>17</v>
      </c>
      <c r="B106" s="73">
        <f t="shared" si="35"/>
        <v>-2.9567766599042922E-3</v>
      </c>
    </row>
    <row r="107" spans="1:8" x14ac:dyDescent="0.5">
      <c r="A107" s="2" t="s">
        <v>18</v>
      </c>
      <c r="B107" s="73">
        <f t="shared" si="35"/>
        <v>-2.1461103911409873E-3</v>
      </c>
    </row>
    <row r="109" spans="1:8" x14ac:dyDescent="0.5">
      <c r="A109" s="63" t="s">
        <v>0</v>
      </c>
      <c r="B109" s="73" t="s">
        <v>88</v>
      </c>
      <c r="C109" s="73" t="s">
        <v>89</v>
      </c>
    </row>
    <row r="110" spans="1:8" x14ac:dyDescent="0.5">
      <c r="A110" s="2" t="s">
        <v>4</v>
      </c>
      <c r="B110" s="73">
        <f>_xlfn.RANK.EQ(C110,$C$110:$C$124,0)</f>
        <v>11</v>
      </c>
      <c r="C110" s="74">
        <f>R74</f>
        <v>3.767939368499372E-2</v>
      </c>
    </row>
    <row r="111" spans="1:8" x14ac:dyDescent="0.5">
      <c r="A111" s="2" t="s">
        <v>5</v>
      </c>
      <c r="B111" s="73">
        <f t="shared" ref="B111:B124" si="36">_xlfn.RANK.EQ(C111,$C$110:$C$124,0)</f>
        <v>7</v>
      </c>
      <c r="C111" s="74">
        <f t="shared" ref="C111:C124" si="37">R75</f>
        <v>6.7184783632531775E-2</v>
      </c>
    </row>
    <row r="112" spans="1:8" x14ac:dyDescent="0.5">
      <c r="A112" s="2" t="s">
        <v>6</v>
      </c>
      <c r="B112" s="73">
        <f t="shared" si="36"/>
        <v>6</v>
      </c>
      <c r="C112" s="74">
        <f t="shared" si="37"/>
        <v>8.1983543855241828E-2</v>
      </c>
    </row>
    <row r="113" spans="1:3" x14ac:dyDescent="0.5">
      <c r="A113" s="2" t="s">
        <v>7</v>
      </c>
      <c r="B113" s="73">
        <f t="shared" si="36"/>
        <v>13</v>
      </c>
      <c r="C113" s="74">
        <f t="shared" si="37"/>
        <v>2.0667071635755756E-2</v>
      </c>
    </row>
    <row r="114" spans="1:3" x14ac:dyDescent="0.5">
      <c r="A114" s="2" t="s">
        <v>8</v>
      </c>
      <c r="B114" s="73">
        <f t="shared" si="36"/>
        <v>15</v>
      </c>
      <c r="C114" s="74">
        <f t="shared" si="37"/>
        <v>1.1603920380277048E-2</v>
      </c>
    </row>
    <row r="115" spans="1:3" x14ac:dyDescent="0.5">
      <c r="A115" s="2" t="s">
        <v>9</v>
      </c>
      <c r="B115" s="73">
        <f t="shared" si="36"/>
        <v>14</v>
      </c>
      <c r="C115" s="74">
        <f t="shared" si="37"/>
        <v>1.3397155051920226E-2</v>
      </c>
    </row>
    <row r="116" spans="1:3" x14ac:dyDescent="0.5">
      <c r="A116" s="2" t="s">
        <v>10</v>
      </c>
      <c r="B116" s="73">
        <f t="shared" si="36"/>
        <v>3</v>
      </c>
      <c r="C116" s="74">
        <f t="shared" si="37"/>
        <v>0.10518288203530987</v>
      </c>
    </row>
    <row r="117" spans="1:3" x14ac:dyDescent="0.5">
      <c r="A117" s="2" t="s">
        <v>11</v>
      </c>
      <c r="B117" s="73">
        <f t="shared" si="36"/>
        <v>8</v>
      </c>
      <c r="C117" s="74">
        <f t="shared" si="37"/>
        <v>6.1210190772331717E-2</v>
      </c>
    </row>
    <row r="118" spans="1:3" x14ac:dyDescent="0.5">
      <c r="A118" s="2" t="s">
        <v>12</v>
      </c>
      <c r="B118" s="73">
        <f t="shared" si="36"/>
        <v>9</v>
      </c>
      <c r="C118" s="74">
        <f t="shared" si="37"/>
        <v>5.5128474829996513E-2</v>
      </c>
    </row>
    <row r="119" spans="1:3" x14ac:dyDescent="0.5">
      <c r="A119" s="2" t="s">
        <v>13</v>
      </c>
      <c r="B119" s="73">
        <f t="shared" si="36"/>
        <v>5</v>
      </c>
      <c r="C119" s="74">
        <f t="shared" si="37"/>
        <v>0.10045582270998871</v>
      </c>
    </row>
    <row r="120" spans="1:3" x14ac:dyDescent="0.5">
      <c r="A120" s="2" t="s">
        <v>14</v>
      </c>
      <c r="B120" s="73">
        <f t="shared" si="36"/>
        <v>4</v>
      </c>
      <c r="C120" s="74">
        <f t="shared" si="37"/>
        <v>0.10310075852846767</v>
      </c>
    </row>
    <row r="121" spans="1:3" x14ac:dyDescent="0.5">
      <c r="A121" s="2" t="s">
        <v>15</v>
      </c>
      <c r="B121" s="73">
        <f t="shared" si="36"/>
        <v>12</v>
      </c>
      <c r="C121" s="74">
        <f t="shared" si="37"/>
        <v>3.1679240577699858E-2</v>
      </c>
    </row>
    <row r="122" spans="1:3" x14ac:dyDescent="0.5">
      <c r="A122" s="2" t="s">
        <v>16</v>
      </c>
      <c r="B122" s="73">
        <f t="shared" si="36"/>
        <v>2</v>
      </c>
      <c r="C122" s="74">
        <f t="shared" si="37"/>
        <v>0.10588820033698351</v>
      </c>
    </row>
    <row r="123" spans="1:3" x14ac:dyDescent="0.5">
      <c r="A123" s="2" t="s">
        <v>17</v>
      </c>
      <c r="B123" s="73">
        <f t="shared" si="36"/>
        <v>1</v>
      </c>
      <c r="C123" s="74">
        <f t="shared" si="37"/>
        <v>0.15928987835747799</v>
      </c>
    </row>
    <row r="124" spans="1:3" x14ac:dyDescent="0.5">
      <c r="A124" s="2" t="s">
        <v>18</v>
      </c>
      <c r="B124" s="73">
        <f t="shared" si="36"/>
        <v>10</v>
      </c>
      <c r="C124" s="74">
        <f t="shared" si="37"/>
        <v>4.5548683611023925E-2</v>
      </c>
    </row>
  </sheetData>
  <mergeCells count="6">
    <mergeCell ref="D93:H96"/>
    <mergeCell ref="A69:P69"/>
    <mergeCell ref="A89:P89"/>
    <mergeCell ref="D92:H92"/>
    <mergeCell ref="C40:C44"/>
    <mergeCell ref="A47:P4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FFEB-D4F5-984B-9016-6A4E417BF0FD}">
  <dimension ref="B1:AK329"/>
  <sheetViews>
    <sheetView topLeftCell="A202" zoomScale="61" workbookViewId="0">
      <selection activeCell="V225" sqref="V225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39" bestFit="1" customWidth="1"/>
    <col min="23" max="24" width="27.3125" bestFit="1" customWidth="1"/>
    <col min="25" max="26" width="27.6875" bestFit="1" customWidth="1"/>
    <col min="27" max="29" width="20.3125" bestFit="1" customWidth="1"/>
    <col min="30" max="30" width="15.6875" bestFit="1" customWidth="1"/>
    <col min="31" max="31" width="15.6875" customWidth="1"/>
    <col min="32" max="32" width="23" bestFit="1" customWidth="1"/>
    <col min="33" max="33" width="20" bestFit="1" customWidth="1"/>
    <col min="34" max="34" width="23.5" bestFit="1" customWidth="1"/>
    <col min="35" max="36" width="17.6875" bestFit="1" customWidth="1"/>
    <col min="37" max="37" width="19.1875" bestFit="1" customWidth="1"/>
  </cols>
  <sheetData>
    <row r="1" spans="2:37" x14ac:dyDescent="0.5">
      <c r="B1" s="90" t="s">
        <v>19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2:37" x14ac:dyDescent="0.5">
      <c r="B2" s="85" t="s">
        <v>22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93"/>
    </row>
    <row r="3" spans="2:37" x14ac:dyDescent="0.5">
      <c r="B3" s="94" t="s">
        <v>1</v>
      </c>
      <c r="C3" s="90" t="s">
        <v>2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6"/>
      <c r="T3" s="94" t="s">
        <v>3</v>
      </c>
    </row>
    <row r="4" spans="2:37" x14ac:dyDescent="0.5">
      <c r="B4" s="95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5"/>
    </row>
    <row r="5" spans="2:37" x14ac:dyDescent="0.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58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63" t="s">
        <v>19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59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2" t="s">
        <v>4</v>
      </c>
      <c r="W6" s="3">
        <v>1</v>
      </c>
      <c r="X6" s="3">
        <v>1</v>
      </c>
      <c r="Y6" s="3">
        <f>1/3</f>
        <v>0.33333333333333331</v>
      </c>
      <c r="Z6" s="3">
        <f>1/2</f>
        <v>0.5</v>
      </c>
      <c r="AA6" s="3">
        <f>1/3</f>
        <v>0.33333333333333331</v>
      </c>
      <c r="AB6" s="3">
        <f>1/3</f>
        <v>0.33333333333333331</v>
      </c>
      <c r="AC6" s="3">
        <f>1/5</f>
        <v>0.2</v>
      </c>
      <c r="AD6" s="3">
        <f>1/5</f>
        <v>0.2</v>
      </c>
      <c r="AE6" s="3">
        <f>1/5</f>
        <v>0.2</v>
      </c>
      <c r="AF6" s="3">
        <f>1/6</f>
        <v>0.16666666666666666</v>
      </c>
      <c r="AG6" s="3">
        <f>1/4</f>
        <v>0.25</v>
      </c>
      <c r="AH6" s="3">
        <f>1/5</f>
        <v>0.2</v>
      </c>
      <c r="AI6" s="3">
        <f>1/4</f>
        <v>0.25</v>
      </c>
      <c r="AJ6" s="3">
        <f>1/4</f>
        <v>0.25</v>
      </c>
      <c r="AK6" s="3">
        <f>1/3</f>
        <v>0.33333333333333331</v>
      </c>
    </row>
    <row r="7" spans="2:37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8">
        <v>3</v>
      </c>
      <c r="J7" s="1">
        <v>2</v>
      </c>
      <c r="K7" s="1">
        <v>1</v>
      </c>
      <c r="L7" s="59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2" t="s">
        <v>5</v>
      </c>
      <c r="W7" s="3">
        <f>1/X6</f>
        <v>1</v>
      </c>
      <c r="X7" s="3">
        <v>1</v>
      </c>
      <c r="Y7" s="3">
        <v>4</v>
      </c>
      <c r="Z7" s="3">
        <v>5</v>
      </c>
      <c r="AA7" s="3">
        <v>5</v>
      </c>
      <c r="AB7" s="3">
        <v>5</v>
      </c>
      <c r="AC7" s="3">
        <v>3</v>
      </c>
      <c r="AD7" s="3">
        <v>4</v>
      </c>
      <c r="AE7" s="3">
        <v>4</v>
      </c>
      <c r="AF7" s="3">
        <f>1/3</f>
        <v>0.33333333333333331</v>
      </c>
      <c r="AG7" s="3">
        <f>1/2</f>
        <v>0.5</v>
      </c>
      <c r="AH7" s="3">
        <f>1/2</f>
        <v>0.5</v>
      </c>
      <c r="AI7" s="3">
        <v>2</v>
      </c>
      <c r="AJ7" s="3">
        <v>3</v>
      </c>
      <c r="AK7" s="3">
        <f>1/3</f>
        <v>0.33333333333333331</v>
      </c>
    </row>
    <row r="8" spans="2:37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1">
        <v>1</v>
      </c>
      <c r="L8" s="1">
        <v>2</v>
      </c>
      <c r="M8" s="59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2" t="s">
        <v>6</v>
      </c>
      <c r="W8" s="3">
        <f>1/Y6</f>
        <v>3</v>
      </c>
      <c r="X8" s="3">
        <f>1/Y7</f>
        <v>0.25</v>
      </c>
      <c r="Y8" s="3">
        <v>1</v>
      </c>
      <c r="Z8" s="3">
        <v>2</v>
      </c>
      <c r="AA8" s="3">
        <v>4</v>
      </c>
      <c r="AB8" s="3">
        <v>4</v>
      </c>
      <c r="AC8" s="3">
        <f>1/3</f>
        <v>0.33333333333333331</v>
      </c>
      <c r="AD8" s="3">
        <f>1/3</f>
        <v>0.33333333333333331</v>
      </c>
      <c r="AE8" s="3">
        <f>1/3</f>
        <v>0.33333333333333331</v>
      </c>
      <c r="AF8" s="3">
        <f>1/5</f>
        <v>0.2</v>
      </c>
      <c r="AG8" s="3">
        <f>1/4</f>
        <v>0.25</v>
      </c>
      <c r="AH8" s="3">
        <f>1/4</f>
        <v>0.25</v>
      </c>
      <c r="AI8" s="3">
        <f>1/3</f>
        <v>0.33333333333333331</v>
      </c>
      <c r="AJ8" s="3">
        <f>1/3</f>
        <v>0.33333333333333331</v>
      </c>
      <c r="AK8" s="3">
        <f>1/4</f>
        <v>0.25</v>
      </c>
    </row>
    <row r="9" spans="2:37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1">
        <v>2</v>
      </c>
      <c r="K9" s="1">
        <v>1</v>
      </c>
      <c r="L9" s="1">
        <v>2</v>
      </c>
      <c r="M9" s="59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2" t="s">
        <v>7</v>
      </c>
      <c r="W9" s="3">
        <f>1/Z6</f>
        <v>2</v>
      </c>
      <c r="X9" s="3">
        <f>1/Z7</f>
        <v>0.2</v>
      </c>
      <c r="Y9" s="3">
        <f>1/Z8</f>
        <v>0.5</v>
      </c>
      <c r="Z9" s="3">
        <v>1</v>
      </c>
      <c r="AA9" s="3">
        <v>2</v>
      </c>
      <c r="AB9" s="3">
        <v>2</v>
      </c>
      <c r="AC9" s="3">
        <f>1/4</f>
        <v>0.25</v>
      </c>
      <c r="AD9" s="3">
        <f>1/4</f>
        <v>0.25</v>
      </c>
      <c r="AE9" s="3">
        <f>1/4</f>
        <v>0.25</v>
      </c>
      <c r="AF9" s="3">
        <f>1/6</f>
        <v>0.16666666666666666</v>
      </c>
      <c r="AG9" s="3">
        <f>1/5</f>
        <v>0.2</v>
      </c>
      <c r="AH9" s="3">
        <f>1/6</f>
        <v>0.16666666666666666</v>
      </c>
      <c r="AI9" s="3">
        <f>1/5</f>
        <v>0.2</v>
      </c>
      <c r="AJ9" s="3">
        <f>1/5</f>
        <v>0.2</v>
      </c>
      <c r="AK9" s="3">
        <f>1/5</f>
        <v>0.2</v>
      </c>
    </row>
    <row r="10" spans="2:37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1">
        <v>1</v>
      </c>
      <c r="L10" s="1">
        <v>2</v>
      </c>
      <c r="M10" s="1">
        <v>3</v>
      </c>
      <c r="N10" s="1">
        <v>4</v>
      </c>
      <c r="O10" s="59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2" t="s">
        <v>8</v>
      </c>
      <c r="W10" s="3">
        <f>1/AA6</f>
        <v>3</v>
      </c>
      <c r="X10" s="3">
        <f>1/AA7</f>
        <v>0.2</v>
      </c>
      <c r="Y10" s="3">
        <f>1/AA8</f>
        <v>0.25</v>
      </c>
      <c r="Z10" s="3">
        <f>1/AA9</f>
        <v>0.5</v>
      </c>
      <c r="AA10" s="3">
        <v>1</v>
      </c>
      <c r="AB10" s="3">
        <v>1</v>
      </c>
      <c r="AC10" s="3">
        <f>1/5</f>
        <v>0.2</v>
      </c>
      <c r="AD10" s="3">
        <f>1/5</f>
        <v>0.2</v>
      </c>
      <c r="AE10" s="3">
        <f>1/5</f>
        <v>0.2</v>
      </c>
      <c r="AF10" s="3">
        <f>1/7</f>
        <v>0.14285714285714285</v>
      </c>
      <c r="AG10" s="3">
        <f>1/5</f>
        <v>0.2</v>
      </c>
      <c r="AH10" s="3">
        <f>1/6</f>
        <v>0.16666666666666666</v>
      </c>
      <c r="AI10" s="3">
        <f>1/6</f>
        <v>0.16666666666666666</v>
      </c>
      <c r="AJ10" s="3">
        <f>1/6</f>
        <v>0.16666666666666666</v>
      </c>
      <c r="AK10" s="3">
        <f>1/6</f>
        <v>0.16666666666666666</v>
      </c>
    </row>
    <row r="11" spans="2:37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59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2" t="s">
        <v>9</v>
      </c>
      <c r="W11" s="3">
        <f>1/AB6</f>
        <v>3</v>
      </c>
      <c r="X11" s="3">
        <f>1/AB7</f>
        <v>0.2</v>
      </c>
      <c r="Y11" s="3">
        <f>1/AB8</f>
        <v>0.25</v>
      </c>
      <c r="Z11" s="3">
        <f>1/AB9</f>
        <v>0.5</v>
      </c>
      <c r="AA11" s="3">
        <f>1/AB10</f>
        <v>1</v>
      </c>
      <c r="AB11" s="3">
        <v>1</v>
      </c>
      <c r="AC11" s="3">
        <f>1/5</f>
        <v>0.2</v>
      </c>
      <c r="AD11" s="3">
        <f>1/5</f>
        <v>0.2</v>
      </c>
      <c r="AE11" s="3">
        <f>1/5</f>
        <v>0.2</v>
      </c>
      <c r="AF11" s="3">
        <f>1/7</f>
        <v>0.14285714285714285</v>
      </c>
      <c r="AG11" s="3">
        <f>1/5</f>
        <v>0.2</v>
      </c>
      <c r="AH11" s="3">
        <f>1/6</f>
        <v>0.16666666666666666</v>
      </c>
      <c r="AI11" s="3">
        <f>1/6</f>
        <v>0.16666666666666666</v>
      </c>
      <c r="AJ11" s="3">
        <f>1/6</f>
        <v>0.16666666666666666</v>
      </c>
      <c r="AK11" s="3">
        <f>1/6</f>
        <v>0.16666666666666666</v>
      </c>
    </row>
    <row r="12" spans="2:37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59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2" t="s">
        <v>10</v>
      </c>
      <c r="W12" s="3">
        <f>1/AC6</f>
        <v>5</v>
      </c>
      <c r="X12" s="3">
        <f>1/AC7</f>
        <v>0.33333333333333331</v>
      </c>
      <c r="Y12" s="3">
        <f>1/AC8</f>
        <v>3</v>
      </c>
      <c r="Z12" s="3">
        <f>1/AC9</f>
        <v>4</v>
      </c>
      <c r="AA12" s="3">
        <f>1/AC10</f>
        <v>5</v>
      </c>
      <c r="AB12" s="3">
        <f>1/AC11</f>
        <v>5</v>
      </c>
      <c r="AC12" s="3">
        <v>1</v>
      </c>
      <c r="AD12" s="3">
        <v>1</v>
      </c>
      <c r="AE12" s="3">
        <v>1</v>
      </c>
      <c r="AF12" s="3">
        <f>1/3</f>
        <v>0.33333333333333331</v>
      </c>
      <c r="AG12" s="3">
        <f>1/3</f>
        <v>0.33333333333333331</v>
      </c>
      <c r="AH12" s="3">
        <f>1/3</f>
        <v>0.33333333333333331</v>
      </c>
      <c r="AI12" s="3">
        <f>1/2</f>
        <v>0.5</v>
      </c>
      <c r="AJ12" s="3">
        <f>1/2</f>
        <v>0.5</v>
      </c>
      <c r="AK12" s="3">
        <f>1/3</f>
        <v>0.33333333333333331</v>
      </c>
    </row>
    <row r="13" spans="2:37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1">
        <v>5</v>
      </c>
      <c r="P13" s="59">
        <v>6</v>
      </c>
      <c r="Q13" s="1">
        <v>7</v>
      </c>
      <c r="R13" s="1">
        <v>8</v>
      </c>
      <c r="S13" s="12">
        <v>9</v>
      </c>
      <c r="T13" s="12" t="s">
        <v>13</v>
      </c>
      <c r="V13" s="2" t="s">
        <v>11</v>
      </c>
      <c r="W13" s="3">
        <f>1/AD6</f>
        <v>5</v>
      </c>
      <c r="X13" s="3">
        <f>1/AD7</f>
        <v>0.25</v>
      </c>
      <c r="Y13" s="3">
        <f>1/AD8</f>
        <v>3</v>
      </c>
      <c r="Z13" s="3">
        <f>1/AD9</f>
        <v>4</v>
      </c>
      <c r="AA13" s="3">
        <f>1/AD10</f>
        <v>5</v>
      </c>
      <c r="AB13" s="3">
        <f>1/AD11</f>
        <v>5</v>
      </c>
      <c r="AC13" s="3">
        <f>1/AD12</f>
        <v>1</v>
      </c>
      <c r="AD13" s="3">
        <v>1</v>
      </c>
      <c r="AE13" s="3">
        <v>1</v>
      </c>
      <c r="AF13" s="3">
        <f>1/3</f>
        <v>0.33333333333333331</v>
      </c>
      <c r="AG13" s="3">
        <f>1/3</f>
        <v>0.33333333333333331</v>
      </c>
      <c r="AH13" s="3">
        <f>1/3</f>
        <v>0.33333333333333331</v>
      </c>
      <c r="AI13" s="3">
        <f>1/2</f>
        <v>0.5</v>
      </c>
      <c r="AJ13" s="3">
        <f>1/2</f>
        <v>0.5</v>
      </c>
      <c r="AK13" s="3">
        <f>1/3</f>
        <v>0.33333333333333331</v>
      </c>
    </row>
    <row r="14" spans="2:37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59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2" t="s">
        <v>12</v>
      </c>
      <c r="W14" s="3">
        <f>1/AE6</f>
        <v>5</v>
      </c>
      <c r="X14" s="3">
        <f>1/AE7</f>
        <v>0.25</v>
      </c>
      <c r="Y14" s="3">
        <f>1/AE8</f>
        <v>3</v>
      </c>
      <c r="Z14" s="3">
        <f>1/AE9</f>
        <v>4</v>
      </c>
      <c r="AA14" s="3">
        <f>1/AE10</f>
        <v>5</v>
      </c>
      <c r="AB14" s="3">
        <f>1/AE11</f>
        <v>5</v>
      </c>
      <c r="AC14" s="3">
        <f>1/AE12</f>
        <v>1</v>
      </c>
      <c r="AD14" s="3">
        <f>1/AE13</f>
        <v>1</v>
      </c>
      <c r="AE14" s="3">
        <v>1</v>
      </c>
      <c r="AF14" s="3">
        <f>1/3</f>
        <v>0.33333333333333331</v>
      </c>
      <c r="AG14" s="3">
        <f>1/3</f>
        <v>0.33333333333333331</v>
      </c>
      <c r="AH14" s="3">
        <f>1/3</f>
        <v>0.33333333333333331</v>
      </c>
      <c r="AI14" s="3">
        <f>1/2</f>
        <v>0.5</v>
      </c>
      <c r="AJ14" s="3">
        <f>1/2</f>
        <v>0.5</v>
      </c>
      <c r="AK14" s="3">
        <f>1/3</f>
        <v>0.33333333333333331</v>
      </c>
    </row>
    <row r="15" spans="2:37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1">
        <v>1</v>
      </c>
      <c r="L15" s="1">
        <v>2</v>
      </c>
      <c r="M15" s="1">
        <v>3</v>
      </c>
      <c r="N15" s="1">
        <v>4</v>
      </c>
      <c r="O15" s="59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2" t="s">
        <v>13</v>
      </c>
      <c r="W15" s="3">
        <f>1/AF6</f>
        <v>6</v>
      </c>
      <c r="X15" s="3">
        <f>1/AF7</f>
        <v>3</v>
      </c>
      <c r="Y15" s="3">
        <f>1/AF8</f>
        <v>5</v>
      </c>
      <c r="Z15" s="3">
        <f>1/AF9</f>
        <v>6</v>
      </c>
      <c r="AA15" s="3">
        <f>1/AF10</f>
        <v>7</v>
      </c>
      <c r="AB15" s="3">
        <f>1/AF11</f>
        <v>7</v>
      </c>
      <c r="AC15" s="3">
        <f>1/AF12</f>
        <v>3</v>
      </c>
      <c r="AD15" s="3">
        <f>1/AF13</f>
        <v>3</v>
      </c>
      <c r="AE15" s="3">
        <f>1/AF14</f>
        <v>3</v>
      </c>
      <c r="AF15" s="3">
        <v>1</v>
      </c>
      <c r="AG15" s="3">
        <v>1</v>
      </c>
      <c r="AH15" s="3">
        <v>1</v>
      </c>
      <c r="AI15" s="3">
        <v>2</v>
      </c>
      <c r="AJ15" s="3">
        <v>2</v>
      </c>
      <c r="AK15" s="3">
        <v>3</v>
      </c>
    </row>
    <row r="16" spans="2:37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1">
        <v>1</v>
      </c>
      <c r="L16" s="1">
        <v>2</v>
      </c>
      <c r="M16" s="1">
        <v>3</v>
      </c>
      <c r="N16" s="59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2" t="s">
        <v>14</v>
      </c>
      <c r="W16" s="3">
        <f>1/AG6</f>
        <v>4</v>
      </c>
      <c r="X16" s="3">
        <f>1/AG7</f>
        <v>2</v>
      </c>
      <c r="Y16" s="3">
        <f>1/AG8</f>
        <v>4</v>
      </c>
      <c r="Z16" s="3">
        <f>1/AG9</f>
        <v>5</v>
      </c>
      <c r="AA16" s="3">
        <f>1/AG10</f>
        <v>5</v>
      </c>
      <c r="AB16" s="3">
        <f>1/AG11</f>
        <v>5</v>
      </c>
      <c r="AC16" s="3">
        <f>1/AG12</f>
        <v>3</v>
      </c>
      <c r="AD16" s="3">
        <f>1/AG13</f>
        <v>3</v>
      </c>
      <c r="AE16" s="3">
        <f>1/AG14</f>
        <v>3</v>
      </c>
      <c r="AF16" s="3">
        <f>1/AG15</f>
        <v>1</v>
      </c>
      <c r="AG16" s="3">
        <v>1</v>
      </c>
      <c r="AH16" s="3">
        <v>1</v>
      </c>
      <c r="AI16" s="3">
        <v>2</v>
      </c>
      <c r="AJ16" s="3">
        <v>2</v>
      </c>
      <c r="AK16" s="3">
        <v>3</v>
      </c>
    </row>
    <row r="17" spans="2:37" x14ac:dyDescent="0.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59">
        <v>4</v>
      </c>
      <c r="O17" s="1">
        <v>5</v>
      </c>
      <c r="P17" s="1">
        <v>6</v>
      </c>
      <c r="Q17" s="1">
        <v>7</v>
      </c>
      <c r="R17" s="1">
        <v>8</v>
      </c>
      <c r="S17" s="12">
        <v>9</v>
      </c>
      <c r="T17" s="12" t="s">
        <v>17</v>
      </c>
      <c r="V17" s="2" t="s">
        <v>15</v>
      </c>
      <c r="W17" s="3">
        <f>1/AH6</f>
        <v>5</v>
      </c>
      <c r="X17" s="3">
        <f>1/AH7</f>
        <v>2</v>
      </c>
      <c r="Y17" s="3">
        <f>1/AH8</f>
        <v>4</v>
      </c>
      <c r="Z17" s="3">
        <f>1/AH9</f>
        <v>6</v>
      </c>
      <c r="AA17" s="3">
        <f>1/AH10</f>
        <v>6</v>
      </c>
      <c r="AB17" s="3">
        <f>1/AH11</f>
        <v>6</v>
      </c>
      <c r="AC17" s="3">
        <f>1/AH12</f>
        <v>3</v>
      </c>
      <c r="AD17" s="3">
        <f>1/AH13</f>
        <v>3</v>
      </c>
      <c r="AE17" s="3">
        <f>1/AH14</f>
        <v>3</v>
      </c>
      <c r="AF17" s="3">
        <f>1/AH15</f>
        <v>1</v>
      </c>
      <c r="AG17" s="3">
        <f>1/AH16</f>
        <v>1</v>
      </c>
      <c r="AH17" s="3">
        <v>1</v>
      </c>
      <c r="AI17" s="3">
        <v>2</v>
      </c>
      <c r="AJ17" s="3">
        <v>2</v>
      </c>
      <c r="AK17" s="3">
        <v>3</v>
      </c>
    </row>
    <row r="18" spans="2:37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60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2" t="s">
        <v>16</v>
      </c>
      <c r="W18" s="3">
        <f>1/AI6</f>
        <v>4</v>
      </c>
      <c r="X18" s="3">
        <f>1/AI7</f>
        <v>0.5</v>
      </c>
      <c r="Y18" s="3">
        <f>1/AI8</f>
        <v>3</v>
      </c>
      <c r="Z18" s="3">
        <f>1/AI9</f>
        <v>5</v>
      </c>
      <c r="AA18" s="3">
        <f>1/AI10</f>
        <v>6</v>
      </c>
      <c r="AB18" s="3">
        <f>1/AI11</f>
        <v>6</v>
      </c>
      <c r="AC18" s="3">
        <f>1/AI12</f>
        <v>2</v>
      </c>
      <c r="AD18" s="3">
        <f>1/AI13</f>
        <v>2</v>
      </c>
      <c r="AE18" s="3">
        <f>1/AI14</f>
        <v>2</v>
      </c>
      <c r="AF18" s="3">
        <f>1/AI15</f>
        <v>0.5</v>
      </c>
      <c r="AG18" s="3">
        <f>1/AI16</f>
        <v>0.5</v>
      </c>
      <c r="AH18" s="3">
        <f>1/AI17</f>
        <v>0.5</v>
      </c>
      <c r="AI18" s="3">
        <v>1</v>
      </c>
      <c r="AJ18" s="3">
        <v>1</v>
      </c>
      <c r="AK18" s="3">
        <v>2</v>
      </c>
    </row>
    <row r="19" spans="2:37" x14ac:dyDescent="0.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59">
        <v>4</v>
      </c>
      <c r="I19" s="1">
        <v>3</v>
      </c>
      <c r="J19" s="1">
        <v>2</v>
      </c>
      <c r="K19" s="1">
        <v>1</v>
      </c>
      <c r="L19" s="1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" t="s">
        <v>17</v>
      </c>
      <c r="W19" s="3">
        <f>1/AJ6</f>
        <v>4</v>
      </c>
      <c r="X19" s="3">
        <f>1/AJ7</f>
        <v>0.33333333333333331</v>
      </c>
      <c r="Y19" s="3">
        <f>1/AJ8</f>
        <v>3</v>
      </c>
      <c r="Z19" s="3">
        <f>1/AJ9</f>
        <v>5</v>
      </c>
      <c r="AA19" s="3">
        <f>1/AJ10</f>
        <v>6</v>
      </c>
      <c r="AB19" s="3">
        <f>1/AJ11</f>
        <v>6</v>
      </c>
      <c r="AC19" s="3">
        <f>1/AJ12</f>
        <v>2</v>
      </c>
      <c r="AD19" s="3">
        <f>1/AJ13</f>
        <v>2</v>
      </c>
      <c r="AE19" s="3">
        <f>1/AJ14</f>
        <v>2</v>
      </c>
      <c r="AF19" s="3">
        <f>1/AJ15</f>
        <v>0.5</v>
      </c>
      <c r="AG19" s="3">
        <f>1/AJ16</f>
        <v>0.5</v>
      </c>
      <c r="AH19" s="3">
        <f>1/AJ17</f>
        <v>0.5</v>
      </c>
      <c r="AI19" s="3">
        <f>1/AJ18</f>
        <v>1</v>
      </c>
      <c r="AJ19" s="3">
        <v>1</v>
      </c>
      <c r="AK19" s="3">
        <v>2</v>
      </c>
    </row>
    <row r="20" spans="2:37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59">
        <v>5</v>
      </c>
      <c r="H20" s="1">
        <v>4</v>
      </c>
      <c r="I20" s="18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2" t="s">
        <v>18</v>
      </c>
      <c r="W20" s="3">
        <f>1/AK6</f>
        <v>3</v>
      </c>
      <c r="X20" s="3">
        <f>1/AK7</f>
        <v>3</v>
      </c>
      <c r="Y20" s="3">
        <f>1/AK8</f>
        <v>4</v>
      </c>
      <c r="Z20" s="3">
        <f>1/AK9</f>
        <v>5</v>
      </c>
      <c r="AA20" s="3">
        <f>1/AK10</f>
        <v>6</v>
      </c>
      <c r="AB20" s="3">
        <f>1/AK11</f>
        <v>6</v>
      </c>
      <c r="AC20" s="3">
        <f>1/AK12</f>
        <v>3</v>
      </c>
      <c r="AD20" s="3">
        <f>1/AK13</f>
        <v>3</v>
      </c>
      <c r="AE20" s="3">
        <f>1/AK14</f>
        <v>3</v>
      </c>
      <c r="AF20" s="3">
        <f>1/AK15</f>
        <v>0.33333333333333331</v>
      </c>
      <c r="AG20" s="3">
        <f>1/AK16</f>
        <v>0.33333333333333331</v>
      </c>
      <c r="AH20" s="3">
        <f>1/AK17</f>
        <v>0.33333333333333331</v>
      </c>
      <c r="AI20" s="3">
        <f>1/AK18</f>
        <v>0.5</v>
      </c>
      <c r="AJ20" s="3">
        <f>1/AK19</f>
        <v>0.5</v>
      </c>
      <c r="AK20" s="3">
        <v>1</v>
      </c>
    </row>
    <row r="21" spans="2:37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59">
        <v>5</v>
      </c>
      <c r="H21" s="1">
        <v>4</v>
      </c>
      <c r="I21" s="1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</row>
    <row r="22" spans="2:37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59">
        <v>5</v>
      </c>
      <c r="H22" s="1">
        <v>4</v>
      </c>
      <c r="I22" s="1">
        <v>3</v>
      </c>
      <c r="J22" s="1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</row>
    <row r="23" spans="2:37" x14ac:dyDescent="0.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59">
        <v>3</v>
      </c>
      <c r="J23" s="1">
        <v>2</v>
      </c>
      <c r="K23" s="1">
        <v>1</v>
      </c>
      <c r="L23" s="1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</row>
    <row r="24" spans="2:37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59">
        <v>4</v>
      </c>
      <c r="I24" s="1">
        <v>3</v>
      </c>
      <c r="J24" s="1">
        <v>2</v>
      </c>
      <c r="K24" s="1">
        <v>1</v>
      </c>
      <c r="L24" s="1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</row>
    <row r="25" spans="2:37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59">
        <v>4</v>
      </c>
      <c r="I25" s="1">
        <v>3</v>
      </c>
      <c r="J25" s="1">
        <v>2</v>
      </c>
      <c r="K25" s="1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</row>
    <row r="26" spans="2:37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59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</row>
    <row r="27" spans="2:37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59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</row>
    <row r="28" spans="2:37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59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</row>
    <row r="29" spans="2:37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59">
        <v>2</v>
      </c>
      <c r="K29" s="1">
        <v>1</v>
      </c>
      <c r="L29" s="1">
        <v>2</v>
      </c>
      <c r="M29" s="1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</row>
    <row r="30" spans="2:37" x14ac:dyDescent="0.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59">
        <v>3</v>
      </c>
      <c r="J30" s="1">
        <v>2</v>
      </c>
      <c r="K30" s="1">
        <v>1</v>
      </c>
      <c r="L30" s="1">
        <v>2</v>
      </c>
      <c r="M30" s="1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</row>
    <row r="31" spans="2:37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60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</row>
    <row r="32" spans="2:37" x14ac:dyDescent="0.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1">
        <v>4</v>
      </c>
      <c r="I32" s="18">
        <v>3</v>
      </c>
      <c r="J32" s="59">
        <v>2</v>
      </c>
      <c r="K32" s="1">
        <v>1</v>
      </c>
      <c r="L32" s="1">
        <v>2</v>
      </c>
      <c r="M32" s="1">
        <v>3</v>
      </c>
      <c r="N32" s="1">
        <v>4</v>
      </c>
      <c r="O32" s="1">
        <v>5</v>
      </c>
      <c r="P32" s="1">
        <v>6</v>
      </c>
      <c r="Q32" s="1">
        <v>7</v>
      </c>
      <c r="R32" s="1">
        <v>8</v>
      </c>
      <c r="S32" s="12">
        <v>9</v>
      </c>
      <c r="T32" s="12" t="s">
        <v>7</v>
      </c>
    </row>
    <row r="33" spans="2:20" x14ac:dyDescent="0.5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59">
        <v>4</v>
      </c>
      <c r="I33" s="1">
        <v>3</v>
      </c>
      <c r="J33" s="1">
        <v>2</v>
      </c>
      <c r="K33" s="1">
        <v>1</v>
      </c>
      <c r="L33" s="1">
        <v>2</v>
      </c>
      <c r="M33" s="1">
        <v>3</v>
      </c>
      <c r="N33" s="1">
        <v>4</v>
      </c>
      <c r="O33" s="1">
        <v>5</v>
      </c>
      <c r="P33" s="1">
        <v>6</v>
      </c>
      <c r="Q33" s="1">
        <v>7</v>
      </c>
      <c r="R33" s="1">
        <v>8</v>
      </c>
      <c r="S33" s="12">
        <v>9</v>
      </c>
      <c r="T33" s="12" t="s">
        <v>8</v>
      </c>
    </row>
    <row r="34" spans="2:20" x14ac:dyDescent="0.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59">
        <v>4</v>
      </c>
      <c r="I34" s="1">
        <v>3</v>
      </c>
      <c r="J34" s="1">
        <v>2</v>
      </c>
      <c r="K34" s="1">
        <v>1</v>
      </c>
      <c r="L34" s="1">
        <v>2</v>
      </c>
      <c r="M34" s="1">
        <v>3</v>
      </c>
      <c r="N34" s="1">
        <v>4</v>
      </c>
      <c r="O34" s="1">
        <v>5</v>
      </c>
      <c r="P34" s="1">
        <v>6</v>
      </c>
      <c r="Q34" s="1">
        <v>7</v>
      </c>
      <c r="R34" s="1">
        <v>8</v>
      </c>
      <c r="S34" s="12">
        <v>9</v>
      </c>
      <c r="T34" s="12" t="s">
        <v>9</v>
      </c>
    </row>
    <row r="35" spans="2:20" x14ac:dyDescent="0.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">
        <v>2</v>
      </c>
      <c r="K35" s="1">
        <v>1</v>
      </c>
      <c r="L35" s="1">
        <v>2</v>
      </c>
      <c r="M35" s="59">
        <v>3</v>
      </c>
      <c r="N35" s="1">
        <v>4</v>
      </c>
      <c r="O35" s="1">
        <v>5</v>
      </c>
      <c r="P35" s="1">
        <v>6</v>
      </c>
      <c r="Q35" s="1">
        <v>7</v>
      </c>
      <c r="R35" s="1">
        <v>8</v>
      </c>
      <c r="S35" s="12">
        <v>9</v>
      </c>
      <c r="T35" s="12" t="s">
        <v>10</v>
      </c>
    </row>
    <row r="36" spans="2:20" x14ac:dyDescent="0.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">
        <v>2</v>
      </c>
      <c r="K36" s="1">
        <v>1</v>
      </c>
      <c r="L36" s="1">
        <v>2</v>
      </c>
      <c r="M36" s="59">
        <v>3</v>
      </c>
      <c r="N36" s="1">
        <v>4</v>
      </c>
      <c r="O36" s="1">
        <v>5</v>
      </c>
      <c r="P36" s="1">
        <v>6</v>
      </c>
      <c r="Q36" s="1">
        <v>7</v>
      </c>
      <c r="R36" s="1">
        <v>8</v>
      </c>
      <c r="S36" s="12">
        <v>9</v>
      </c>
      <c r="T36" s="12" t="s">
        <v>11</v>
      </c>
    </row>
    <row r="37" spans="2:20" x14ac:dyDescent="0.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1">
        <v>3</v>
      </c>
      <c r="J37" s="1">
        <v>2</v>
      </c>
      <c r="K37" s="1">
        <v>1</v>
      </c>
      <c r="L37" s="1">
        <v>2</v>
      </c>
      <c r="M37" s="59">
        <v>3</v>
      </c>
      <c r="N37" s="1">
        <v>4</v>
      </c>
      <c r="O37" s="1">
        <v>5</v>
      </c>
      <c r="P37" s="1">
        <v>6</v>
      </c>
      <c r="Q37" s="1">
        <v>7</v>
      </c>
      <c r="R37" s="1">
        <v>8</v>
      </c>
      <c r="S37" s="12">
        <v>9</v>
      </c>
      <c r="T37" s="12" t="s">
        <v>12</v>
      </c>
    </row>
    <row r="38" spans="2:20" x14ac:dyDescent="0.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">
        <v>2</v>
      </c>
      <c r="K38" s="1">
        <v>1</v>
      </c>
      <c r="L38" s="1">
        <v>2</v>
      </c>
      <c r="M38" s="1">
        <v>3</v>
      </c>
      <c r="N38" s="1">
        <v>4</v>
      </c>
      <c r="O38" s="59">
        <v>5</v>
      </c>
      <c r="P38" s="1">
        <v>6</v>
      </c>
      <c r="Q38" s="1">
        <v>7</v>
      </c>
      <c r="R38" s="1">
        <v>8</v>
      </c>
      <c r="S38" s="12">
        <v>9</v>
      </c>
      <c r="T38" s="12" t="s">
        <v>13</v>
      </c>
    </row>
    <row r="39" spans="2:20" x14ac:dyDescent="0.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">
        <v>2</v>
      </c>
      <c r="K39" s="1">
        <v>1</v>
      </c>
      <c r="L39" s="1">
        <v>2</v>
      </c>
      <c r="M39" s="1">
        <v>3</v>
      </c>
      <c r="N39" s="59">
        <v>4</v>
      </c>
      <c r="O39" s="1">
        <v>5</v>
      </c>
      <c r="P39" s="1">
        <v>6</v>
      </c>
      <c r="Q39" s="1">
        <v>7</v>
      </c>
      <c r="R39" s="1">
        <v>8</v>
      </c>
      <c r="S39" s="12">
        <v>9</v>
      </c>
      <c r="T39" s="12" t="s">
        <v>14</v>
      </c>
    </row>
    <row r="40" spans="2:20" x14ac:dyDescent="0.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1">
        <v>2</v>
      </c>
      <c r="K40" s="1">
        <v>1</v>
      </c>
      <c r="L40" s="1">
        <v>2</v>
      </c>
      <c r="M40" s="1">
        <v>3</v>
      </c>
      <c r="N40" s="59">
        <v>4</v>
      </c>
      <c r="O40" s="1">
        <v>5</v>
      </c>
      <c r="P40" s="1">
        <v>6</v>
      </c>
      <c r="Q40" s="1">
        <v>7</v>
      </c>
      <c r="R40" s="1">
        <v>8</v>
      </c>
      <c r="S40" s="12">
        <v>9</v>
      </c>
      <c r="T40" s="12" t="s">
        <v>15</v>
      </c>
    </row>
    <row r="41" spans="2:20" x14ac:dyDescent="0.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">
        <v>2</v>
      </c>
      <c r="K41" s="1">
        <v>1</v>
      </c>
      <c r="L41" s="1">
        <v>2</v>
      </c>
      <c r="M41" s="59">
        <v>3</v>
      </c>
      <c r="N41" s="1">
        <v>4</v>
      </c>
      <c r="O41" s="1">
        <v>5</v>
      </c>
      <c r="P41" s="1">
        <v>6</v>
      </c>
      <c r="Q41" s="1">
        <v>7</v>
      </c>
      <c r="R41" s="1">
        <v>8</v>
      </c>
      <c r="S41" s="12">
        <v>9</v>
      </c>
      <c r="T41" s="12" t="s">
        <v>16</v>
      </c>
    </row>
    <row r="42" spans="2:20" x14ac:dyDescent="0.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">
        <v>2</v>
      </c>
      <c r="K42" s="1">
        <v>1</v>
      </c>
      <c r="L42" s="1">
        <v>2</v>
      </c>
      <c r="M42" s="59">
        <v>3</v>
      </c>
      <c r="N42" s="1">
        <v>4</v>
      </c>
      <c r="O42" s="1">
        <v>5</v>
      </c>
      <c r="P42" s="1">
        <v>6</v>
      </c>
      <c r="Q42" s="1">
        <v>7</v>
      </c>
      <c r="R42" s="1">
        <v>8</v>
      </c>
      <c r="S42" s="12">
        <v>9</v>
      </c>
      <c r="T42" s="12" t="s">
        <v>17</v>
      </c>
    </row>
    <row r="43" spans="2:20" x14ac:dyDescent="0.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60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</row>
    <row r="44" spans="2:2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59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</row>
    <row r="45" spans="2:2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59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</row>
    <row r="46" spans="2:2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1">
        <v>2</v>
      </c>
      <c r="M46" s="1">
        <v>3</v>
      </c>
      <c r="N46" s="59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</row>
    <row r="47" spans="2:2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1">
        <v>1</v>
      </c>
      <c r="L47" s="1">
        <v>2</v>
      </c>
      <c r="M47" s="1">
        <v>3</v>
      </c>
      <c r="N47" s="59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</row>
    <row r="48" spans="2:2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59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</row>
    <row r="49" spans="2:2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1">
        <v>3</v>
      </c>
      <c r="N49" s="1">
        <v>4</v>
      </c>
      <c r="O49" s="1">
        <v>5</v>
      </c>
      <c r="P49" s="59">
        <v>6</v>
      </c>
      <c r="Q49" s="1">
        <v>7</v>
      </c>
      <c r="R49" s="1">
        <v>8</v>
      </c>
      <c r="S49" s="12">
        <v>9</v>
      </c>
      <c r="T49" s="12" t="s">
        <v>13</v>
      </c>
    </row>
    <row r="50" spans="2:2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1">
        <v>2</v>
      </c>
      <c r="M50" s="1">
        <v>3</v>
      </c>
      <c r="N50" s="1">
        <v>4</v>
      </c>
      <c r="O50" s="59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</row>
    <row r="51" spans="2:2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1">
        <v>2</v>
      </c>
      <c r="M51" s="1">
        <v>3</v>
      </c>
      <c r="N51" s="1">
        <v>4</v>
      </c>
      <c r="O51" s="1">
        <v>5</v>
      </c>
      <c r="P51" s="59">
        <v>6</v>
      </c>
      <c r="Q51" s="1">
        <v>7</v>
      </c>
      <c r="R51" s="1">
        <v>8</v>
      </c>
      <c r="S51" s="12">
        <v>9</v>
      </c>
      <c r="T51" s="12" t="s">
        <v>15</v>
      </c>
    </row>
    <row r="52" spans="2:2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1">
        <v>2</v>
      </c>
      <c r="M52" s="1">
        <v>3</v>
      </c>
      <c r="N52" s="1">
        <v>4</v>
      </c>
      <c r="O52" s="59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</row>
    <row r="53" spans="2:20" x14ac:dyDescent="0.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59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</row>
    <row r="54" spans="2:2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14">
        <v>3</v>
      </c>
      <c r="N54" s="14">
        <v>4</v>
      </c>
      <c r="O54" s="60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</row>
    <row r="55" spans="2:20" x14ac:dyDescent="0.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59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</row>
    <row r="56" spans="2:20" x14ac:dyDescent="0.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1">
        <v>4</v>
      </c>
      <c r="O56" s="59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</row>
    <row r="57" spans="2:20" x14ac:dyDescent="0.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59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</row>
    <row r="58" spans="2:2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1">
        <v>2</v>
      </c>
      <c r="M58" s="1">
        <v>3</v>
      </c>
      <c r="N58" s="1">
        <v>4</v>
      </c>
      <c r="O58" s="59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</row>
    <row r="59" spans="2:20" x14ac:dyDescent="0.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59">
        <v>7</v>
      </c>
      <c r="R59" s="1">
        <v>8</v>
      </c>
      <c r="S59" s="12">
        <v>9</v>
      </c>
      <c r="T59" s="12" t="s">
        <v>13</v>
      </c>
    </row>
    <row r="60" spans="2:20" x14ac:dyDescent="0.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59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</row>
    <row r="61" spans="2:20" x14ac:dyDescent="0.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1">
        <v>4</v>
      </c>
      <c r="O61" s="1">
        <v>5</v>
      </c>
      <c r="P61" s="59">
        <v>6</v>
      </c>
      <c r="Q61" s="1">
        <v>7</v>
      </c>
      <c r="R61" s="1">
        <v>8</v>
      </c>
      <c r="S61" s="12">
        <v>9</v>
      </c>
      <c r="T61" s="12" t="s">
        <v>15</v>
      </c>
    </row>
    <row r="62" spans="2:20" x14ac:dyDescent="0.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59">
        <v>6</v>
      </c>
      <c r="Q62" s="1">
        <v>7</v>
      </c>
      <c r="R62" s="1">
        <v>8</v>
      </c>
      <c r="S62" s="12">
        <v>9</v>
      </c>
      <c r="T62" s="12" t="s">
        <v>16</v>
      </c>
    </row>
    <row r="63" spans="2:20" x14ac:dyDescent="0.5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1">
        <v>5</v>
      </c>
      <c r="P63" s="59">
        <v>6</v>
      </c>
      <c r="Q63" s="1">
        <v>7</v>
      </c>
      <c r="R63" s="1">
        <v>8</v>
      </c>
      <c r="S63" s="12">
        <v>9</v>
      </c>
      <c r="T63" s="12" t="s">
        <v>17</v>
      </c>
    </row>
    <row r="64" spans="2:2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60">
        <v>6</v>
      </c>
      <c r="Q64" s="14">
        <v>7</v>
      </c>
      <c r="R64" s="14">
        <v>8</v>
      </c>
      <c r="S64" s="15">
        <v>9</v>
      </c>
      <c r="T64" s="15" t="s">
        <v>18</v>
      </c>
    </row>
    <row r="65" spans="2:2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1">
        <v>3</v>
      </c>
      <c r="N65" s="1">
        <v>4</v>
      </c>
      <c r="O65" s="59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</row>
    <row r="66" spans="2:2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1">
        <v>2</v>
      </c>
      <c r="M66" s="1">
        <v>3</v>
      </c>
      <c r="N66" s="1">
        <v>4</v>
      </c>
      <c r="O66" s="59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</row>
    <row r="67" spans="2:2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59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</row>
    <row r="68" spans="2:2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59">
        <v>7</v>
      </c>
      <c r="R68" s="1">
        <v>8</v>
      </c>
      <c r="S68" s="12">
        <v>9</v>
      </c>
      <c r="T68" s="12" t="s">
        <v>13</v>
      </c>
    </row>
    <row r="69" spans="2:2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4</v>
      </c>
      <c r="O69" s="59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</row>
    <row r="70" spans="2:2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1">
        <v>3</v>
      </c>
      <c r="N70" s="1">
        <v>4</v>
      </c>
      <c r="O70" s="1">
        <v>5</v>
      </c>
      <c r="P70" s="59">
        <v>6</v>
      </c>
      <c r="Q70" s="1">
        <v>7</v>
      </c>
      <c r="R70" s="1">
        <v>8</v>
      </c>
      <c r="S70" s="12">
        <v>9</v>
      </c>
      <c r="T70" s="12" t="s">
        <v>15</v>
      </c>
    </row>
    <row r="71" spans="2:2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1">
        <v>3</v>
      </c>
      <c r="N71" s="1">
        <v>4</v>
      </c>
      <c r="O71" s="1">
        <v>5</v>
      </c>
      <c r="P71" s="59">
        <v>6</v>
      </c>
      <c r="Q71" s="1">
        <v>7</v>
      </c>
      <c r="R71" s="1">
        <v>8</v>
      </c>
      <c r="S71" s="12">
        <v>9</v>
      </c>
      <c r="T71" s="12" t="s">
        <v>16</v>
      </c>
    </row>
    <row r="72" spans="2:20" x14ac:dyDescent="0.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59">
        <v>6</v>
      </c>
      <c r="Q72" s="1">
        <v>7</v>
      </c>
      <c r="R72" s="1">
        <v>8</v>
      </c>
      <c r="S72" s="12">
        <v>9</v>
      </c>
      <c r="T72" s="12" t="s">
        <v>17</v>
      </c>
    </row>
    <row r="73" spans="2:2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60">
        <v>6</v>
      </c>
      <c r="Q73" s="14">
        <v>7</v>
      </c>
      <c r="R73" s="14">
        <v>8</v>
      </c>
      <c r="S73" s="15">
        <v>9</v>
      </c>
      <c r="T73" s="15" t="s">
        <v>18</v>
      </c>
    </row>
    <row r="74" spans="2:2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59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</row>
    <row r="75" spans="2:2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59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</row>
    <row r="76" spans="2:2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59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</row>
    <row r="77" spans="2:2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59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</row>
    <row r="78" spans="2:2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1">
        <v>1</v>
      </c>
      <c r="L78" s="1">
        <v>2</v>
      </c>
      <c r="M78" s="59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</row>
    <row r="79" spans="2:2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59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</row>
    <row r="80" spans="2:20" x14ac:dyDescent="0.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59">
        <v>2</v>
      </c>
      <c r="M80" s="1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</row>
    <row r="81" spans="2:2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60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</row>
    <row r="82" spans="2:2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59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</row>
    <row r="83" spans="2:2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1">
        <v>1</v>
      </c>
      <c r="L83" s="1">
        <v>2</v>
      </c>
      <c r="M83" s="59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</row>
    <row r="84" spans="2:2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59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</row>
    <row r="85" spans="2:2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1">
        <v>2</v>
      </c>
      <c r="M85" s="59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</row>
    <row r="86" spans="2:2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59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</row>
    <row r="87" spans="2:20" x14ac:dyDescent="0.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59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</row>
    <row r="88" spans="2:2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60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</row>
    <row r="89" spans="2:20" x14ac:dyDescent="0.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59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</row>
    <row r="90" spans="2:2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1">
        <v>2</v>
      </c>
      <c r="M90" s="59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</row>
    <row r="91" spans="2:20" x14ac:dyDescent="0.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1">
        <v>2</v>
      </c>
      <c r="M91" s="59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</row>
    <row r="92" spans="2:20" x14ac:dyDescent="0.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59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</row>
    <row r="93" spans="2:20" x14ac:dyDescent="0.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59">
        <v>2</v>
      </c>
      <c r="M93" s="1">
        <v>3</v>
      </c>
      <c r="N93" s="1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</row>
    <row r="94" spans="2:2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14">
        <v>1</v>
      </c>
      <c r="L94" s="14">
        <v>2</v>
      </c>
      <c r="M94" s="60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</row>
    <row r="95" spans="2:20" x14ac:dyDescent="0.5">
      <c r="B95" s="16" t="s">
        <v>13</v>
      </c>
      <c r="C95" s="4">
        <v>9</v>
      </c>
      <c r="D95" s="5">
        <v>8</v>
      </c>
      <c r="E95" s="5">
        <v>7</v>
      </c>
      <c r="F95" s="5">
        <v>6</v>
      </c>
      <c r="G95" s="5">
        <v>5</v>
      </c>
      <c r="H95" s="5">
        <v>4</v>
      </c>
      <c r="I95" s="5">
        <v>3</v>
      </c>
      <c r="J95" s="5">
        <v>2</v>
      </c>
      <c r="K95" s="58">
        <v>1</v>
      </c>
      <c r="L95" s="5">
        <v>2</v>
      </c>
      <c r="M95" s="5">
        <v>3</v>
      </c>
      <c r="N95" s="5">
        <v>4</v>
      </c>
      <c r="O95" s="5">
        <v>5</v>
      </c>
      <c r="P95" s="5">
        <v>6</v>
      </c>
      <c r="Q95" s="5">
        <v>7</v>
      </c>
      <c r="R95" s="5">
        <v>8</v>
      </c>
      <c r="S95" s="7">
        <v>9</v>
      </c>
      <c r="T95" s="7" t="s">
        <v>14</v>
      </c>
    </row>
    <row r="96" spans="2:20" x14ac:dyDescent="0.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59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</row>
    <row r="97" spans="2:2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59">
        <v>2</v>
      </c>
      <c r="K97" s="1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</row>
    <row r="98" spans="2:20" x14ac:dyDescent="0.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59">
        <v>2</v>
      </c>
      <c r="K98" s="1">
        <v>1</v>
      </c>
      <c r="L98" s="1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</row>
    <row r="99" spans="2:20" x14ac:dyDescent="0.5">
      <c r="B99" s="17" t="s">
        <v>13</v>
      </c>
      <c r="C99" s="13">
        <v>9</v>
      </c>
      <c r="D99" s="14">
        <v>8</v>
      </c>
      <c r="E99" s="14">
        <v>7</v>
      </c>
      <c r="F99" s="14">
        <v>6</v>
      </c>
      <c r="G99" s="14">
        <v>5</v>
      </c>
      <c r="H99" s="14">
        <v>4</v>
      </c>
      <c r="I99" s="60">
        <v>3</v>
      </c>
      <c r="J99" s="14">
        <v>2</v>
      </c>
      <c r="K99" s="14">
        <v>1</v>
      </c>
      <c r="L99" s="14">
        <v>2</v>
      </c>
      <c r="M99" s="14">
        <v>3</v>
      </c>
      <c r="N99" s="14">
        <v>4</v>
      </c>
      <c r="O99" s="14">
        <v>5</v>
      </c>
      <c r="P99" s="14">
        <v>6</v>
      </c>
      <c r="Q99" s="14">
        <v>7</v>
      </c>
      <c r="R99" s="14">
        <v>8</v>
      </c>
      <c r="S99" s="15">
        <v>9</v>
      </c>
      <c r="T99" s="15" t="s">
        <v>18</v>
      </c>
    </row>
    <row r="100" spans="2:2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58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</row>
    <row r="101" spans="2:2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59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</row>
    <row r="102" spans="2:20" x14ac:dyDescent="0.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59">
        <v>2</v>
      </c>
      <c r="K102" s="1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1">
        <v>7</v>
      </c>
      <c r="R102" s="1">
        <v>8</v>
      </c>
      <c r="S102" s="12">
        <v>9</v>
      </c>
      <c r="T102" s="12" t="s">
        <v>17</v>
      </c>
    </row>
    <row r="103" spans="2:2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60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</row>
    <row r="104" spans="2:20" x14ac:dyDescent="0.5">
      <c r="B104" s="16" t="s">
        <v>15</v>
      </c>
      <c r="C104" s="4">
        <v>9</v>
      </c>
      <c r="D104" s="5">
        <v>8</v>
      </c>
      <c r="E104" s="5">
        <v>7</v>
      </c>
      <c r="F104" s="5">
        <v>6</v>
      </c>
      <c r="G104" s="5">
        <v>5</v>
      </c>
      <c r="H104" s="5">
        <v>4</v>
      </c>
      <c r="I104" s="5">
        <v>3</v>
      </c>
      <c r="J104" s="58">
        <v>2</v>
      </c>
      <c r="K104" s="5">
        <v>1</v>
      </c>
      <c r="L104" s="5">
        <v>2</v>
      </c>
      <c r="M104" s="5">
        <v>3</v>
      </c>
      <c r="N104" s="5">
        <v>4</v>
      </c>
      <c r="O104" s="5">
        <v>5</v>
      </c>
      <c r="P104" s="5">
        <v>6</v>
      </c>
      <c r="Q104" s="5">
        <v>7</v>
      </c>
      <c r="R104" s="5">
        <v>8</v>
      </c>
      <c r="S104" s="7">
        <v>9</v>
      </c>
      <c r="T104" s="12" t="s">
        <v>16</v>
      </c>
    </row>
    <row r="105" spans="2:20" x14ac:dyDescent="0.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59">
        <v>2</v>
      </c>
      <c r="K105" s="1">
        <v>1</v>
      </c>
      <c r="L105" s="1">
        <v>2</v>
      </c>
      <c r="M105" s="1">
        <v>3</v>
      </c>
      <c r="N105" s="1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</row>
    <row r="106" spans="2:2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60">
        <v>3</v>
      </c>
      <c r="J106" s="14">
        <v>2</v>
      </c>
      <c r="K106" s="1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</row>
    <row r="107" spans="2:20" x14ac:dyDescent="0.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59">
        <v>1</v>
      </c>
      <c r="L107" s="1">
        <v>2</v>
      </c>
      <c r="M107" s="1">
        <v>3</v>
      </c>
      <c r="N107" s="1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</row>
    <row r="108" spans="2:2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60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</row>
    <row r="109" spans="2:20" x14ac:dyDescent="0.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60">
        <v>2</v>
      </c>
      <c r="K109" s="1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</row>
    <row r="111" spans="2:20" x14ac:dyDescent="0.5">
      <c r="B111" s="90" t="s">
        <v>19</v>
      </c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2"/>
    </row>
    <row r="112" spans="2:20" x14ac:dyDescent="0.5">
      <c r="B112" s="85" t="s">
        <v>23</v>
      </c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93"/>
    </row>
    <row r="113" spans="2:37" x14ac:dyDescent="0.5">
      <c r="B113" s="94" t="s">
        <v>1</v>
      </c>
      <c r="C113" s="90" t="s">
        <v>2</v>
      </c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6"/>
      <c r="T113" s="94" t="s">
        <v>3</v>
      </c>
    </row>
    <row r="114" spans="2:37" x14ac:dyDescent="0.5">
      <c r="B114" s="95"/>
      <c r="C114" s="24">
        <v>9</v>
      </c>
      <c r="D114" s="24">
        <v>8</v>
      </c>
      <c r="E114" s="24">
        <v>7</v>
      </c>
      <c r="F114" s="24">
        <v>6</v>
      </c>
      <c r="G114" s="24">
        <v>5</v>
      </c>
      <c r="H114" s="24">
        <v>4</v>
      </c>
      <c r="I114" s="24">
        <v>3</v>
      </c>
      <c r="J114" s="24">
        <v>2</v>
      </c>
      <c r="K114" s="24">
        <v>1</v>
      </c>
      <c r="L114" s="24">
        <v>2</v>
      </c>
      <c r="M114" s="24">
        <v>3</v>
      </c>
      <c r="N114" s="24">
        <v>4</v>
      </c>
      <c r="O114" s="24">
        <v>5</v>
      </c>
      <c r="P114" s="24">
        <v>6</v>
      </c>
      <c r="Q114" s="24">
        <v>7</v>
      </c>
      <c r="R114" s="24">
        <v>8</v>
      </c>
      <c r="S114" s="24">
        <v>9</v>
      </c>
      <c r="T114" s="95"/>
    </row>
    <row r="115" spans="2:37" x14ac:dyDescent="0.5">
      <c r="B115" s="16" t="s">
        <v>4</v>
      </c>
      <c r="C115" s="4">
        <v>9</v>
      </c>
      <c r="D115" s="5">
        <v>8</v>
      </c>
      <c r="E115" s="5">
        <v>7</v>
      </c>
      <c r="F115" s="5">
        <v>6</v>
      </c>
      <c r="G115" s="5">
        <v>5</v>
      </c>
      <c r="H115" s="5">
        <v>4</v>
      </c>
      <c r="I115" s="5">
        <v>3</v>
      </c>
      <c r="J115" s="5">
        <v>2</v>
      </c>
      <c r="K115" s="5">
        <v>1</v>
      </c>
      <c r="L115" s="5">
        <v>2</v>
      </c>
      <c r="M115" s="58">
        <v>3</v>
      </c>
      <c r="N115" s="5">
        <v>4</v>
      </c>
      <c r="O115" s="5">
        <v>5</v>
      </c>
      <c r="P115" s="5">
        <v>6</v>
      </c>
      <c r="Q115" s="5">
        <v>7</v>
      </c>
      <c r="R115" s="5">
        <v>8</v>
      </c>
      <c r="S115" s="7">
        <v>9</v>
      </c>
      <c r="T115" s="7" t="s">
        <v>5</v>
      </c>
      <c r="V115" s="63" t="s">
        <v>19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5">
      <c r="B116" s="17" t="s">
        <v>4</v>
      </c>
      <c r="C116" s="11">
        <v>9</v>
      </c>
      <c r="D116" s="1">
        <v>8</v>
      </c>
      <c r="E116" s="1">
        <v>7</v>
      </c>
      <c r="F116" s="1">
        <v>6</v>
      </c>
      <c r="G116" s="1">
        <v>5</v>
      </c>
      <c r="H116" s="1">
        <v>4</v>
      </c>
      <c r="I116" s="1">
        <v>3</v>
      </c>
      <c r="J116" s="1">
        <v>2</v>
      </c>
      <c r="K116" s="1">
        <v>1</v>
      </c>
      <c r="L116" s="59">
        <v>2</v>
      </c>
      <c r="M116" s="1">
        <v>3</v>
      </c>
      <c r="N116" s="1">
        <v>4</v>
      </c>
      <c r="O116" s="1">
        <v>5</v>
      </c>
      <c r="P116" s="1">
        <v>6</v>
      </c>
      <c r="Q116" s="1">
        <v>7</v>
      </c>
      <c r="R116" s="1">
        <v>8</v>
      </c>
      <c r="S116" s="12">
        <v>9</v>
      </c>
      <c r="T116" s="12" t="s">
        <v>6</v>
      </c>
      <c r="V116" s="2" t="s">
        <v>4</v>
      </c>
      <c r="W116" s="3">
        <v>1</v>
      </c>
      <c r="X116" s="3">
        <f>1/3</f>
        <v>0.33333333333333331</v>
      </c>
      <c r="Y116" s="3">
        <f>1/2</f>
        <v>0.5</v>
      </c>
      <c r="Z116" s="3">
        <f>1/2</f>
        <v>0.5</v>
      </c>
      <c r="AA116" s="3">
        <f>1/4</f>
        <v>0.25</v>
      </c>
      <c r="AB116" s="3">
        <f>1/4</f>
        <v>0.25</v>
      </c>
      <c r="AC116" s="3">
        <f>1/5</f>
        <v>0.2</v>
      </c>
      <c r="AD116" s="3">
        <f>1/5</f>
        <v>0.2</v>
      </c>
      <c r="AE116" s="3">
        <f>1/5</f>
        <v>0.2</v>
      </c>
      <c r="AF116" s="3">
        <f>1/6</f>
        <v>0.16666666666666666</v>
      </c>
      <c r="AG116" s="3">
        <f>1/4</f>
        <v>0.25</v>
      </c>
      <c r="AH116" s="3">
        <f>1/5</f>
        <v>0.2</v>
      </c>
      <c r="AI116" s="3">
        <f>1/4</f>
        <v>0.25</v>
      </c>
      <c r="AJ116" s="3">
        <f>1/4</f>
        <v>0.25</v>
      </c>
      <c r="AK116" s="3">
        <f>1/3</f>
        <v>0.33333333333333331</v>
      </c>
    </row>
    <row r="117" spans="2:37" x14ac:dyDescent="0.5">
      <c r="B117" s="17" t="s">
        <v>4</v>
      </c>
      <c r="C117" s="11">
        <v>9</v>
      </c>
      <c r="D117" s="1">
        <v>8</v>
      </c>
      <c r="E117" s="1">
        <v>7</v>
      </c>
      <c r="F117" s="1">
        <v>6</v>
      </c>
      <c r="G117" s="1">
        <v>5</v>
      </c>
      <c r="H117" s="1">
        <v>4</v>
      </c>
      <c r="I117" s="18">
        <v>3</v>
      </c>
      <c r="J117" s="1">
        <v>2</v>
      </c>
      <c r="K117" s="1">
        <v>1</v>
      </c>
      <c r="L117" s="59">
        <v>2</v>
      </c>
      <c r="M117" s="1">
        <v>3</v>
      </c>
      <c r="N117" s="1">
        <v>4</v>
      </c>
      <c r="O117" s="1">
        <v>5</v>
      </c>
      <c r="P117" s="1">
        <v>6</v>
      </c>
      <c r="Q117" s="1">
        <v>7</v>
      </c>
      <c r="R117" s="1">
        <v>8</v>
      </c>
      <c r="S117" s="12">
        <v>9</v>
      </c>
      <c r="T117" s="12" t="s">
        <v>7</v>
      </c>
      <c r="V117" s="2" t="s">
        <v>5</v>
      </c>
      <c r="W117" s="3">
        <f>1/X116</f>
        <v>3</v>
      </c>
      <c r="X117" s="3">
        <v>1</v>
      </c>
      <c r="Y117" s="3">
        <v>5</v>
      </c>
      <c r="Z117" s="3">
        <v>5</v>
      </c>
      <c r="AA117" s="3">
        <v>6</v>
      </c>
      <c r="AB117" s="3">
        <v>6</v>
      </c>
      <c r="AC117" s="3">
        <f>1/3</f>
        <v>0.33333333333333331</v>
      </c>
      <c r="AD117" s="3">
        <f>1/4</f>
        <v>0.25</v>
      </c>
      <c r="AE117" s="3">
        <f>1/4</f>
        <v>0.25</v>
      </c>
      <c r="AF117" s="3">
        <f>1/5</f>
        <v>0.2</v>
      </c>
      <c r="AG117" s="3">
        <f>1/2</f>
        <v>0.5</v>
      </c>
      <c r="AH117" s="3">
        <f>1/4</f>
        <v>0.25</v>
      </c>
      <c r="AI117" s="3">
        <f>1/3</f>
        <v>0.33333333333333331</v>
      </c>
      <c r="AJ117" s="3">
        <f>1/3</f>
        <v>0.33333333333333331</v>
      </c>
      <c r="AK117" s="3">
        <f>1/4</f>
        <v>0.25</v>
      </c>
    </row>
    <row r="118" spans="2:37" x14ac:dyDescent="0.5">
      <c r="B118" s="17" t="s">
        <v>4</v>
      </c>
      <c r="C118" s="11">
        <v>9</v>
      </c>
      <c r="D118" s="1">
        <v>8</v>
      </c>
      <c r="E118" s="1">
        <v>7</v>
      </c>
      <c r="F118" s="1">
        <v>6</v>
      </c>
      <c r="G118" s="1">
        <v>5</v>
      </c>
      <c r="H118" s="1">
        <v>4</v>
      </c>
      <c r="I118" s="1">
        <v>3</v>
      </c>
      <c r="J118" s="1">
        <v>2</v>
      </c>
      <c r="K118" s="1">
        <v>1</v>
      </c>
      <c r="L118" s="1">
        <v>2</v>
      </c>
      <c r="M118" s="1">
        <v>3</v>
      </c>
      <c r="N118" s="59">
        <v>4</v>
      </c>
      <c r="O118" s="1">
        <v>5</v>
      </c>
      <c r="P118" s="1">
        <v>6</v>
      </c>
      <c r="Q118" s="1">
        <v>7</v>
      </c>
      <c r="R118" s="1">
        <v>8</v>
      </c>
      <c r="S118" s="12">
        <v>9</v>
      </c>
      <c r="T118" s="12" t="s">
        <v>8</v>
      </c>
      <c r="V118" s="2" t="s">
        <v>6</v>
      </c>
      <c r="W118" s="3">
        <f>1/Y116</f>
        <v>2</v>
      </c>
      <c r="X118" s="3">
        <f>1/Y117</f>
        <v>0.2</v>
      </c>
      <c r="Y118" s="3">
        <v>1</v>
      </c>
      <c r="Z118" s="3">
        <v>2</v>
      </c>
      <c r="AA118" s="3">
        <v>4</v>
      </c>
      <c r="AB118" s="3">
        <v>4</v>
      </c>
      <c r="AC118" s="3">
        <f>1/3</f>
        <v>0.33333333333333331</v>
      </c>
      <c r="AD118" s="3">
        <f>1/4</f>
        <v>0.25</v>
      </c>
      <c r="AE118" s="3">
        <f>1/4</f>
        <v>0.25</v>
      </c>
      <c r="AF118" s="3">
        <f>1/5</f>
        <v>0.2</v>
      </c>
      <c r="AG118" s="3">
        <f>1/3</f>
        <v>0.33333333333333331</v>
      </c>
      <c r="AH118" s="3">
        <f>1/4</f>
        <v>0.25</v>
      </c>
      <c r="AI118" s="3">
        <f>1/6</f>
        <v>0.16666666666666666</v>
      </c>
      <c r="AJ118" s="3">
        <f>1/6</f>
        <v>0.16666666666666666</v>
      </c>
      <c r="AK118" s="3">
        <f>1/5</f>
        <v>0.2</v>
      </c>
    </row>
    <row r="119" spans="2:37" x14ac:dyDescent="0.5">
      <c r="B119" s="17" t="s">
        <v>4</v>
      </c>
      <c r="C119" s="11">
        <v>9</v>
      </c>
      <c r="D119" s="1">
        <v>8</v>
      </c>
      <c r="E119" s="1">
        <v>7</v>
      </c>
      <c r="F119" s="1">
        <v>6</v>
      </c>
      <c r="G119" s="1">
        <v>5</v>
      </c>
      <c r="H119" s="1">
        <v>4</v>
      </c>
      <c r="I119" s="1">
        <v>3</v>
      </c>
      <c r="J119" s="1">
        <v>2</v>
      </c>
      <c r="K119" s="1">
        <v>1</v>
      </c>
      <c r="L119" s="1">
        <v>2</v>
      </c>
      <c r="M119" s="1">
        <v>3</v>
      </c>
      <c r="N119" s="59">
        <v>4</v>
      </c>
      <c r="O119" s="1">
        <v>5</v>
      </c>
      <c r="P119" s="1">
        <v>6</v>
      </c>
      <c r="Q119" s="1">
        <v>7</v>
      </c>
      <c r="R119" s="1">
        <v>8</v>
      </c>
      <c r="S119" s="12">
        <v>9</v>
      </c>
      <c r="T119" s="12" t="s">
        <v>9</v>
      </c>
      <c r="V119" s="2" t="s">
        <v>7</v>
      </c>
      <c r="W119" s="3">
        <f>1/Z116</f>
        <v>2</v>
      </c>
      <c r="X119" s="3">
        <f>1/Z117</f>
        <v>0.2</v>
      </c>
      <c r="Y119" s="3">
        <f>1/Z118</f>
        <v>0.5</v>
      </c>
      <c r="Z119" s="3">
        <v>1</v>
      </c>
      <c r="AA119" s="3">
        <v>2</v>
      </c>
      <c r="AB119" s="3">
        <v>2</v>
      </c>
      <c r="AC119" s="3">
        <f>1/3</f>
        <v>0.33333333333333331</v>
      </c>
      <c r="AD119" s="3">
        <f>1/4</f>
        <v>0.25</v>
      </c>
      <c r="AE119" s="3">
        <f>1/4</f>
        <v>0.25</v>
      </c>
      <c r="AF119" s="3">
        <f>1/7</f>
        <v>0.14285714285714285</v>
      </c>
      <c r="AG119" s="3">
        <f>1/6</f>
        <v>0.16666666666666666</v>
      </c>
      <c r="AH119" s="3">
        <f>1/5</f>
        <v>0.2</v>
      </c>
      <c r="AI119" s="3">
        <f>1/6</f>
        <v>0.16666666666666666</v>
      </c>
      <c r="AJ119" s="3">
        <f>1/6</f>
        <v>0.16666666666666666</v>
      </c>
      <c r="AK119" s="3">
        <f>1/4</f>
        <v>0.25</v>
      </c>
    </row>
    <row r="120" spans="2:37" x14ac:dyDescent="0.5">
      <c r="B120" s="17" t="s">
        <v>4</v>
      </c>
      <c r="C120" s="11">
        <v>9</v>
      </c>
      <c r="D120" s="1">
        <v>8</v>
      </c>
      <c r="E120" s="1">
        <v>7</v>
      </c>
      <c r="F120" s="1">
        <v>6</v>
      </c>
      <c r="G120" s="1">
        <v>5</v>
      </c>
      <c r="H120" s="1">
        <v>4</v>
      </c>
      <c r="I120" s="1">
        <v>3</v>
      </c>
      <c r="J120" s="1">
        <v>2</v>
      </c>
      <c r="K120" s="1">
        <v>1</v>
      </c>
      <c r="L120" s="1">
        <v>2</v>
      </c>
      <c r="M120" s="1">
        <v>3</v>
      </c>
      <c r="N120" s="1">
        <v>4</v>
      </c>
      <c r="O120" s="59">
        <v>5</v>
      </c>
      <c r="P120" s="1">
        <v>6</v>
      </c>
      <c r="Q120" s="1">
        <v>7</v>
      </c>
      <c r="R120" s="1">
        <v>8</v>
      </c>
      <c r="S120" s="12">
        <v>9</v>
      </c>
      <c r="T120" s="12" t="s">
        <v>10</v>
      </c>
      <c r="V120" s="2" t="s">
        <v>8</v>
      </c>
      <c r="W120" s="3">
        <f>1/AA116</f>
        <v>4</v>
      </c>
      <c r="X120" s="3">
        <f>1/AA117</f>
        <v>0.16666666666666666</v>
      </c>
      <c r="Y120" s="3">
        <f>1/AA118</f>
        <v>0.25</v>
      </c>
      <c r="Z120" s="3">
        <f>1/AA119</f>
        <v>0.5</v>
      </c>
      <c r="AA120" s="3">
        <v>1</v>
      </c>
      <c r="AB120" s="3">
        <v>1</v>
      </c>
      <c r="AC120" s="3">
        <f>1/5</f>
        <v>0.2</v>
      </c>
      <c r="AD120" s="3">
        <f>1/5</f>
        <v>0.2</v>
      </c>
      <c r="AE120" s="3">
        <f>1/5</f>
        <v>0.2</v>
      </c>
      <c r="AF120" s="3">
        <f>1/7</f>
        <v>0.14285714285714285</v>
      </c>
      <c r="AG120" s="3">
        <f>1/5</f>
        <v>0.2</v>
      </c>
      <c r="AH120" s="3">
        <f>1/6</f>
        <v>0.16666666666666666</v>
      </c>
      <c r="AI120" s="3">
        <f>1/6</f>
        <v>0.16666666666666666</v>
      </c>
      <c r="AJ120" s="3">
        <f>1/6</f>
        <v>0.16666666666666666</v>
      </c>
      <c r="AK120" s="3">
        <f>1/6</f>
        <v>0.16666666666666666</v>
      </c>
    </row>
    <row r="121" spans="2:37" x14ac:dyDescent="0.5">
      <c r="B121" s="17" t="s">
        <v>4</v>
      </c>
      <c r="C121" s="11">
        <v>9</v>
      </c>
      <c r="D121" s="1">
        <v>8</v>
      </c>
      <c r="E121" s="1">
        <v>7</v>
      </c>
      <c r="F121" s="1">
        <v>6</v>
      </c>
      <c r="G121" s="1">
        <v>5</v>
      </c>
      <c r="H121" s="1">
        <v>4</v>
      </c>
      <c r="I121" s="1">
        <v>3</v>
      </c>
      <c r="J121" s="1">
        <v>2</v>
      </c>
      <c r="K121" s="1">
        <v>1</v>
      </c>
      <c r="L121" s="1">
        <v>2</v>
      </c>
      <c r="M121" s="1">
        <v>3</v>
      </c>
      <c r="N121" s="1">
        <v>4</v>
      </c>
      <c r="O121" s="59">
        <v>5</v>
      </c>
      <c r="P121" s="1">
        <v>6</v>
      </c>
      <c r="Q121" s="1">
        <v>7</v>
      </c>
      <c r="R121" s="1">
        <v>8</v>
      </c>
      <c r="S121" s="12">
        <v>9</v>
      </c>
      <c r="T121" s="12" t="s">
        <v>11</v>
      </c>
      <c r="V121" s="2" t="s">
        <v>9</v>
      </c>
      <c r="W121" s="3">
        <f>1/AB116</f>
        <v>4</v>
      </c>
      <c r="X121" s="3">
        <f>1/AB117</f>
        <v>0.16666666666666666</v>
      </c>
      <c r="Y121" s="3">
        <f>1/AB118</f>
        <v>0.25</v>
      </c>
      <c r="Z121" s="3">
        <f>1/AB119</f>
        <v>0.5</v>
      </c>
      <c r="AA121" s="3">
        <f>1/AB120</f>
        <v>1</v>
      </c>
      <c r="AB121" s="3">
        <v>1</v>
      </c>
      <c r="AC121" s="3">
        <f>1/5</f>
        <v>0.2</v>
      </c>
      <c r="AD121" s="3">
        <f>1/5</f>
        <v>0.2</v>
      </c>
      <c r="AE121" s="3">
        <f>1/5</f>
        <v>0.2</v>
      </c>
      <c r="AF121" s="3">
        <f>1/7</f>
        <v>0.14285714285714285</v>
      </c>
      <c r="AG121" s="3">
        <f>1/5</f>
        <v>0.2</v>
      </c>
      <c r="AH121" s="3">
        <f>1/6</f>
        <v>0.16666666666666666</v>
      </c>
      <c r="AI121" s="3">
        <f>1/6</f>
        <v>0.16666666666666666</v>
      </c>
      <c r="AJ121" s="3">
        <f>1/6</f>
        <v>0.16666666666666666</v>
      </c>
      <c r="AK121" s="3">
        <f>1/6</f>
        <v>0.16666666666666666</v>
      </c>
    </row>
    <row r="122" spans="2:37" x14ac:dyDescent="0.5">
      <c r="B122" s="17" t="s">
        <v>4</v>
      </c>
      <c r="C122" s="11">
        <v>9</v>
      </c>
      <c r="D122" s="1">
        <v>8</v>
      </c>
      <c r="E122" s="1">
        <v>7</v>
      </c>
      <c r="F122" s="1">
        <v>6</v>
      </c>
      <c r="G122" s="1">
        <v>5</v>
      </c>
      <c r="H122" s="1">
        <v>4</v>
      </c>
      <c r="I122" s="1">
        <v>3</v>
      </c>
      <c r="J122" s="1">
        <v>2</v>
      </c>
      <c r="K122" s="1">
        <v>1</v>
      </c>
      <c r="L122" s="1">
        <v>2</v>
      </c>
      <c r="M122" s="1">
        <v>3</v>
      </c>
      <c r="N122" s="1">
        <v>4</v>
      </c>
      <c r="O122" s="59">
        <v>5</v>
      </c>
      <c r="P122" s="1">
        <v>6</v>
      </c>
      <c r="Q122" s="1">
        <v>7</v>
      </c>
      <c r="R122" s="1">
        <v>8</v>
      </c>
      <c r="S122" s="12">
        <v>9</v>
      </c>
      <c r="T122" s="12" t="s">
        <v>12</v>
      </c>
      <c r="V122" s="2" t="s">
        <v>10</v>
      </c>
      <c r="W122" s="3">
        <f>1/AC116</f>
        <v>5</v>
      </c>
      <c r="X122" s="3">
        <f>1/AC117</f>
        <v>3</v>
      </c>
      <c r="Y122" s="3">
        <f>1/AC118</f>
        <v>3</v>
      </c>
      <c r="Z122" s="3">
        <f>1/AC119</f>
        <v>3</v>
      </c>
      <c r="AA122" s="3">
        <f>1/AC120</f>
        <v>5</v>
      </c>
      <c r="AB122" s="3">
        <f>1/AC121</f>
        <v>5</v>
      </c>
      <c r="AC122" s="3">
        <v>1</v>
      </c>
      <c r="AD122" s="3">
        <v>1</v>
      </c>
      <c r="AE122" s="3">
        <v>1</v>
      </c>
      <c r="AF122" s="3">
        <f>1/3</f>
        <v>0.33333333333333331</v>
      </c>
      <c r="AG122" s="3">
        <f>1/3</f>
        <v>0.33333333333333331</v>
      </c>
      <c r="AH122" s="3">
        <f>1/3</f>
        <v>0.33333333333333331</v>
      </c>
      <c r="AI122" s="3">
        <f>1/2</f>
        <v>0.5</v>
      </c>
      <c r="AJ122" s="3">
        <f>1/2</f>
        <v>0.5</v>
      </c>
      <c r="AK122" s="3">
        <f>1/3</f>
        <v>0.33333333333333331</v>
      </c>
    </row>
    <row r="123" spans="2:37" x14ac:dyDescent="0.5">
      <c r="B123" s="17" t="s">
        <v>4</v>
      </c>
      <c r="C123" s="11">
        <v>9</v>
      </c>
      <c r="D123" s="1">
        <v>8</v>
      </c>
      <c r="E123" s="1">
        <v>7</v>
      </c>
      <c r="F123" s="1">
        <v>6</v>
      </c>
      <c r="G123" s="1">
        <v>5</v>
      </c>
      <c r="H123" s="1">
        <v>4</v>
      </c>
      <c r="I123" s="1">
        <v>3</v>
      </c>
      <c r="J123" s="1">
        <v>2</v>
      </c>
      <c r="K123" s="1">
        <v>1</v>
      </c>
      <c r="L123" s="1">
        <v>2</v>
      </c>
      <c r="M123" s="1">
        <v>3</v>
      </c>
      <c r="N123" s="1">
        <v>4</v>
      </c>
      <c r="O123" s="1">
        <v>5</v>
      </c>
      <c r="P123" s="59">
        <v>6</v>
      </c>
      <c r="Q123" s="1">
        <v>7</v>
      </c>
      <c r="R123" s="1">
        <v>8</v>
      </c>
      <c r="S123" s="12">
        <v>9</v>
      </c>
      <c r="T123" s="12" t="s">
        <v>13</v>
      </c>
      <c r="V123" s="2" t="s">
        <v>11</v>
      </c>
      <c r="W123" s="3">
        <f>1/AD116</f>
        <v>5</v>
      </c>
      <c r="X123" s="3">
        <f>1/AD117</f>
        <v>4</v>
      </c>
      <c r="Y123" s="3">
        <f>1/AD118</f>
        <v>4</v>
      </c>
      <c r="Z123" s="3">
        <f>1/AD119</f>
        <v>4</v>
      </c>
      <c r="AA123" s="3">
        <f>1/AD120</f>
        <v>5</v>
      </c>
      <c r="AB123" s="3">
        <f>1/AD121</f>
        <v>5</v>
      </c>
      <c r="AC123" s="3">
        <f>1/AD122</f>
        <v>1</v>
      </c>
      <c r="AD123" s="3">
        <v>1</v>
      </c>
      <c r="AE123" s="3">
        <f>1/2</f>
        <v>0.5</v>
      </c>
      <c r="AF123" s="3">
        <f>1/4</f>
        <v>0.25</v>
      </c>
      <c r="AG123" s="3">
        <f>1/3</f>
        <v>0.33333333333333331</v>
      </c>
      <c r="AH123" s="3">
        <f>1/4</f>
        <v>0.25</v>
      </c>
      <c r="AI123" s="3">
        <f>1/2</f>
        <v>0.5</v>
      </c>
      <c r="AJ123" s="3">
        <f>1/2</f>
        <v>0.5</v>
      </c>
      <c r="AK123" s="3">
        <f>1/3</f>
        <v>0.33333333333333331</v>
      </c>
    </row>
    <row r="124" spans="2:37" x14ac:dyDescent="0.5">
      <c r="B124" s="17" t="s">
        <v>4</v>
      </c>
      <c r="C124" s="11">
        <v>9</v>
      </c>
      <c r="D124" s="1">
        <v>8</v>
      </c>
      <c r="E124" s="1">
        <v>7</v>
      </c>
      <c r="F124" s="1">
        <v>6</v>
      </c>
      <c r="G124" s="1">
        <v>5</v>
      </c>
      <c r="H124" s="1">
        <v>4</v>
      </c>
      <c r="I124" s="1">
        <v>3</v>
      </c>
      <c r="J124" s="1">
        <v>2</v>
      </c>
      <c r="K124" s="1">
        <v>1</v>
      </c>
      <c r="L124" s="1">
        <v>2</v>
      </c>
      <c r="M124" s="1">
        <v>3</v>
      </c>
      <c r="N124" s="59">
        <v>4</v>
      </c>
      <c r="O124" s="1">
        <v>5</v>
      </c>
      <c r="P124" s="1">
        <v>6</v>
      </c>
      <c r="Q124" s="1">
        <v>7</v>
      </c>
      <c r="R124" s="1">
        <v>8</v>
      </c>
      <c r="S124" s="12">
        <v>9</v>
      </c>
      <c r="T124" s="12" t="s">
        <v>14</v>
      </c>
      <c r="V124" s="2" t="s">
        <v>12</v>
      </c>
      <c r="W124" s="3">
        <f>1/AE116</f>
        <v>5</v>
      </c>
      <c r="X124" s="3">
        <f>1/AE117</f>
        <v>4</v>
      </c>
      <c r="Y124" s="3">
        <f>1/AE118</f>
        <v>4</v>
      </c>
      <c r="Z124" s="3">
        <f>1/AE119</f>
        <v>4</v>
      </c>
      <c r="AA124" s="3">
        <f>1/AE120</f>
        <v>5</v>
      </c>
      <c r="AB124" s="3">
        <f>1/AE121</f>
        <v>5</v>
      </c>
      <c r="AC124" s="3">
        <f>1/AE122</f>
        <v>1</v>
      </c>
      <c r="AD124" s="3">
        <f>1/AE123</f>
        <v>2</v>
      </c>
      <c r="AE124" s="3">
        <v>1</v>
      </c>
      <c r="AF124" s="3">
        <f>1/3</f>
        <v>0.33333333333333331</v>
      </c>
      <c r="AG124" s="3">
        <f>1/2</f>
        <v>0.5</v>
      </c>
      <c r="AH124" s="3">
        <f>1/3</f>
        <v>0.33333333333333331</v>
      </c>
      <c r="AI124" s="3">
        <f>1/2</f>
        <v>0.5</v>
      </c>
      <c r="AJ124" s="3">
        <f>1/2</f>
        <v>0.5</v>
      </c>
      <c r="AK124" s="3">
        <f>1/3</f>
        <v>0.33333333333333331</v>
      </c>
    </row>
    <row r="125" spans="2:37" x14ac:dyDescent="0.5">
      <c r="B125" s="17" t="s">
        <v>4</v>
      </c>
      <c r="C125" s="11">
        <v>9</v>
      </c>
      <c r="D125" s="1">
        <v>8</v>
      </c>
      <c r="E125" s="1">
        <v>7</v>
      </c>
      <c r="F125" s="1">
        <v>6</v>
      </c>
      <c r="G125" s="1">
        <v>5</v>
      </c>
      <c r="H125" s="1">
        <v>4</v>
      </c>
      <c r="I125" s="1">
        <v>3</v>
      </c>
      <c r="J125" s="1">
        <v>2</v>
      </c>
      <c r="K125" s="1">
        <v>1</v>
      </c>
      <c r="L125" s="1">
        <v>2</v>
      </c>
      <c r="M125" s="1">
        <v>3</v>
      </c>
      <c r="N125" s="1">
        <v>4</v>
      </c>
      <c r="O125" s="59">
        <v>5</v>
      </c>
      <c r="P125" s="1">
        <v>6</v>
      </c>
      <c r="Q125" s="1">
        <v>7</v>
      </c>
      <c r="R125" s="1">
        <v>8</v>
      </c>
      <c r="S125" s="12">
        <v>9</v>
      </c>
      <c r="T125" s="12" t="s">
        <v>15</v>
      </c>
      <c r="V125" s="2" t="s">
        <v>13</v>
      </c>
      <c r="W125" s="3">
        <f>1/AF116</f>
        <v>6</v>
      </c>
      <c r="X125" s="3">
        <f>1/AF117</f>
        <v>5</v>
      </c>
      <c r="Y125" s="3">
        <f>1/AF118</f>
        <v>5</v>
      </c>
      <c r="Z125" s="3">
        <f>1/AF119</f>
        <v>7</v>
      </c>
      <c r="AA125" s="3">
        <f>1/AF120</f>
        <v>7</v>
      </c>
      <c r="AB125" s="3">
        <f>1/AF121</f>
        <v>7</v>
      </c>
      <c r="AC125" s="3">
        <f>1/AF122</f>
        <v>3</v>
      </c>
      <c r="AD125" s="3">
        <f>1/AF123</f>
        <v>4</v>
      </c>
      <c r="AE125" s="3">
        <f>1/AF124</f>
        <v>3</v>
      </c>
      <c r="AF125" s="3">
        <v>1</v>
      </c>
      <c r="AG125" s="3">
        <v>4</v>
      </c>
      <c r="AH125" s="3">
        <v>2</v>
      </c>
      <c r="AI125" s="3">
        <v>2</v>
      </c>
      <c r="AJ125" s="3">
        <v>2</v>
      </c>
      <c r="AK125" s="3">
        <v>3</v>
      </c>
    </row>
    <row r="126" spans="2:37" x14ac:dyDescent="0.5">
      <c r="B126" s="17" t="s">
        <v>4</v>
      </c>
      <c r="C126" s="11">
        <v>9</v>
      </c>
      <c r="D126" s="1">
        <v>8</v>
      </c>
      <c r="E126" s="1">
        <v>7</v>
      </c>
      <c r="F126" s="1">
        <v>6</v>
      </c>
      <c r="G126" s="1">
        <v>5</v>
      </c>
      <c r="H126" s="1">
        <v>4</v>
      </c>
      <c r="I126" s="1">
        <v>3</v>
      </c>
      <c r="J126" s="1">
        <v>2</v>
      </c>
      <c r="K126" s="1">
        <v>1</v>
      </c>
      <c r="L126" s="1">
        <v>2</v>
      </c>
      <c r="M126" s="1">
        <v>3</v>
      </c>
      <c r="N126" s="59">
        <v>4</v>
      </c>
      <c r="O126" s="1">
        <v>5</v>
      </c>
      <c r="P126" s="1">
        <v>6</v>
      </c>
      <c r="Q126" s="1">
        <v>7</v>
      </c>
      <c r="R126" s="1">
        <v>8</v>
      </c>
      <c r="S126" s="12">
        <v>9</v>
      </c>
      <c r="T126" s="12" t="s">
        <v>16</v>
      </c>
      <c r="V126" s="2" t="s">
        <v>14</v>
      </c>
      <c r="W126" s="3">
        <f>1/AG116</f>
        <v>4</v>
      </c>
      <c r="X126" s="3">
        <f>1/AG117</f>
        <v>2</v>
      </c>
      <c r="Y126" s="3">
        <f>1/AG118</f>
        <v>3</v>
      </c>
      <c r="Z126" s="3">
        <f>1/AG119</f>
        <v>6</v>
      </c>
      <c r="AA126" s="3">
        <f>1/AG120</f>
        <v>5</v>
      </c>
      <c r="AB126" s="3">
        <f>1/AG121</f>
        <v>5</v>
      </c>
      <c r="AC126" s="3">
        <f>1/AG122</f>
        <v>3</v>
      </c>
      <c r="AD126" s="3">
        <f>1/AG123</f>
        <v>3</v>
      </c>
      <c r="AE126" s="3">
        <f>1/AG124</f>
        <v>2</v>
      </c>
      <c r="AF126" s="3">
        <f>1/AG125</f>
        <v>0.25</v>
      </c>
      <c r="AG126" s="3">
        <v>1</v>
      </c>
      <c r="AH126" s="3">
        <f>1/3</f>
        <v>0.33333333333333331</v>
      </c>
      <c r="AI126" s="3">
        <f>1/2</f>
        <v>0.5</v>
      </c>
      <c r="AJ126" s="3">
        <f>1/2</f>
        <v>0.5</v>
      </c>
      <c r="AK126" s="3">
        <f>1/2</f>
        <v>0.5</v>
      </c>
    </row>
    <row r="127" spans="2:37" x14ac:dyDescent="0.5">
      <c r="B127" s="17" t="s">
        <v>4</v>
      </c>
      <c r="C127" s="11">
        <v>9</v>
      </c>
      <c r="D127" s="1">
        <v>8</v>
      </c>
      <c r="E127" s="1">
        <v>7</v>
      </c>
      <c r="F127" s="1">
        <v>6</v>
      </c>
      <c r="G127" s="1">
        <v>5</v>
      </c>
      <c r="H127" s="1">
        <v>4</v>
      </c>
      <c r="I127" s="1">
        <v>3</v>
      </c>
      <c r="J127" s="1">
        <v>2</v>
      </c>
      <c r="K127" s="1">
        <v>1</v>
      </c>
      <c r="L127" s="1">
        <v>2</v>
      </c>
      <c r="M127" s="1">
        <v>3</v>
      </c>
      <c r="N127" s="59">
        <v>4</v>
      </c>
      <c r="O127" s="1">
        <v>5</v>
      </c>
      <c r="P127" s="1">
        <v>6</v>
      </c>
      <c r="Q127" s="1">
        <v>7</v>
      </c>
      <c r="R127" s="1">
        <v>8</v>
      </c>
      <c r="S127" s="12">
        <v>9</v>
      </c>
      <c r="T127" s="12" t="s">
        <v>17</v>
      </c>
      <c r="V127" s="2" t="s">
        <v>15</v>
      </c>
      <c r="W127" s="3">
        <f>1/AH116</f>
        <v>5</v>
      </c>
      <c r="X127" s="3">
        <f>1/AH117</f>
        <v>4</v>
      </c>
      <c r="Y127" s="3">
        <f>1/AH118</f>
        <v>4</v>
      </c>
      <c r="Z127" s="3">
        <f>1/AH119</f>
        <v>5</v>
      </c>
      <c r="AA127" s="3">
        <f>1/AH120</f>
        <v>6</v>
      </c>
      <c r="AB127" s="3">
        <f>1/AH121</f>
        <v>6</v>
      </c>
      <c r="AC127" s="3">
        <f>1/AH122</f>
        <v>3</v>
      </c>
      <c r="AD127" s="3">
        <f>1/AH123</f>
        <v>4</v>
      </c>
      <c r="AE127" s="3">
        <f>1/AH124</f>
        <v>3</v>
      </c>
      <c r="AF127" s="3">
        <f>1/AH125</f>
        <v>0.5</v>
      </c>
      <c r="AG127" s="3">
        <f>1/AH126</f>
        <v>3</v>
      </c>
      <c r="AH127" s="3">
        <v>1</v>
      </c>
      <c r="AI127" s="3">
        <v>3</v>
      </c>
      <c r="AJ127" s="3">
        <v>2</v>
      </c>
      <c r="AK127" s="3">
        <v>3</v>
      </c>
    </row>
    <row r="128" spans="2:37" x14ac:dyDescent="0.5">
      <c r="B128" s="13" t="s">
        <v>4</v>
      </c>
      <c r="C128" s="13">
        <v>9</v>
      </c>
      <c r="D128" s="14">
        <v>8</v>
      </c>
      <c r="E128" s="14">
        <v>7</v>
      </c>
      <c r="F128" s="14">
        <v>6</v>
      </c>
      <c r="G128" s="14">
        <v>5</v>
      </c>
      <c r="H128" s="14">
        <v>4</v>
      </c>
      <c r="I128" s="14">
        <v>3</v>
      </c>
      <c r="J128" s="14">
        <v>2</v>
      </c>
      <c r="K128" s="14">
        <v>1</v>
      </c>
      <c r="L128" s="14">
        <v>2</v>
      </c>
      <c r="M128" s="60">
        <v>3</v>
      </c>
      <c r="N128" s="14">
        <v>4</v>
      </c>
      <c r="O128" s="14">
        <v>5</v>
      </c>
      <c r="P128" s="14">
        <v>6</v>
      </c>
      <c r="Q128" s="14">
        <v>7</v>
      </c>
      <c r="R128" s="14">
        <v>8</v>
      </c>
      <c r="S128" s="15">
        <v>9</v>
      </c>
      <c r="T128" s="15" t="s">
        <v>18</v>
      </c>
      <c r="V128" s="2" t="s">
        <v>16</v>
      </c>
      <c r="W128" s="3">
        <f>1/AI116</f>
        <v>4</v>
      </c>
      <c r="X128" s="3">
        <f>1/AI117</f>
        <v>3</v>
      </c>
      <c r="Y128" s="3">
        <f>1/AI118</f>
        <v>6</v>
      </c>
      <c r="Z128" s="3">
        <f>1/AI119</f>
        <v>6</v>
      </c>
      <c r="AA128" s="3">
        <f>1/AI120</f>
        <v>6</v>
      </c>
      <c r="AB128" s="3">
        <f>1/AI121</f>
        <v>6</v>
      </c>
      <c r="AC128" s="3">
        <f>1/AI122</f>
        <v>2</v>
      </c>
      <c r="AD128" s="3">
        <f>1/AI123</f>
        <v>2</v>
      </c>
      <c r="AE128" s="3">
        <f>1/AI124</f>
        <v>2</v>
      </c>
      <c r="AF128" s="3">
        <f>1/AI125</f>
        <v>0.5</v>
      </c>
      <c r="AG128" s="3">
        <f>1/AI126</f>
        <v>2</v>
      </c>
      <c r="AH128" s="3">
        <f>1/AI127</f>
        <v>0.33333333333333331</v>
      </c>
      <c r="AI128" s="3">
        <v>1</v>
      </c>
      <c r="AJ128" s="3">
        <f>1/2</f>
        <v>0.5</v>
      </c>
      <c r="AK128" s="3">
        <f>1/3</f>
        <v>0.33333333333333331</v>
      </c>
    </row>
    <row r="129" spans="2:37" x14ac:dyDescent="0.5">
      <c r="B129" s="16" t="s">
        <v>5</v>
      </c>
      <c r="C129" s="11">
        <v>9</v>
      </c>
      <c r="D129" s="1">
        <v>8</v>
      </c>
      <c r="E129" s="1">
        <v>7</v>
      </c>
      <c r="F129" s="1">
        <v>6</v>
      </c>
      <c r="G129" s="59">
        <v>5</v>
      </c>
      <c r="H129" s="1">
        <v>4</v>
      </c>
      <c r="I129" s="1">
        <v>3</v>
      </c>
      <c r="J129" s="1">
        <v>2</v>
      </c>
      <c r="K129" s="1">
        <v>1</v>
      </c>
      <c r="L129" s="1">
        <v>2</v>
      </c>
      <c r="M129" s="1">
        <v>3</v>
      </c>
      <c r="N129" s="1">
        <v>4</v>
      </c>
      <c r="O129" s="1">
        <v>5</v>
      </c>
      <c r="P129" s="1">
        <v>6</v>
      </c>
      <c r="Q129" s="1">
        <v>7</v>
      </c>
      <c r="R129" s="1">
        <v>8</v>
      </c>
      <c r="S129" s="12">
        <v>9</v>
      </c>
      <c r="T129" s="12" t="s">
        <v>6</v>
      </c>
      <c r="V129" s="2" t="s">
        <v>17</v>
      </c>
      <c r="W129" s="3">
        <f>1/AJ116</f>
        <v>4</v>
      </c>
      <c r="X129" s="3">
        <f>1/AJ117</f>
        <v>3</v>
      </c>
      <c r="Y129" s="3">
        <f>1/AJ118</f>
        <v>6</v>
      </c>
      <c r="Z129" s="3">
        <f>1/AJ119</f>
        <v>6</v>
      </c>
      <c r="AA129" s="3">
        <f>1/AJ120</f>
        <v>6</v>
      </c>
      <c r="AB129" s="3">
        <f>1/AJ121</f>
        <v>6</v>
      </c>
      <c r="AC129" s="3">
        <f>1/AJ122</f>
        <v>2</v>
      </c>
      <c r="AD129" s="3">
        <f>1/AJ123</f>
        <v>2</v>
      </c>
      <c r="AE129" s="3">
        <f>1/AJ124</f>
        <v>2</v>
      </c>
      <c r="AF129" s="3">
        <f>1/AJ125</f>
        <v>0.5</v>
      </c>
      <c r="AG129" s="3">
        <f>1/AJ126</f>
        <v>2</v>
      </c>
      <c r="AH129" s="3">
        <f>1/AJ127</f>
        <v>0.5</v>
      </c>
      <c r="AI129" s="3">
        <f>1/AJ128</f>
        <v>2</v>
      </c>
      <c r="AJ129" s="3">
        <v>1</v>
      </c>
      <c r="AK129" s="3">
        <v>2</v>
      </c>
    </row>
    <row r="130" spans="2:37" x14ac:dyDescent="0.5">
      <c r="B130" s="17" t="s">
        <v>5</v>
      </c>
      <c r="C130" s="11">
        <v>9</v>
      </c>
      <c r="D130" s="1">
        <v>8</v>
      </c>
      <c r="E130" s="1">
        <v>7</v>
      </c>
      <c r="F130" s="1">
        <v>6</v>
      </c>
      <c r="G130" s="59">
        <v>5</v>
      </c>
      <c r="H130" s="1">
        <v>4</v>
      </c>
      <c r="I130" s="18">
        <v>3</v>
      </c>
      <c r="J130" s="1">
        <v>2</v>
      </c>
      <c r="K130" s="1">
        <v>1</v>
      </c>
      <c r="L130" s="1">
        <v>2</v>
      </c>
      <c r="M130" s="1">
        <v>3</v>
      </c>
      <c r="N130" s="1">
        <v>4</v>
      </c>
      <c r="O130" s="1">
        <v>5</v>
      </c>
      <c r="P130" s="1">
        <v>6</v>
      </c>
      <c r="Q130" s="1">
        <v>7</v>
      </c>
      <c r="R130" s="1">
        <v>8</v>
      </c>
      <c r="S130" s="12">
        <v>9</v>
      </c>
      <c r="T130" s="12" t="s">
        <v>7</v>
      </c>
      <c r="V130" s="2" t="s">
        <v>18</v>
      </c>
      <c r="W130" s="3">
        <f>1/AK116</f>
        <v>3</v>
      </c>
      <c r="X130" s="3">
        <f>1/AK117</f>
        <v>4</v>
      </c>
      <c r="Y130" s="3">
        <f>1/AK118</f>
        <v>5</v>
      </c>
      <c r="Z130" s="3">
        <f>1/AK119</f>
        <v>4</v>
      </c>
      <c r="AA130" s="3">
        <f>1/AK120</f>
        <v>6</v>
      </c>
      <c r="AB130" s="3">
        <f>1/AK121</f>
        <v>6</v>
      </c>
      <c r="AC130" s="3">
        <f>1/AK122</f>
        <v>3</v>
      </c>
      <c r="AD130" s="3">
        <f>1/AK123</f>
        <v>3</v>
      </c>
      <c r="AE130" s="3">
        <f>1/AK124</f>
        <v>3</v>
      </c>
      <c r="AF130" s="3">
        <f>1/AK125</f>
        <v>0.33333333333333331</v>
      </c>
      <c r="AG130" s="3">
        <f>1/AK126</f>
        <v>2</v>
      </c>
      <c r="AH130" s="3">
        <f>1/AK127</f>
        <v>0.33333333333333331</v>
      </c>
      <c r="AI130" s="3">
        <f>1/AK128</f>
        <v>3</v>
      </c>
      <c r="AJ130" s="3">
        <f>1/AK129</f>
        <v>0.5</v>
      </c>
      <c r="AK130" s="3">
        <v>1</v>
      </c>
    </row>
    <row r="131" spans="2:37" x14ac:dyDescent="0.5">
      <c r="B131" s="17" t="s">
        <v>5</v>
      </c>
      <c r="C131" s="11">
        <v>9</v>
      </c>
      <c r="D131" s="1">
        <v>8</v>
      </c>
      <c r="E131" s="1">
        <v>7</v>
      </c>
      <c r="F131" s="59">
        <v>6</v>
      </c>
      <c r="G131" s="1">
        <v>5</v>
      </c>
      <c r="H131" s="1">
        <v>4</v>
      </c>
      <c r="I131" s="1">
        <v>3</v>
      </c>
      <c r="J131" s="1">
        <v>2</v>
      </c>
      <c r="K131" s="1">
        <v>1</v>
      </c>
      <c r="L131" s="1">
        <v>2</v>
      </c>
      <c r="M131" s="1">
        <v>3</v>
      </c>
      <c r="N131" s="1">
        <v>4</v>
      </c>
      <c r="O131" s="1">
        <v>5</v>
      </c>
      <c r="P131" s="1">
        <v>6</v>
      </c>
      <c r="Q131" s="1">
        <v>7</v>
      </c>
      <c r="R131" s="1">
        <v>8</v>
      </c>
      <c r="S131" s="12">
        <v>9</v>
      </c>
      <c r="T131" s="12" t="s">
        <v>8</v>
      </c>
    </row>
    <row r="132" spans="2:37" x14ac:dyDescent="0.5">
      <c r="B132" s="17" t="s">
        <v>5</v>
      </c>
      <c r="C132" s="11">
        <v>9</v>
      </c>
      <c r="D132" s="1">
        <v>8</v>
      </c>
      <c r="E132" s="1">
        <v>7</v>
      </c>
      <c r="F132" s="59">
        <v>6</v>
      </c>
      <c r="G132" s="1">
        <v>5</v>
      </c>
      <c r="H132" s="1">
        <v>4</v>
      </c>
      <c r="I132" s="1">
        <v>3</v>
      </c>
      <c r="J132" s="1">
        <v>2</v>
      </c>
      <c r="K132" s="1">
        <v>1</v>
      </c>
      <c r="L132" s="1">
        <v>2</v>
      </c>
      <c r="M132" s="1">
        <v>3</v>
      </c>
      <c r="N132" s="1">
        <v>4</v>
      </c>
      <c r="O132" s="1">
        <v>5</v>
      </c>
      <c r="P132" s="1">
        <v>6</v>
      </c>
      <c r="Q132" s="1">
        <v>7</v>
      </c>
      <c r="R132" s="1">
        <v>8</v>
      </c>
      <c r="S132" s="12">
        <v>9</v>
      </c>
      <c r="T132" s="12" t="s">
        <v>9</v>
      </c>
    </row>
    <row r="133" spans="2:37" x14ac:dyDescent="0.5">
      <c r="B133" s="17" t="s">
        <v>5</v>
      </c>
      <c r="C133" s="11">
        <v>9</v>
      </c>
      <c r="D133" s="1">
        <v>8</v>
      </c>
      <c r="E133" s="1">
        <v>7</v>
      </c>
      <c r="F133" s="1">
        <v>6</v>
      </c>
      <c r="G133" s="1">
        <v>5</v>
      </c>
      <c r="H133" s="1">
        <v>4</v>
      </c>
      <c r="I133" s="1">
        <v>3</v>
      </c>
      <c r="J133" s="1">
        <v>2</v>
      </c>
      <c r="K133" s="1">
        <v>1</v>
      </c>
      <c r="L133" s="1">
        <v>2</v>
      </c>
      <c r="M133" s="59">
        <v>3</v>
      </c>
      <c r="N133" s="1">
        <v>4</v>
      </c>
      <c r="O133" s="1">
        <v>5</v>
      </c>
      <c r="P133" s="1">
        <v>6</v>
      </c>
      <c r="Q133" s="1">
        <v>7</v>
      </c>
      <c r="R133" s="1">
        <v>8</v>
      </c>
      <c r="S133" s="12">
        <v>9</v>
      </c>
      <c r="T133" s="12" t="s">
        <v>10</v>
      </c>
    </row>
    <row r="134" spans="2:37" x14ac:dyDescent="0.5">
      <c r="B134" s="17" t="s">
        <v>5</v>
      </c>
      <c r="C134" s="11">
        <v>9</v>
      </c>
      <c r="D134" s="1">
        <v>8</v>
      </c>
      <c r="E134" s="1">
        <v>7</v>
      </c>
      <c r="F134" s="1">
        <v>6</v>
      </c>
      <c r="G134" s="1">
        <v>5</v>
      </c>
      <c r="H134" s="1">
        <v>4</v>
      </c>
      <c r="I134" s="1">
        <v>3</v>
      </c>
      <c r="J134" s="1">
        <v>2</v>
      </c>
      <c r="K134" s="1">
        <v>1</v>
      </c>
      <c r="L134" s="1">
        <v>2</v>
      </c>
      <c r="M134" s="1">
        <v>3</v>
      </c>
      <c r="N134" s="59">
        <v>4</v>
      </c>
      <c r="O134" s="1">
        <v>5</v>
      </c>
      <c r="P134" s="1">
        <v>6</v>
      </c>
      <c r="Q134" s="1">
        <v>7</v>
      </c>
      <c r="R134" s="1">
        <v>8</v>
      </c>
      <c r="S134" s="12">
        <v>9</v>
      </c>
      <c r="T134" s="12" t="s">
        <v>11</v>
      </c>
    </row>
    <row r="135" spans="2:37" x14ac:dyDescent="0.5">
      <c r="B135" s="17" t="s">
        <v>5</v>
      </c>
      <c r="C135" s="11">
        <v>9</v>
      </c>
      <c r="D135" s="1">
        <v>8</v>
      </c>
      <c r="E135" s="1">
        <v>7</v>
      </c>
      <c r="F135" s="1">
        <v>6</v>
      </c>
      <c r="G135" s="1">
        <v>5</v>
      </c>
      <c r="H135" s="1">
        <v>4</v>
      </c>
      <c r="I135" s="1">
        <v>3</v>
      </c>
      <c r="J135" s="1">
        <v>2</v>
      </c>
      <c r="K135" s="1">
        <v>1</v>
      </c>
      <c r="L135" s="1">
        <v>2</v>
      </c>
      <c r="M135" s="1">
        <v>3</v>
      </c>
      <c r="N135" s="59">
        <v>4</v>
      </c>
      <c r="O135" s="1">
        <v>5</v>
      </c>
      <c r="P135" s="1">
        <v>6</v>
      </c>
      <c r="Q135" s="1">
        <v>7</v>
      </c>
      <c r="R135" s="1">
        <v>8</v>
      </c>
      <c r="S135" s="12">
        <v>9</v>
      </c>
      <c r="T135" s="12" t="s">
        <v>12</v>
      </c>
    </row>
    <row r="136" spans="2:37" x14ac:dyDescent="0.5">
      <c r="B136" s="17" t="s">
        <v>5</v>
      </c>
      <c r="C136" s="11">
        <v>9</v>
      </c>
      <c r="D136" s="1">
        <v>8</v>
      </c>
      <c r="E136" s="1">
        <v>7</v>
      </c>
      <c r="F136" s="1">
        <v>6</v>
      </c>
      <c r="G136" s="1">
        <v>5</v>
      </c>
      <c r="H136" s="1">
        <v>4</v>
      </c>
      <c r="I136" s="1">
        <v>3</v>
      </c>
      <c r="J136" s="1">
        <v>2</v>
      </c>
      <c r="K136" s="1">
        <v>1</v>
      </c>
      <c r="L136" s="1">
        <v>2</v>
      </c>
      <c r="M136" s="1">
        <v>3</v>
      </c>
      <c r="N136" s="1">
        <v>4</v>
      </c>
      <c r="O136" s="59">
        <v>5</v>
      </c>
      <c r="P136" s="1">
        <v>6</v>
      </c>
      <c r="Q136" s="1">
        <v>7</v>
      </c>
      <c r="R136" s="1">
        <v>8</v>
      </c>
      <c r="S136" s="12">
        <v>9</v>
      </c>
      <c r="T136" s="12" t="s">
        <v>13</v>
      </c>
    </row>
    <row r="137" spans="2:37" x14ac:dyDescent="0.5">
      <c r="B137" s="17" t="s">
        <v>5</v>
      </c>
      <c r="C137" s="11">
        <v>9</v>
      </c>
      <c r="D137" s="1">
        <v>8</v>
      </c>
      <c r="E137" s="1">
        <v>7</v>
      </c>
      <c r="F137" s="1">
        <v>6</v>
      </c>
      <c r="G137" s="1">
        <v>5</v>
      </c>
      <c r="H137" s="1">
        <v>4</v>
      </c>
      <c r="I137" s="1">
        <v>3</v>
      </c>
      <c r="J137" s="1">
        <v>2</v>
      </c>
      <c r="K137" s="1">
        <v>1</v>
      </c>
      <c r="L137" s="59">
        <v>2</v>
      </c>
      <c r="M137" s="1">
        <v>3</v>
      </c>
      <c r="N137" s="1">
        <v>4</v>
      </c>
      <c r="O137" s="1">
        <v>5</v>
      </c>
      <c r="P137" s="1">
        <v>6</v>
      </c>
      <c r="Q137" s="1">
        <v>7</v>
      </c>
      <c r="R137" s="1">
        <v>8</v>
      </c>
      <c r="S137" s="12">
        <v>9</v>
      </c>
      <c r="T137" s="12" t="s">
        <v>14</v>
      </c>
    </row>
    <row r="138" spans="2:37" x14ac:dyDescent="0.5">
      <c r="B138" s="17" t="s">
        <v>5</v>
      </c>
      <c r="C138" s="11">
        <v>9</v>
      </c>
      <c r="D138" s="1">
        <v>8</v>
      </c>
      <c r="E138" s="1">
        <v>7</v>
      </c>
      <c r="F138" s="1">
        <v>6</v>
      </c>
      <c r="G138" s="1">
        <v>5</v>
      </c>
      <c r="H138" s="1">
        <v>4</v>
      </c>
      <c r="I138" s="1">
        <v>3</v>
      </c>
      <c r="J138" s="1">
        <v>2</v>
      </c>
      <c r="K138" s="1">
        <v>1</v>
      </c>
      <c r="L138" s="1">
        <v>2</v>
      </c>
      <c r="M138" s="1">
        <v>3</v>
      </c>
      <c r="N138" s="59">
        <v>4</v>
      </c>
      <c r="O138" s="1">
        <v>5</v>
      </c>
      <c r="P138" s="1">
        <v>6</v>
      </c>
      <c r="Q138" s="1">
        <v>7</v>
      </c>
      <c r="R138" s="1">
        <v>8</v>
      </c>
      <c r="S138" s="12">
        <v>9</v>
      </c>
      <c r="T138" s="12" t="s">
        <v>15</v>
      </c>
    </row>
    <row r="139" spans="2:37" x14ac:dyDescent="0.5">
      <c r="B139" s="17" t="s">
        <v>5</v>
      </c>
      <c r="C139" s="11">
        <v>9</v>
      </c>
      <c r="D139" s="1">
        <v>8</v>
      </c>
      <c r="E139" s="1">
        <v>7</v>
      </c>
      <c r="F139" s="1">
        <v>6</v>
      </c>
      <c r="G139" s="1">
        <v>5</v>
      </c>
      <c r="H139" s="1">
        <v>4</v>
      </c>
      <c r="I139" s="1">
        <v>3</v>
      </c>
      <c r="J139" s="1">
        <v>2</v>
      </c>
      <c r="K139" s="1">
        <v>1</v>
      </c>
      <c r="L139" s="1">
        <v>2</v>
      </c>
      <c r="M139" s="59">
        <v>3</v>
      </c>
      <c r="N139" s="1">
        <v>4</v>
      </c>
      <c r="O139" s="1">
        <v>5</v>
      </c>
      <c r="P139" s="1">
        <v>6</v>
      </c>
      <c r="Q139" s="1">
        <v>7</v>
      </c>
      <c r="R139" s="1">
        <v>8</v>
      </c>
      <c r="S139" s="12">
        <v>9</v>
      </c>
      <c r="T139" s="12" t="s">
        <v>16</v>
      </c>
    </row>
    <row r="140" spans="2:37" x14ac:dyDescent="0.5">
      <c r="B140" s="17" t="s">
        <v>5</v>
      </c>
      <c r="C140" s="11">
        <v>9</v>
      </c>
      <c r="D140" s="1">
        <v>8</v>
      </c>
      <c r="E140" s="1">
        <v>7</v>
      </c>
      <c r="F140" s="1">
        <v>6</v>
      </c>
      <c r="G140" s="1">
        <v>5</v>
      </c>
      <c r="H140" s="1">
        <v>4</v>
      </c>
      <c r="I140" s="1">
        <v>3</v>
      </c>
      <c r="J140" s="1">
        <v>2</v>
      </c>
      <c r="K140" s="1">
        <v>1</v>
      </c>
      <c r="L140" s="1">
        <v>2</v>
      </c>
      <c r="M140" s="59">
        <v>3</v>
      </c>
      <c r="N140" s="1">
        <v>4</v>
      </c>
      <c r="O140" s="1">
        <v>5</v>
      </c>
      <c r="P140" s="1">
        <v>6</v>
      </c>
      <c r="Q140" s="1">
        <v>7</v>
      </c>
      <c r="R140" s="1">
        <v>8</v>
      </c>
      <c r="S140" s="12">
        <v>9</v>
      </c>
      <c r="T140" s="12" t="s">
        <v>17</v>
      </c>
    </row>
    <row r="141" spans="2:37" x14ac:dyDescent="0.5">
      <c r="B141" s="19" t="s">
        <v>5</v>
      </c>
      <c r="C141" s="13">
        <v>9</v>
      </c>
      <c r="D141" s="14">
        <v>8</v>
      </c>
      <c r="E141" s="14">
        <v>7</v>
      </c>
      <c r="F141" s="14">
        <v>6</v>
      </c>
      <c r="G141" s="14">
        <v>5</v>
      </c>
      <c r="H141" s="14">
        <v>4</v>
      </c>
      <c r="I141" s="14">
        <v>3</v>
      </c>
      <c r="J141" s="14">
        <v>2</v>
      </c>
      <c r="K141" s="14">
        <v>1</v>
      </c>
      <c r="L141" s="14">
        <v>2</v>
      </c>
      <c r="M141" s="14">
        <v>3</v>
      </c>
      <c r="N141" s="60">
        <v>4</v>
      </c>
      <c r="O141" s="14">
        <v>5</v>
      </c>
      <c r="P141" s="14">
        <v>6</v>
      </c>
      <c r="Q141" s="14">
        <v>7</v>
      </c>
      <c r="R141" s="14">
        <v>8</v>
      </c>
      <c r="S141" s="15">
        <v>9</v>
      </c>
      <c r="T141" s="15" t="s">
        <v>18</v>
      </c>
    </row>
    <row r="142" spans="2:37" x14ac:dyDescent="0.5">
      <c r="B142" s="16" t="s">
        <v>6</v>
      </c>
      <c r="C142" s="11">
        <v>9</v>
      </c>
      <c r="D142" s="1">
        <v>8</v>
      </c>
      <c r="E142" s="1">
        <v>7</v>
      </c>
      <c r="F142" s="1">
        <v>6</v>
      </c>
      <c r="G142" s="1">
        <v>5</v>
      </c>
      <c r="H142" s="1">
        <v>4</v>
      </c>
      <c r="I142" s="18">
        <v>3</v>
      </c>
      <c r="J142" s="59">
        <v>2</v>
      </c>
      <c r="K142" s="1">
        <v>1</v>
      </c>
      <c r="L142" s="1">
        <v>2</v>
      </c>
      <c r="M142" s="1">
        <v>3</v>
      </c>
      <c r="N142" s="1">
        <v>4</v>
      </c>
      <c r="O142" s="1">
        <v>5</v>
      </c>
      <c r="P142" s="1">
        <v>6</v>
      </c>
      <c r="Q142" s="1">
        <v>7</v>
      </c>
      <c r="R142" s="1">
        <v>8</v>
      </c>
      <c r="S142" s="12">
        <v>9</v>
      </c>
      <c r="T142" s="12" t="s">
        <v>7</v>
      </c>
    </row>
    <row r="143" spans="2:37" x14ac:dyDescent="0.5">
      <c r="B143" s="17" t="s">
        <v>6</v>
      </c>
      <c r="C143" s="11">
        <v>9</v>
      </c>
      <c r="D143" s="1">
        <v>8</v>
      </c>
      <c r="E143" s="1">
        <v>7</v>
      </c>
      <c r="F143" s="1">
        <v>6</v>
      </c>
      <c r="G143" s="1">
        <v>5</v>
      </c>
      <c r="H143" s="59">
        <v>4</v>
      </c>
      <c r="I143" s="1">
        <v>3</v>
      </c>
      <c r="J143" s="1">
        <v>2</v>
      </c>
      <c r="K143" s="1">
        <v>1</v>
      </c>
      <c r="L143" s="1">
        <v>2</v>
      </c>
      <c r="M143" s="1">
        <v>3</v>
      </c>
      <c r="N143" s="1">
        <v>4</v>
      </c>
      <c r="O143" s="1">
        <v>5</v>
      </c>
      <c r="P143" s="1">
        <v>6</v>
      </c>
      <c r="Q143" s="1">
        <v>7</v>
      </c>
      <c r="R143" s="1">
        <v>8</v>
      </c>
      <c r="S143" s="12">
        <v>9</v>
      </c>
      <c r="T143" s="12" t="s">
        <v>8</v>
      </c>
    </row>
    <row r="144" spans="2:37" x14ac:dyDescent="0.5">
      <c r="B144" s="17" t="s">
        <v>6</v>
      </c>
      <c r="C144" s="11">
        <v>9</v>
      </c>
      <c r="D144" s="1">
        <v>8</v>
      </c>
      <c r="E144" s="1">
        <v>7</v>
      </c>
      <c r="F144" s="1">
        <v>6</v>
      </c>
      <c r="G144" s="1">
        <v>5</v>
      </c>
      <c r="H144" s="59">
        <v>4</v>
      </c>
      <c r="I144" s="1">
        <v>3</v>
      </c>
      <c r="J144" s="1">
        <v>2</v>
      </c>
      <c r="K144" s="1">
        <v>1</v>
      </c>
      <c r="L144" s="1">
        <v>2</v>
      </c>
      <c r="M144" s="1">
        <v>3</v>
      </c>
      <c r="N144" s="1">
        <v>4</v>
      </c>
      <c r="O144" s="1">
        <v>5</v>
      </c>
      <c r="P144" s="1">
        <v>6</v>
      </c>
      <c r="Q144" s="1">
        <v>7</v>
      </c>
      <c r="R144" s="1">
        <v>8</v>
      </c>
      <c r="S144" s="12">
        <v>9</v>
      </c>
      <c r="T144" s="12" t="s">
        <v>9</v>
      </c>
    </row>
    <row r="145" spans="2:20" x14ac:dyDescent="0.5">
      <c r="B145" s="17" t="s">
        <v>6</v>
      </c>
      <c r="C145" s="11">
        <v>9</v>
      </c>
      <c r="D145" s="1">
        <v>8</v>
      </c>
      <c r="E145" s="1">
        <v>7</v>
      </c>
      <c r="F145" s="1">
        <v>6</v>
      </c>
      <c r="G145" s="1">
        <v>5</v>
      </c>
      <c r="H145" s="1">
        <v>4</v>
      </c>
      <c r="I145" s="1">
        <v>3</v>
      </c>
      <c r="J145" s="1">
        <v>2</v>
      </c>
      <c r="K145" s="1">
        <v>1</v>
      </c>
      <c r="L145" s="1">
        <v>2</v>
      </c>
      <c r="M145" s="59">
        <v>3</v>
      </c>
      <c r="N145" s="1">
        <v>4</v>
      </c>
      <c r="O145" s="1">
        <v>5</v>
      </c>
      <c r="P145" s="1">
        <v>6</v>
      </c>
      <c r="Q145" s="1">
        <v>7</v>
      </c>
      <c r="R145" s="1">
        <v>8</v>
      </c>
      <c r="S145" s="12">
        <v>9</v>
      </c>
      <c r="T145" s="12" t="s">
        <v>10</v>
      </c>
    </row>
    <row r="146" spans="2:20" x14ac:dyDescent="0.5">
      <c r="B146" s="17" t="s">
        <v>6</v>
      </c>
      <c r="C146" s="11">
        <v>9</v>
      </c>
      <c r="D146" s="1">
        <v>8</v>
      </c>
      <c r="E146" s="1">
        <v>7</v>
      </c>
      <c r="F146" s="1">
        <v>6</v>
      </c>
      <c r="G146" s="1">
        <v>5</v>
      </c>
      <c r="H146" s="1">
        <v>4</v>
      </c>
      <c r="I146" s="1">
        <v>3</v>
      </c>
      <c r="J146" s="1">
        <v>2</v>
      </c>
      <c r="K146" s="1">
        <v>1</v>
      </c>
      <c r="L146" s="1">
        <v>2</v>
      </c>
      <c r="M146" s="1">
        <v>3</v>
      </c>
      <c r="N146" s="59">
        <v>4</v>
      </c>
      <c r="O146" s="1">
        <v>5</v>
      </c>
      <c r="P146" s="1">
        <v>6</v>
      </c>
      <c r="Q146" s="1">
        <v>7</v>
      </c>
      <c r="R146" s="1">
        <v>8</v>
      </c>
      <c r="S146" s="12">
        <v>9</v>
      </c>
      <c r="T146" s="12" t="s">
        <v>11</v>
      </c>
    </row>
    <row r="147" spans="2:20" x14ac:dyDescent="0.5">
      <c r="B147" s="17" t="s">
        <v>6</v>
      </c>
      <c r="C147" s="11">
        <v>9</v>
      </c>
      <c r="D147" s="1">
        <v>8</v>
      </c>
      <c r="E147" s="1">
        <v>7</v>
      </c>
      <c r="F147" s="1">
        <v>6</v>
      </c>
      <c r="G147" s="1">
        <v>5</v>
      </c>
      <c r="H147" s="1">
        <v>4</v>
      </c>
      <c r="I147" s="1">
        <v>3</v>
      </c>
      <c r="J147" s="1">
        <v>2</v>
      </c>
      <c r="K147" s="1">
        <v>1</v>
      </c>
      <c r="L147" s="1">
        <v>2</v>
      </c>
      <c r="M147" s="1">
        <v>3</v>
      </c>
      <c r="N147" s="59">
        <v>4</v>
      </c>
      <c r="O147" s="1">
        <v>5</v>
      </c>
      <c r="P147" s="1">
        <v>6</v>
      </c>
      <c r="Q147" s="1">
        <v>7</v>
      </c>
      <c r="R147" s="1">
        <v>8</v>
      </c>
      <c r="S147" s="12">
        <v>9</v>
      </c>
      <c r="T147" s="12" t="s">
        <v>12</v>
      </c>
    </row>
    <row r="148" spans="2:20" x14ac:dyDescent="0.5">
      <c r="B148" s="17" t="s">
        <v>6</v>
      </c>
      <c r="C148" s="11">
        <v>9</v>
      </c>
      <c r="D148" s="1">
        <v>8</v>
      </c>
      <c r="E148" s="1">
        <v>7</v>
      </c>
      <c r="F148" s="1">
        <v>6</v>
      </c>
      <c r="G148" s="1">
        <v>5</v>
      </c>
      <c r="H148" s="1">
        <v>4</v>
      </c>
      <c r="I148" s="1">
        <v>3</v>
      </c>
      <c r="J148" s="1">
        <v>2</v>
      </c>
      <c r="K148" s="1">
        <v>1</v>
      </c>
      <c r="L148" s="1">
        <v>2</v>
      </c>
      <c r="M148" s="1">
        <v>3</v>
      </c>
      <c r="N148" s="1">
        <v>4</v>
      </c>
      <c r="O148" s="59">
        <v>5</v>
      </c>
      <c r="P148" s="1">
        <v>6</v>
      </c>
      <c r="Q148" s="1">
        <v>7</v>
      </c>
      <c r="R148" s="1">
        <v>8</v>
      </c>
      <c r="S148" s="12">
        <v>9</v>
      </c>
      <c r="T148" s="12" t="s">
        <v>13</v>
      </c>
    </row>
    <row r="149" spans="2:20" x14ac:dyDescent="0.5">
      <c r="B149" s="17" t="s">
        <v>6</v>
      </c>
      <c r="C149" s="11">
        <v>9</v>
      </c>
      <c r="D149" s="1">
        <v>8</v>
      </c>
      <c r="E149" s="1">
        <v>7</v>
      </c>
      <c r="F149" s="1">
        <v>6</v>
      </c>
      <c r="G149" s="1">
        <v>5</v>
      </c>
      <c r="H149" s="1">
        <v>4</v>
      </c>
      <c r="I149" s="1">
        <v>3</v>
      </c>
      <c r="J149" s="1">
        <v>2</v>
      </c>
      <c r="K149" s="1">
        <v>1</v>
      </c>
      <c r="L149" s="1">
        <v>2</v>
      </c>
      <c r="M149" s="59">
        <v>3</v>
      </c>
      <c r="N149" s="1">
        <v>4</v>
      </c>
      <c r="O149" s="1">
        <v>5</v>
      </c>
      <c r="P149" s="1">
        <v>6</v>
      </c>
      <c r="Q149" s="1">
        <v>7</v>
      </c>
      <c r="R149" s="1">
        <v>8</v>
      </c>
      <c r="S149" s="12">
        <v>9</v>
      </c>
      <c r="T149" s="12" t="s">
        <v>14</v>
      </c>
    </row>
    <row r="150" spans="2:20" x14ac:dyDescent="0.5">
      <c r="B150" s="17" t="s">
        <v>6</v>
      </c>
      <c r="C150" s="11">
        <v>9</v>
      </c>
      <c r="D150" s="1">
        <v>8</v>
      </c>
      <c r="E150" s="1">
        <v>7</v>
      </c>
      <c r="F150" s="1">
        <v>6</v>
      </c>
      <c r="G150" s="1">
        <v>5</v>
      </c>
      <c r="H150" s="1">
        <v>4</v>
      </c>
      <c r="I150" s="1">
        <v>3</v>
      </c>
      <c r="J150" s="1">
        <v>2</v>
      </c>
      <c r="K150" s="1">
        <v>1</v>
      </c>
      <c r="L150" s="1">
        <v>2</v>
      </c>
      <c r="M150" s="1">
        <v>3</v>
      </c>
      <c r="N150" s="59">
        <v>4</v>
      </c>
      <c r="O150" s="1">
        <v>5</v>
      </c>
      <c r="P150" s="1">
        <v>6</v>
      </c>
      <c r="Q150" s="1">
        <v>7</v>
      </c>
      <c r="R150" s="1">
        <v>8</v>
      </c>
      <c r="S150" s="12">
        <v>9</v>
      </c>
      <c r="T150" s="12" t="s">
        <v>15</v>
      </c>
    </row>
    <row r="151" spans="2:20" x14ac:dyDescent="0.5">
      <c r="B151" s="17" t="s">
        <v>6</v>
      </c>
      <c r="C151" s="11">
        <v>9</v>
      </c>
      <c r="D151" s="1">
        <v>8</v>
      </c>
      <c r="E151" s="1">
        <v>7</v>
      </c>
      <c r="F151" s="1">
        <v>6</v>
      </c>
      <c r="G151" s="1">
        <v>5</v>
      </c>
      <c r="H151" s="1">
        <v>4</v>
      </c>
      <c r="I151" s="1">
        <v>3</v>
      </c>
      <c r="J151" s="1">
        <v>2</v>
      </c>
      <c r="K151" s="1">
        <v>1</v>
      </c>
      <c r="L151" s="1">
        <v>2</v>
      </c>
      <c r="M151" s="1">
        <v>3</v>
      </c>
      <c r="N151" s="1">
        <v>4</v>
      </c>
      <c r="O151" s="1">
        <v>5</v>
      </c>
      <c r="P151" s="59">
        <v>6</v>
      </c>
      <c r="Q151" s="1">
        <v>7</v>
      </c>
      <c r="R151" s="1">
        <v>8</v>
      </c>
      <c r="S151" s="12">
        <v>9</v>
      </c>
      <c r="T151" s="12" t="s">
        <v>16</v>
      </c>
    </row>
    <row r="152" spans="2:20" x14ac:dyDescent="0.5">
      <c r="B152" s="17" t="s">
        <v>6</v>
      </c>
      <c r="C152" s="11">
        <v>9</v>
      </c>
      <c r="D152" s="1">
        <v>8</v>
      </c>
      <c r="E152" s="1">
        <v>7</v>
      </c>
      <c r="F152" s="1">
        <v>6</v>
      </c>
      <c r="G152" s="1">
        <v>5</v>
      </c>
      <c r="H152" s="1">
        <v>4</v>
      </c>
      <c r="I152" s="1">
        <v>3</v>
      </c>
      <c r="J152" s="1">
        <v>2</v>
      </c>
      <c r="K152" s="1">
        <v>1</v>
      </c>
      <c r="L152" s="1">
        <v>2</v>
      </c>
      <c r="M152" s="1">
        <v>3</v>
      </c>
      <c r="N152" s="1">
        <v>4</v>
      </c>
      <c r="O152" s="1">
        <v>5</v>
      </c>
      <c r="P152" s="59">
        <v>6</v>
      </c>
      <c r="Q152" s="1">
        <v>7</v>
      </c>
      <c r="R152" s="1">
        <v>8</v>
      </c>
      <c r="S152" s="12">
        <v>9</v>
      </c>
      <c r="T152" s="12" t="s">
        <v>17</v>
      </c>
    </row>
    <row r="153" spans="2:20" x14ac:dyDescent="0.5">
      <c r="B153" s="17" t="s">
        <v>6</v>
      </c>
      <c r="C153" s="13">
        <v>9</v>
      </c>
      <c r="D153" s="14">
        <v>8</v>
      </c>
      <c r="E153" s="14">
        <v>7</v>
      </c>
      <c r="F153" s="14">
        <v>6</v>
      </c>
      <c r="G153" s="14">
        <v>5</v>
      </c>
      <c r="H153" s="14">
        <v>4</v>
      </c>
      <c r="I153" s="14">
        <v>3</v>
      </c>
      <c r="J153" s="14">
        <v>2</v>
      </c>
      <c r="K153" s="14">
        <v>1</v>
      </c>
      <c r="L153" s="14">
        <v>2</v>
      </c>
      <c r="M153" s="14">
        <v>3</v>
      </c>
      <c r="N153" s="14">
        <v>4</v>
      </c>
      <c r="O153" s="60">
        <v>5</v>
      </c>
      <c r="P153" s="14">
        <v>6</v>
      </c>
      <c r="Q153" s="14">
        <v>7</v>
      </c>
      <c r="R153" s="14">
        <v>8</v>
      </c>
      <c r="S153" s="15">
        <v>9</v>
      </c>
      <c r="T153" s="15" t="s">
        <v>18</v>
      </c>
    </row>
    <row r="154" spans="2:20" x14ac:dyDescent="0.5">
      <c r="B154" s="16" t="s">
        <v>7</v>
      </c>
      <c r="C154" s="11">
        <v>9</v>
      </c>
      <c r="D154" s="1">
        <v>8</v>
      </c>
      <c r="E154" s="1">
        <v>7</v>
      </c>
      <c r="F154" s="1">
        <v>6</v>
      </c>
      <c r="G154" s="1">
        <v>5</v>
      </c>
      <c r="H154" s="1">
        <v>4</v>
      </c>
      <c r="I154" s="1">
        <v>3</v>
      </c>
      <c r="J154" s="59">
        <v>2</v>
      </c>
      <c r="K154" s="1">
        <v>1</v>
      </c>
      <c r="L154" s="1">
        <v>2</v>
      </c>
      <c r="M154" s="1">
        <v>3</v>
      </c>
      <c r="N154" s="1">
        <v>4</v>
      </c>
      <c r="O154" s="1">
        <v>5</v>
      </c>
      <c r="P154" s="1">
        <v>6</v>
      </c>
      <c r="Q154" s="1">
        <v>7</v>
      </c>
      <c r="R154" s="1">
        <v>8</v>
      </c>
      <c r="S154" s="12">
        <v>9</v>
      </c>
      <c r="T154" s="12" t="s">
        <v>8</v>
      </c>
    </row>
    <row r="155" spans="2:20" x14ac:dyDescent="0.5">
      <c r="B155" s="17" t="s">
        <v>7</v>
      </c>
      <c r="C155" s="11">
        <v>9</v>
      </c>
      <c r="D155" s="1">
        <v>8</v>
      </c>
      <c r="E155" s="1">
        <v>7</v>
      </c>
      <c r="F155" s="1">
        <v>6</v>
      </c>
      <c r="G155" s="1">
        <v>5</v>
      </c>
      <c r="H155" s="1">
        <v>4</v>
      </c>
      <c r="I155" s="1">
        <v>3</v>
      </c>
      <c r="J155" s="59">
        <v>2</v>
      </c>
      <c r="K155" s="1">
        <v>1</v>
      </c>
      <c r="L155" s="1">
        <v>2</v>
      </c>
      <c r="M155" s="1">
        <v>3</v>
      </c>
      <c r="N155" s="1">
        <v>4</v>
      </c>
      <c r="O155" s="1">
        <v>5</v>
      </c>
      <c r="P155" s="1">
        <v>6</v>
      </c>
      <c r="Q155" s="1">
        <v>7</v>
      </c>
      <c r="R155" s="1">
        <v>8</v>
      </c>
      <c r="S155" s="12">
        <v>9</v>
      </c>
      <c r="T155" s="12" t="s">
        <v>9</v>
      </c>
    </row>
    <row r="156" spans="2:20" x14ac:dyDescent="0.5">
      <c r="B156" s="17" t="s">
        <v>7</v>
      </c>
      <c r="C156" s="11">
        <v>9</v>
      </c>
      <c r="D156" s="1">
        <v>8</v>
      </c>
      <c r="E156" s="1">
        <v>7</v>
      </c>
      <c r="F156" s="1">
        <v>6</v>
      </c>
      <c r="G156" s="1">
        <v>5</v>
      </c>
      <c r="H156" s="1">
        <v>4</v>
      </c>
      <c r="I156" s="1">
        <v>3</v>
      </c>
      <c r="J156" s="1">
        <v>2</v>
      </c>
      <c r="K156" s="1">
        <v>1</v>
      </c>
      <c r="L156" s="1">
        <v>2</v>
      </c>
      <c r="M156" s="59">
        <v>3</v>
      </c>
      <c r="N156" s="1">
        <v>4</v>
      </c>
      <c r="O156" s="1">
        <v>5</v>
      </c>
      <c r="P156" s="1">
        <v>6</v>
      </c>
      <c r="Q156" s="1">
        <v>7</v>
      </c>
      <c r="R156" s="1">
        <v>8</v>
      </c>
      <c r="S156" s="12">
        <v>9</v>
      </c>
      <c r="T156" s="12" t="s">
        <v>10</v>
      </c>
    </row>
    <row r="157" spans="2:20" x14ac:dyDescent="0.5">
      <c r="B157" s="17" t="s">
        <v>7</v>
      </c>
      <c r="C157" s="11">
        <v>9</v>
      </c>
      <c r="D157" s="1">
        <v>8</v>
      </c>
      <c r="E157" s="1">
        <v>7</v>
      </c>
      <c r="F157" s="1">
        <v>6</v>
      </c>
      <c r="G157" s="1">
        <v>5</v>
      </c>
      <c r="H157" s="1">
        <v>4</v>
      </c>
      <c r="I157" s="1">
        <v>3</v>
      </c>
      <c r="J157" s="1">
        <v>2</v>
      </c>
      <c r="K157" s="1">
        <v>1</v>
      </c>
      <c r="L157" s="1">
        <v>2</v>
      </c>
      <c r="M157" s="1">
        <v>3</v>
      </c>
      <c r="N157" s="59">
        <v>4</v>
      </c>
      <c r="O157" s="1">
        <v>5</v>
      </c>
      <c r="P157" s="1">
        <v>6</v>
      </c>
      <c r="Q157" s="1">
        <v>7</v>
      </c>
      <c r="R157" s="1">
        <v>8</v>
      </c>
      <c r="S157" s="12">
        <v>9</v>
      </c>
      <c r="T157" s="12" t="s">
        <v>11</v>
      </c>
    </row>
    <row r="158" spans="2:20" x14ac:dyDescent="0.5">
      <c r="B158" s="17" t="s">
        <v>7</v>
      </c>
      <c r="C158" s="11">
        <v>9</v>
      </c>
      <c r="D158" s="1">
        <v>8</v>
      </c>
      <c r="E158" s="1">
        <v>7</v>
      </c>
      <c r="F158" s="1">
        <v>6</v>
      </c>
      <c r="G158" s="1">
        <v>5</v>
      </c>
      <c r="H158" s="1">
        <v>4</v>
      </c>
      <c r="I158" s="1">
        <v>3</v>
      </c>
      <c r="J158" s="1">
        <v>2</v>
      </c>
      <c r="K158" s="1">
        <v>1</v>
      </c>
      <c r="L158" s="1">
        <v>2</v>
      </c>
      <c r="M158" s="1">
        <v>3</v>
      </c>
      <c r="N158" s="59">
        <v>4</v>
      </c>
      <c r="O158" s="1">
        <v>5</v>
      </c>
      <c r="P158" s="1">
        <v>6</v>
      </c>
      <c r="Q158" s="1">
        <v>7</v>
      </c>
      <c r="R158" s="1">
        <v>8</v>
      </c>
      <c r="S158" s="12">
        <v>9</v>
      </c>
      <c r="T158" s="12" t="s">
        <v>12</v>
      </c>
    </row>
    <row r="159" spans="2:20" x14ac:dyDescent="0.5">
      <c r="B159" s="17" t="s">
        <v>7</v>
      </c>
      <c r="C159" s="11">
        <v>9</v>
      </c>
      <c r="D159" s="1">
        <v>8</v>
      </c>
      <c r="E159" s="1">
        <v>7</v>
      </c>
      <c r="F159" s="1">
        <v>6</v>
      </c>
      <c r="G159" s="1">
        <v>5</v>
      </c>
      <c r="H159" s="1">
        <v>4</v>
      </c>
      <c r="I159" s="1">
        <v>3</v>
      </c>
      <c r="J159" s="1">
        <v>2</v>
      </c>
      <c r="K159" s="1">
        <v>1</v>
      </c>
      <c r="L159" s="1">
        <v>2</v>
      </c>
      <c r="M159" s="1">
        <v>3</v>
      </c>
      <c r="N159" s="1">
        <v>4</v>
      </c>
      <c r="O159" s="1">
        <v>5</v>
      </c>
      <c r="P159" s="1">
        <v>6</v>
      </c>
      <c r="Q159" s="59">
        <v>7</v>
      </c>
      <c r="R159" s="1">
        <v>8</v>
      </c>
      <c r="S159" s="12">
        <v>9</v>
      </c>
      <c r="T159" s="12" t="s">
        <v>13</v>
      </c>
    </row>
    <row r="160" spans="2:20" x14ac:dyDescent="0.5">
      <c r="B160" s="17" t="s">
        <v>7</v>
      </c>
      <c r="C160" s="11">
        <v>9</v>
      </c>
      <c r="D160" s="1">
        <v>8</v>
      </c>
      <c r="E160" s="1">
        <v>7</v>
      </c>
      <c r="F160" s="1">
        <v>6</v>
      </c>
      <c r="G160" s="1">
        <v>5</v>
      </c>
      <c r="H160" s="1">
        <v>4</v>
      </c>
      <c r="I160" s="1">
        <v>3</v>
      </c>
      <c r="J160" s="1">
        <v>2</v>
      </c>
      <c r="K160" s="1">
        <v>1</v>
      </c>
      <c r="L160" s="1">
        <v>2</v>
      </c>
      <c r="M160" s="1">
        <v>3</v>
      </c>
      <c r="N160" s="1">
        <v>4</v>
      </c>
      <c r="O160" s="1">
        <v>5</v>
      </c>
      <c r="P160" s="59">
        <v>6</v>
      </c>
      <c r="Q160" s="1">
        <v>7</v>
      </c>
      <c r="R160" s="1">
        <v>8</v>
      </c>
      <c r="S160" s="12">
        <v>9</v>
      </c>
      <c r="T160" s="12" t="s">
        <v>14</v>
      </c>
    </row>
    <row r="161" spans="2:20" x14ac:dyDescent="0.5">
      <c r="B161" s="17" t="s">
        <v>7</v>
      </c>
      <c r="C161" s="11">
        <v>9</v>
      </c>
      <c r="D161" s="1">
        <v>8</v>
      </c>
      <c r="E161" s="1">
        <v>7</v>
      </c>
      <c r="F161" s="1">
        <v>6</v>
      </c>
      <c r="G161" s="1">
        <v>5</v>
      </c>
      <c r="H161" s="1">
        <v>4</v>
      </c>
      <c r="I161" s="1">
        <v>3</v>
      </c>
      <c r="J161" s="1">
        <v>2</v>
      </c>
      <c r="K161" s="1">
        <v>1</v>
      </c>
      <c r="L161" s="1">
        <v>2</v>
      </c>
      <c r="M161" s="1">
        <v>3</v>
      </c>
      <c r="N161" s="1">
        <v>4</v>
      </c>
      <c r="O161" s="59">
        <v>5</v>
      </c>
      <c r="P161" s="1">
        <v>6</v>
      </c>
      <c r="Q161" s="1">
        <v>7</v>
      </c>
      <c r="R161" s="1">
        <v>8</v>
      </c>
      <c r="S161" s="12">
        <v>9</v>
      </c>
      <c r="T161" s="12" t="s">
        <v>15</v>
      </c>
    </row>
    <row r="162" spans="2:20" x14ac:dyDescent="0.5">
      <c r="B162" s="17" t="s">
        <v>7</v>
      </c>
      <c r="C162" s="11">
        <v>9</v>
      </c>
      <c r="D162" s="1">
        <v>8</v>
      </c>
      <c r="E162" s="1">
        <v>7</v>
      </c>
      <c r="F162" s="1">
        <v>6</v>
      </c>
      <c r="G162" s="1">
        <v>5</v>
      </c>
      <c r="H162" s="1">
        <v>4</v>
      </c>
      <c r="I162" s="1">
        <v>3</v>
      </c>
      <c r="J162" s="1">
        <v>2</v>
      </c>
      <c r="K162" s="1">
        <v>1</v>
      </c>
      <c r="L162" s="1">
        <v>2</v>
      </c>
      <c r="M162" s="1">
        <v>3</v>
      </c>
      <c r="N162" s="1">
        <v>4</v>
      </c>
      <c r="O162" s="1">
        <v>5</v>
      </c>
      <c r="P162" s="59">
        <v>6</v>
      </c>
      <c r="Q162" s="1">
        <v>7</v>
      </c>
      <c r="R162" s="1">
        <v>8</v>
      </c>
      <c r="S162" s="12">
        <v>9</v>
      </c>
      <c r="T162" s="12" t="s">
        <v>16</v>
      </c>
    </row>
    <row r="163" spans="2:20" x14ac:dyDescent="0.5">
      <c r="B163" s="17" t="s">
        <v>7</v>
      </c>
      <c r="C163" s="11">
        <v>9</v>
      </c>
      <c r="D163" s="1">
        <v>8</v>
      </c>
      <c r="E163" s="1">
        <v>7</v>
      </c>
      <c r="F163" s="1">
        <v>6</v>
      </c>
      <c r="G163" s="1">
        <v>5</v>
      </c>
      <c r="H163" s="1">
        <v>4</v>
      </c>
      <c r="I163" s="1">
        <v>3</v>
      </c>
      <c r="J163" s="1">
        <v>2</v>
      </c>
      <c r="K163" s="1">
        <v>1</v>
      </c>
      <c r="L163" s="1">
        <v>2</v>
      </c>
      <c r="M163" s="1">
        <v>3</v>
      </c>
      <c r="N163" s="1">
        <v>4</v>
      </c>
      <c r="O163" s="1">
        <v>5</v>
      </c>
      <c r="P163" s="59">
        <v>6</v>
      </c>
      <c r="Q163" s="1">
        <v>7</v>
      </c>
      <c r="R163" s="1">
        <v>8</v>
      </c>
      <c r="S163" s="12">
        <v>9</v>
      </c>
      <c r="T163" s="12" t="s">
        <v>17</v>
      </c>
    </row>
    <row r="164" spans="2:20" x14ac:dyDescent="0.5">
      <c r="B164" s="19" t="s">
        <v>7</v>
      </c>
      <c r="C164" s="13">
        <v>9</v>
      </c>
      <c r="D164" s="14">
        <v>8</v>
      </c>
      <c r="E164" s="14">
        <v>7</v>
      </c>
      <c r="F164" s="14">
        <v>6</v>
      </c>
      <c r="G164" s="14">
        <v>5</v>
      </c>
      <c r="H164" s="14">
        <v>4</v>
      </c>
      <c r="I164" s="14">
        <v>3</v>
      </c>
      <c r="J164" s="14">
        <v>2</v>
      </c>
      <c r="K164" s="14">
        <v>1</v>
      </c>
      <c r="L164" s="14">
        <v>2</v>
      </c>
      <c r="M164" s="14">
        <v>3</v>
      </c>
      <c r="N164" s="60">
        <v>4</v>
      </c>
      <c r="O164" s="14">
        <v>5</v>
      </c>
      <c r="P164" s="14">
        <v>6</v>
      </c>
      <c r="Q164" s="14">
        <v>7</v>
      </c>
      <c r="R164" s="14">
        <v>8</v>
      </c>
      <c r="S164" s="15">
        <v>9</v>
      </c>
      <c r="T164" s="15" t="s">
        <v>18</v>
      </c>
    </row>
    <row r="165" spans="2:20" x14ac:dyDescent="0.5">
      <c r="B165" s="16" t="s">
        <v>8</v>
      </c>
      <c r="C165" s="11">
        <v>9</v>
      </c>
      <c r="D165" s="1">
        <v>8</v>
      </c>
      <c r="E165" s="1">
        <v>7</v>
      </c>
      <c r="F165" s="1">
        <v>6</v>
      </c>
      <c r="G165" s="1">
        <v>5</v>
      </c>
      <c r="H165" s="1">
        <v>4</v>
      </c>
      <c r="I165" s="1">
        <v>3</v>
      </c>
      <c r="J165" s="1">
        <v>2</v>
      </c>
      <c r="K165" s="59">
        <v>1</v>
      </c>
      <c r="L165" s="1">
        <v>2</v>
      </c>
      <c r="M165" s="1">
        <v>3</v>
      </c>
      <c r="N165" s="1">
        <v>4</v>
      </c>
      <c r="O165" s="1">
        <v>5</v>
      </c>
      <c r="P165" s="1">
        <v>6</v>
      </c>
      <c r="Q165" s="1">
        <v>7</v>
      </c>
      <c r="R165" s="1">
        <v>8</v>
      </c>
      <c r="S165" s="12">
        <v>9</v>
      </c>
      <c r="T165" s="12" t="s">
        <v>9</v>
      </c>
    </row>
    <row r="166" spans="2:20" x14ac:dyDescent="0.5">
      <c r="B166" s="17" t="s">
        <v>8</v>
      </c>
      <c r="C166" s="11">
        <v>9</v>
      </c>
      <c r="D166" s="1">
        <v>8</v>
      </c>
      <c r="E166" s="1">
        <v>7</v>
      </c>
      <c r="F166" s="1">
        <v>6</v>
      </c>
      <c r="G166" s="1">
        <v>5</v>
      </c>
      <c r="H166" s="1">
        <v>4</v>
      </c>
      <c r="I166" s="1">
        <v>3</v>
      </c>
      <c r="J166" s="1">
        <v>2</v>
      </c>
      <c r="K166" s="1">
        <v>1</v>
      </c>
      <c r="L166" s="1">
        <v>2</v>
      </c>
      <c r="M166" s="1">
        <v>3</v>
      </c>
      <c r="N166" s="1">
        <v>4</v>
      </c>
      <c r="O166" s="59">
        <v>5</v>
      </c>
      <c r="P166" s="1">
        <v>6</v>
      </c>
      <c r="Q166" s="1">
        <v>7</v>
      </c>
      <c r="R166" s="1">
        <v>8</v>
      </c>
      <c r="S166" s="12">
        <v>9</v>
      </c>
      <c r="T166" s="12" t="s">
        <v>10</v>
      </c>
    </row>
    <row r="167" spans="2:20" x14ac:dyDescent="0.5">
      <c r="B167" s="17" t="s">
        <v>8</v>
      </c>
      <c r="C167" s="11">
        <v>9</v>
      </c>
      <c r="D167" s="1">
        <v>8</v>
      </c>
      <c r="E167" s="1">
        <v>7</v>
      </c>
      <c r="F167" s="1">
        <v>6</v>
      </c>
      <c r="G167" s="1">
        <v>5</v>
      </c>
      <c r="H167" s="1">
        <v>4</v>
      </c>
      <c r="I167" s="1">
        <v>3</v>
      </c>
      <c r="J167" s="1">
        <v>2</v>
      </c>
      <c r="K167" s="1">
        <v>1</v>
      </c>
      <c r="L167" s="1">
        <v>2</v>
      </c>
      <c r="M167" s="1">
        <v>3</v>
      </c>
      <c r="N167" s="1">
        <v>4</v>
      </c>
      <c r="O167" s="59">
        <v>5</v>
      </c>
      <c r="P167" s="1">
        <v>6</v>
      </c>
      <c r="Q167" s="1">
        <v>7</v>
      </c>
      <c r="R167" s="1">
        <v>8</v>
      </c>
      <c r="S167" s="12">
        <v>9</v>
      </c>
      <c r="T167" s="12" t="s">
        <v>11</v>
      </c>
    </row>
    <row r="168" spans="2:20" x14ac:dyDescent="0.5">
      <c r="B168" s="17" t="s">
        <v>8</v>
      </c>
      <c r="C168" s="11">
        <v>9</v>
      </c>
      <c r="D168" s="1">
        <v>8</v>
      </c>
      <c r="E168" s="1">
        <v>7</v>
      </c>
      <c r="F168" s="1">
        <v>6</v>
      </c>
      <c r="G168" s="1">
        <v>5</v>
      </c>
      <c r="H168" s="1">
        <v>4</v>
      </c>
      <c r="I168" s="1">
        <v>3</v>
      </c>
      <c r="J168" s="1">
        <v>2</v>
      </c>
      <c r="K168" s="1">
        <v>1</v>
      </c>
      <c r="L168" s="1">
        <v>2</v>
      </c>
      <c r="M168" s="1">
        <v>3</v>
      </c>
      <c r="N168" s="1">
        <v>4</v>
      </c>
      <c r="O168" s="59">
        <v>5</v>
      </c>
      <c r="P168" s="1">
        <v>6</v>
      </c>
      <c r="Q168" s="1">
        <v>7</v>
      </c>
      <c r="R168" s="1">
        <v>8</v>
      </c>
      <c r="S168" s="12">
        <v>9</v>
      </c>
      <c r="T168" s="12" t="s">
        <v>12</v>
      </c>
    </row>
    <row r="169" spans="2:20" x14ac:dyDescent="0.5">
      <c r="B169" s="17" t="s">
        <v>8</v>
      </c>
      <c r="C169" s="11">
        <v>9</v>
      </c>
      <c r="D169" s="1">
        <v>8</v>
      </c>
      <c r="E169" s="1">
        <v>7</v>
      </c>
      <c r="F169" s="1">
        <v>6</v>
      </c>
      <c r="G169" s="1">
        <v>5</v>
      </c>
      <c r="H169" s="1">
        <v>4</v>
      </c>
      <c r="I169" s="1">
        <v>3</v>
      </c>
      <c r="J169" s="1">
        <v>2</v>
      </c>
      <c r="K169" s="1">
        <v>1</v>
      </c>
      <c r="L169" s="1">
        <v>2</v>
      </c>
      <c r="M169" s="1">
        <v>3</v>
      </c>
      <c r="N169" s="1">
        <v>4</v>
      </c>
      <c r="O169" s="1">
        <v>5</v>
      </c>
      <c r="P169" s="1">
        <v>6</v>
      </c>
      <c r="Q169" s="59">
        <v>7</v>
      </c>
      <c r="R169" s="1">
        <v>8</v>
      </c>
      <c r="S169" s="12">
        <v>9</v>
      </c>
      <c r="T169" s="12" t="s">
        <v>13</v>
      </c>
    </row>
    <row r="170" spans="2:20" x14ac:dyDescent="0.5">
      <c r="B170" s="17" t="s">
        <v>8</v>
      </c>
      <c r="C170" s="11">
        <v>9</v>
      </c>
      <c r="D170" s="1">
        <v>8</v>
      </c>
      <c r="E170" s="1">
        <v>7</v>
      </c>
      <c r="F170" s="1">
        <v>6</v>
      </c>
      <c r="G170" s="1">
        <v>5</v>
      </c>
      <c r="H170" s="1">
        <v>4</v>
      </c>
      <c r="I170" s="1">
        <v>3</v>
      </c>
      <c r="J170" s="1">
        <v>2</v>
      </c>
      <c r="K170" s="1">
        <v>1</v>
      </c>
      <c r="L170" s="1">
        <v>2</v>
      </c>
      <c r="M170" s="1">
        <v>3</v>
      </c>
      <c r="N170" s="1">
        <v>4</v>
      </c>
      <c r="O170" s="59">
        <v>5</v>
      </c>
      <c r="P170" s="1">
        <v>6</v>
      </c>
      <c r="Q170" s="1">
        <v>7</v>
      </c>
      <c r="R170" s="1">
        <v>8</v>
      </c>
      <c r="S170" s="12">
        <v>9</v>
      </c>
      <c r="T170" s="12" t="s">
        <v>14</v>
      </c>
    </row>
    <row r="171" spans="2:20" x14ac:dyDescent="0.5">
      <c r="B171" s="17" t="s">
        <v>8</v>
      </c>
      <c r="C171" s="11">
        <v>9</v>
      </c>
      <c r="D171" s="1">
        <v>8</v>
      </c>
      <c r="E171" s="1">
        <v>7</v>
      </c>
      <c r="F171" s="1">
        <v>6</v>
      </c>
      <c r="G171" s="1">
        <v>5</v>
      </c>
      <c r="H171" s="1">
        <v>4</v>
      </c>
      <c r="I171" s="1">
        <v>3</v>
      </c>
      <c r="J171" s="1">
        <v>2</v>
      </c>
      <c r="K171" s="1">
        <v>1</v>
      </c>
      <c r="L171" s="1">
        <v>2</v>
      </c>
      <c r="M171" s="1">
        <v>3</v>
      </c>
      <c r="N171" s="1">
        <v>4</v>
      </c>
      <c r="O171" s="1">
        <v>5</v>
      </c>
      <c r="P171" s="59">
        <v>6</v>
      </c>
      <c r="Q171" s="1">
        <v>7</v>
      </c>
      <c r="R171" s="1">
        <v>8</v>
      </c>
      <c r="S171" s="12">
        <v>9</v>
      </c>
      <c r="T171" s="12" t="s">
        <v>15</v>
      </c>
    </row>
    <row r="172" spans="2:20" x14ac:dyDescent="0.5">
      <c r="B172" s="17" t="s">
        <v>8</v>
      </c>
      <c r="C172" s="11">
        <v>9</v>
      </c>
      <c r="D172" s="1">
        <v>8</v>
      </c>
      <c r="E172" s="1">
        <v>7</v>
      </c>
      <c r="F172" s="1">
        <v>6</v>
      </c>
      <c r="G172" s="1">
        <v>5</v>
      </c>
      <c r="H172" s="1">
        <v>4</v>
      </c>
      <c r="I172" s="1">
        <v>3</v>
      </c>
      <c r="J172" s="1">
        <v>2</v>
      </c>
      <c r="K172" s="1">
        <v>1</v>
      </c>
      <c r="L172" s="1">
        <v>2</v>
      </c>
      <c r="M172" s="1">
        <v>3</v>
      </c>
      <c r="N172" s="1">
        <v>4</v>
      </c>
      <c r="O172" s="1">
        <v>5</v>
      </c>
      <c r="P172" s="59">
        <v>6</v>
      </c>
      <c r="Q172" s="1">
        <v>7</v>
      </c>
      <c r="R172" s="1">
        <v>8</v>
      </c>
      <c r="S172" s="12">
        <v>9</v>
      </c>
      <c r="T172" s="12" t="s">
        <v>16</v>
      </c>
    </row>
    <row r="173" spans="2:20" x14ac:dyDescent="0.5">
      <c r="B173" s="17" t="s">
        <v>8</v>
      </c>
      <c r="C173" s="11">
        <v>9</v>
      </c>
      <c r="D173" s="1">
        <v>8</v>
      </c>
      <c r="E173" s="1">
        <v>7</v>
      </c>
      <c r="F173" s="1">
        <v>6</v>
      </c>
      <c r="G173" s="1">
        <v>5</v>
      </c>
      <c r="H173" s="1">
        <v>4</v>
      </c>
      <c r="I173" s="1">
        <v>3</v>
      </c>
      <c r="J173" s="1">
        <v>2</v>
      </c>
      <c r="K173" s="1">
        <v>1</v>
      </c>
      <c r="L173" s="1">
        <v>2</v>
      </c>
      <c r="M173" s="1">
        <v>3</v>
      </c>
      <c r="N173" s="1">
        <v>4</v>
      </c>
      <c r="O173" s="1">
        <v>5</v>
      </c>
      <c r="P173" s="59">
        <v>6</v>
      </c>
      <c r="Q173" s="1">
        <v>7</v>
      </c>
      <c r="R173" s="1">
        <v>8</v>
      </c>
      <c r="S173" s="12">
        <v>9</v>
      </c>
      <c r="T173" s="12" t="s">
        <v>17</v>
      </c>
    </row>
    <row r="174" spans="2:20" x14ac:dyDescent="0.5">
      <c r="B174" s="19" t="s">
        <v>8</v>
      </c>
      <c r="C174" s="13">
        <v>9</v>
      </c>
      <c r="D174" s="14">
        <v>8</v>
      </c>
      <c r="E174" s="14">
        <v>7</v>
      </c>
      <c r="F174" s="14">
        <v>6</v>
      </c>
      <c r="G174" s="14">
        <v>5</v>
      </c>
      <c r="H174" s="14">
        <v>4</v>
      </c>
      <c r="I174" s="14">
        <v>3</v>
      </c>
      <c r="J174" s="14">
        <v>2</v>
      </c>
      <c r="K174" s="14">
        <v>1</v>
      </c>
      <c r="L174" s="14">
        <v>2</v>
      </c>
      <c r="M174" s="14">
        <v>3</v>
      </c>
      <c r="N174" s="14">
        <v>4</v>
      </c>
      <c r="O174" s="14">
        <v>5</v>
      </c>
      <c r="P174" s="60">
        <v>6</v>
      </c>
      <c r="Q174" s="14">
        <v>7</v>
      </c>
      <c r="R174" s="14">
        <v>8</v>
      </c>
      <c r="S174" s="15">
        <v>9</v>
      </c>
      <c r="T174" s="15" t="s">
        <v>18</v>
      </c>
    </row>
    <row r="175" spans="2:20" x14ac:dyDescent="0.5">
      <c r="B175" s="16" t="s">
        <v>9</v>
      </c>
      <c r="C175" s="11">
        <v>9</v>
      </c>
      <c r="D175" s="1">
        <v>8</v>
      </c>
      <c r="E175" s="1">
        <v>7</v>
      </c>
      <c r="F175" s="1">
        <v>6</v>
      </c>
      <c r="G175" s="1">
        <v>5</v>
      </c>
      <c r="H175" s="1">
        <v>4</v>
      </c>
      <c r="I175" s="1">
        <v>3</v>
      </c>
      <c r="J175" s="1">
        <v>2</v>
      </c>
      <c r="K175" s="1">
        <v>1</v>
      </c>
      <c r="L175" s="1">
        <v>2</v>
      </c>
      <c r="M175" s="1">
        <v>3</v>
      </c>
      <c r="N175" s="1">
        <v>4</v>
      </c>
      <c r="O175" s="59">
        <v>5</v>
      </c>
      <c r="P175" s="1">
        <v>6</v>
      </c>
      <c r="Q175" s="1">
        <v>7</v>
      </c>
      <c r="R175" s="1">
        <v>8</v>
      </c>
      <c r="S175" s="12">
        <v>9</v>
      </c>
      <c r="T175" s="12" t="s">
        <v>10</v>
      </c>
    </row>
    <row r="176" spans="2:20" x14ac:dyDescent="0.5">
      <c r="B176" s="17" t="s">
        <v>9</v>
      </c>
      <c r="C176" s="11">
        <v>9</v>
      </c>
      <c r="D176" s="1">
        <v>8</v>
      </c>
      <c r="E176" s="1">
        <v>7</v>
      </c>
      <c r="F176" s="1">
        <v>6</v>
      </c>
      <c r="G176" s="1">
        <v>5</v>
      </c>
      <c r="H176" s="1">
        <v>4</v>
      </c>
      <c r="I176" s="1">
        <v>3</v>
      </c>
      <c r="J176" s="1">
        <v>2</v>
      </c>
      <c r="K176" s="1">
        <v>1</v>
      </c>
      <c r="L176" s="1">
        <v>2</v>
      </c>
      <c r="M176" s="1">
        <v>3</v>
      </c>
      <c r="N176" s="1">
        <v>4</v>
      </c>
      <c r="O176" s="59">
        <v>5</v>
      </c>
      <c r="P176" s="1">
        <v>6</v>
      </c>
      <c r="Q176" s="1">
        <v>7</v>
      </c>
      <c r="R176" s="1">
        <v>8</v>
      </c>
      <c r="S176" s="12">
        <v>9</v>
      </c>
      <c r="T176" s="12" t="s">
        <v>11</v>
      </c>
    </row>
    <row r="177" spans="2:20" x14ac:dyDescent="0.5">
      <c r="B177" s="17" t="s">
        <v>9</v>
      </c>
      <c r="C177" s="11">
        <v>9</v>
      </c>
      <c r="D177" s="1">
        <v>8</v>
      </c>
      <c r="E177" s="1">
        <v>7</v>
      </c>
      <c r="F177" s="1">
        <v>6</v>
      </c>
      <c r="G177" s="1">
        <v>5</v>
      </c>
      <c r="H177" s="1">
        <v>4</v>
      </c>
      <c r="I177" s="1">
        <v>3</v>
      </c>
      <c r="J177" s="1">
        <v>2</v>
      </c>
      <c r="K177" s="1">
        <v>1</v>
      </c>
      <c r="L177" s="1">
        <v>2</v>
      </c>
      <c r="M177" s="1">
        <v>3</v>
      </c>
      <c r="N177" s="1">
        <v>4</v>
      </c>
      <c r="O177" s="59">
        <v>5</v>
      </c>
      <c r="P177" s="1">
        <v>6</v>
      </c>
      <c r="Q177" s="1">
        <v>7</v>
      </c>
      <c r="R177" s="1">
        <v>8</v>
      </c>
      <c r="S177" s="12">
        <v>9</v>
      </c>
      <c r="T177" s="12" t="s">
        <v>12</v>
      </c>
    </row>
    <row r="178" spans="2:20" x14ac:dyDescent="0.5">
      <c r="B178" s="17" t="s">
        <v>9</v>
      </c>
      <c r="C178" s="11">
        <v>9</v>
      </c>
      <c r="D178" s="1">
        <v>8</v>
      </c>
      <c r="E178" s="1">
        <v>7</v>
      </c>
      <c r="F178" s="1">
        <v>6</v>
      </c>
      <c r="G178" s="1">
        <v>5</v>
      </c>
      <c r="H178" s="1">
        <v>4</v>
      </c>
      <c r="I178" s="1">
        <v>3</v>
      </c>
      <c r="J178" s="1">
        <v>2</v>
      </c>
      <c r="K178" s="1">
        <v>1</v>
      </c>
      <c r="L178" s="1">
        <v>2</v>
      </c>
      <c r="M178" s="1">
        <v>3</v>
      </c>
      <c r="N178" s="1">
        <v>4</v>
      </c>
      <c r="O178" s="1">
        <v>5</v>
      </c>
      <c r="P178" s="1">
        <v>6</v>
      </c>
      <c r="Q178" s="59">
        <v>7</v>
      </c>
      <c r="R178" s="1">
        <v>8</v>
      </c>
      <c r="S178" s="12">
        <v>9</v>
      </c>
      <c r="T178" s="12" t="s">
        <v>13</v>
      </c>
    </row>
    <row r="179" spans="2:20" x14ac:dyDescent="0.5">
      <c r="B179" s="17" t="s">
        <v>9</v>
      </c>
      <c r="C179" s="11">
        <v>9</v>
      </c>
      <c r="D179" s="1">
        <v>8</v>
      </c>
      <c r="E179" s="1">
        <v>7</v>
      </c>
      <c r="F179" s="1">
        <v>6</v>
      </c>
      <c r="G179" s="1">
        <v>5</v>
      </c>
      <c r="H179" s="1">
        <v>4</v>
      </c>
      <c r="I179" s="1">
        <v>3</v>
      </c>
      <c r="J179" s="1">
        <v>2</v>
      </c>
      <c r="K179" s="1">
        <v>1</v>
      </c>
      <c r="L179" s="1">
        <v>2</v>
      </c>
      <c r="M179" s="1">
        <v>3</v>
      </c>
      <c r="N179" s="1">
        <v>4</v>
      </c>
      <c r="O179" s="59">
        <v>5</v>
      </c>
      <c r="P179" s="1">
        <v>6</v>
      </c>
      <c r="Q179" s="1">
        <v>7</v>
      </c>
      <c r="R179" s="1">
        <v>8</v>
      </c>
      <c r="S179" s="12">
        <v>9</v>
      </c>
      <c r="T179" s="12" t="s">
        <v>14</v>
      </c>
    </row>
    <row r="180" spans="2:20" x14ac:dyDescent="0.5">
      <c r="B180" s="17" t="s">
        <v>9</v>
      </c>
      <c r="C180" s="11">
        <v>9</v>
      </c>
      <c r="D180" s="1">
        <v>8</v>
      </c>
      <c r="E180" s="1">
        <v>7</v>
      </c>
      <c r="F180" s="1">
        <v>6</v>
      </c>
      <c r="G180" s="1">
        <v>5</v>
      </c>
      <c r="H180" s="1">
        <v>4</v>
      </c>
      <c r="I180" s="1">
        <v>3</v>
      </c>
      <c r="J180" s="1">
        <v>2</v>
      </c>
      <c r="K180" s="1">
        <v>1</v>
      </c>
      <c r="L180" s="1">
        <v>2</v>
      </c>
      <c r="M180" s="1">
        <v>3</v>
      </c>
      <c r="N180" s="1">
        <v>4</v>
      </c>
      <c r="O180" s="1">
        <v>5</v>
      </c>
      <c r="P180" s="59">
        <v>6</v>
      </c>
      <c r="Q180" s="1">
        <v>7</v>
      </c>
      <c r="R180" s="1">
        <v>8</v>
      </c>
      <c r="S180" s="12">
        <v>9</v>
      </c>
      <c r="T180" s="12" t="s">
        <v>15</v>
      </c>
    </row>
    <row r="181" spans="2:20" x14ac:dyDescent="0.5">
      <c r="B181" s="17" t="s">
        <v>9</v>
      </c>
      <c r="C181" s="11">
        <v>9</v>
      </c>
      <c r="D181" s="1">
        <v>8</v>
      </c>
      <c r="E181" s="1">
        <v>7</v>
      </c>
      <c r="F181" s="1">
        <v>6</v>
      </c>
      <c r="G181" s="1">
        <v>5</v>
      </c>
      <c r="H181" s="1">
        <v>4</v>
      </c>
      <c r="I181" s="1">
        <v>3</v>
      </c>
      <c r="J181" s="1">
        <v>2</v>
      </c>
      <c r="K181" s="1">
        <v>1</v>
      </c>
      <c r="L181" s="1">
        <v>2</v>
      </c>
      <c r="M181" s="1">
        <v>3</v>
      </c>
      <c r="N181" s="1">
        <v>4</v>
      </c>
      <c r="O181" s="1">
        <v>5</v>
      </c>
      <c r="P181" s="59">
        <v>6</v>
      </c>
      <c r="Q181" s="1">
        <v>7</v>
      </c>
      <c r="R181" s="1">
        <v>8</v>
      </c>
      <c r="S181" s="12">
        <v>9</v>
      </c>
      <c r="T181" s="12" t="s">
        <v>16</v>
      </c>
    </row>
    <row r="182" spans="2:20" x14ac:dyDescent="0.5">
      <c r="B182" s="17" t="s">
        <v>9</v>
      </c>
      <c r="C182" s="11">
        <v>9</v>
      </c>
      <c r="D182" s="1">
        <v>8</v>
      </c>
      <c r="E182" s="1">
        <v>7</v>
      </c>
      <c r="F182" s="1">
        <v>6</v>
      </c>
      <c r="G182" s="1">
        <v>5</v>
      </c>
      <c r="H182" s="1">
        <v>4</v>
      </c>
      <c r="I182" s="1">
        <v>3</v>
      </c>
      <c r="J182" s="1">
        <v>2</v>
      </c>
      <c r="K182" s="1">
        <v>1</v>
      </c>
      <c r="L182" s="1">
        <v>2</v>
      </c>
      <c r="M182" s="1">
        <v>3</v>
      </c>
      <c r="N182" s="1">
        <v>4</v>
      </c>
      <c r="O182" s="1">
        <v>5</v>
      </c>
      <c r="P182" s="59">
        <v>6</v>
      </c>
      <c r="Q182" s="1">
        <v>7</v>
      </c>
      <c r="R182" s="1">
        <v>8</v>
      </c>
      <c r="S182" s="12">
        <v>9</v>
      </c>
      <c r="T182" s="12" t="s">
        <v>17</v>
      </c>
    </row>
    <row r="183" spans="2:20" x14ac:dyDescent="0.5">
      <c r="B183" s="19" t="s">
        <v>9</v>
      </c>
      <c r="C183" s="13">
        <v>9</v>
      </c>
      <c r="D183" s="14">
        <v>8</v>
      </c>
      <c r="E183" s="14">
        <v>7</v>
      </c>
      <c r="F183" s="14">
        <v>6</v>
      </c>
      <c r="G183" s="14">
        <v>5</v>
      </c>
      <c r="H183" s="14">
        <v>4</v>
      </c>
      <c r="I183" s="14">
        <v>3</v>
      </c>
      <c r="J183" s="14">
        <v>2</v>
      </c>
      <c r="K183" s="14">
        <v>1</v>
      </c>
      <c r="L183" s="14">
        <v>2</v>
      </c>
      <c r="M183" s="14">
        <v>3</v>
      </c>
      <c r="N183" s="14">
        <v>4</v>
      </c>
      <c r="O183" s="14">
        <v>5</v>
      </c>
      <c r="P183" s="60">
        <v>6</v>
      </c>
      <c r="Q183" s="14">
        <v>7</v>
      </c>
      <c r="R183" s="14">
        <v>8</v>
      </c>
      <c r="S183" s="15">
        <v>9</v>
      </c>
      <c r="T183" s="15" t="s">
        <v>18</v>
      </c>
    </row>
    <row r="184" spans="2:20" x14ac:dyDescent="0.5">
      <c r="B184" s="16" t="s">
        <v>10</v>
      </c>
      <c r="C184" s="11">
        <v>9</v>
      </c>
      <c r="D184" s="1">
        <v>8</v>
      </c>
      <c r="E184" s="1">
        <v>7</v>
      </c>
      <c r="F184" s="1">
        <v>6</v>
      </c>
      <c r="G184" s="1">
        <v>5</v>
      </c>
      <c r="H184" s="1">
        <v>4</v>
      </c>
      <c r="I184" s="1">
        <v>3</v>
      </c>
      <c r="J184" s="1">
        <v>2</v>
      </c>
      <c r="K184" s="59">
        <v>1</v>
      </c>
      <c r="L184" s="1">
        <v>2</v>
      </c>
      <c r="M184" s="1">
        <v>3</v>
      </c>
      <c r="N184" s="1">
        <v>4</v>
      </c>
      <c r="O184" s="1">
        <v>5</v>
      </c>
      <c r="P184" s="1">
        <v>6</v>
      </c>
      <c r="Q184" s="1">
        <v>7</v>
      </c>
      <c r="R184" s="1">
        <v>8</v>
      </c>
      <c r="S184" s="12">
        <v>9</v>
      </c>
      <c r="T184" s="12" t="s">
        <v>11</v>
      </c>
    </row>
    <row r="185" spans="2:20" x14ac:dyDescent="0.5">
      <c r="B185" s="17" t="s">
        <v>10</v>
      </c>
      <c r="C185" s="11">
        <v>9</v>
      </c>
      <c r="D185" s="1">
        <v>8</v>
      </c>
      <c r="E185" s="1">
        <v>7</v>
      </c>
      <c r="F185" s="1">
        <v>6</v>
      </c>
      <c r="G185" s="1">
        <v>5</v>
      </c>
      <c r="H185" s="1">
        <v>4</v>
      </c>
      <c r="I185" s="1">
        <v>3</v>
      </c>
      <c r="J185" s="1">
        <v>2</v>
      </c>
      <c r="K185" s="59">
        <v>1</v>
      </c>
      <c r="L185" s="1">
        <v>2</v>
      </c>
      <c r="M185" s="1">
        <v>3</v>
      </c>
      <c r="N185" s="1">
        <v>4</v>
      </c>
      <c r="O185" s="1">
        <v>5</v>
      </c>
      <c r="P185" s="1">
        <v>6</v>
      </c>
      <c r="Q185" s="1">
        <v>7</v>
      </c>
      <c r="R185" s="1">
        <v>8</v>
      </c>
      <c r="S185" s="12">
        <v>9</v>
      </c>
      <c r="T185" s="12" t="s">
        <v>12</v>
      </c>
    </row>
    <row r="186" spans="2:20" x14ac:dyDescent="0.5">
      <c r="B186" s="17" t="s">
        <v>10</v>
      </c>
      <c r="C186" s="11">
        <v>9</v>
      </c>
      <c r="D186" s="1">
        <v>8</v>
      </c>
      <c r="E186" s="1">
        <v>7</v>
      </c>
      <c r="F186" s="1">
        <v>6</v>
      </c>
      <c r="G186" s="1">
        <v>5</v>
      </c>
      <c r="H186" s="1">
        <v>4</v>
      </c>
      <c r="I186" s="1">
        <v>3</v>
      </c>
      <c r="J186" s="1">
        <v>2</v>
      </c>
      <c r="K186" s="1">
        <v>1</v>
      </c>
      <c r="L186" s="1">
        <v>2</v>
      </c>
      <c r="M186" s="59">
        <v>3</v>
      </c>
      <c r="N186" s="1">
        <v>4</v>
      </c>
      <c r="O186" s="1">
        <v>5</v>
      </c>
      <c r="P186" s="1">
        <v>6</v>
      </c>
      <c r="Q186" s="1">
        <v>7</v>
      </c>
      <c r="R186" s="1">
        <v>8</v>
      </c>
      <c r="S186" s="12">
        <v>9</v>
      </c>
      <c r="T186" s="12" t="s">
        <v>13</v>
      </c>
    </row>
    <row r="187" spans="2:20" x14ac:dyDescent="0.5">
      <c r="B187" s="17" t="s">
        <v>10</v>
      </c>
      <c r="C187" s="11">
        <v>9</v>
      </c>
      <c r="D187" s="1">
        <v>8</v>
      </c>
      <c r="E187" s="1">
        <v>7</v>
      </c>
      <c r="F187" s="1">
        <v>6</v>
      </c>
      <c r="G187" s="1">
        <v>5</v>
      </c>
      <c r="H187" s="1">
        <v>4</v>
      </c>
      <c r="I187" s="1">
        <v>3</v>
      </c>
      <c r="J187" s="1">
        <v>2</v>
      </c>
      <c r="K187" s="1">
        <v>1</v>
      </c>
      <c r="L187" s="1">
        <v>2</v>
      </c>
      <c r="M187" s="59">
        <v>3</v>
      </c>
      <c r="N187" s="1">
        <v>4</v>
      </c>
      <c r="O187" s="1">
        <v>5</v>
      </c>
      <c r="P187" s="1">
        <v>6</v>
      </c>
      <c r="Q187" s="1">
        <v>7</v>
      </c>
      <c r="R187" s="1">
        <v>8</v>
      </c>
      <c r="S187" s="12">
        <v>9</v>
      </c>
      <c r="T187" s="12" t="s">
        <v>14</v>
      </c>
    </row>
    <row r="188" spans="2:20" x14ac:dyDescent="0.5">
      <c r="B188" s="17" t="s">
        <v>10</v>
      </c>
      <c r="C188" s="11">
        <v>9</v>
      </c>
      <c r="D188" s="1">
        <v>8</v>
      </c>
      <c r="E188" s="1">
        <v>7</v>
      </c>
      <c r="F188" s="1">
        <v>6</v>
      </c>
      <c r="G188" s="1">
        <v>5</v>
      </c>
      <c r="H188" s="1">
        <v>4</v>
      </c>
      <c r="I188" s="1">
        <v>3</v>
      </c>
      <c r="J188" s="1">
        <v>2</v>
      </c>
      <c r="K188" s="1">
        <v>1</v>
      </c>
      <c r="L188" s="1">
        <v>2</v>
      </c>
      <c r="M188" s="59">
        <v>3</v>
      </c>
      <c r="N188" s="1">
        <v>4</v>
      </c>
      <c r="O188" s="1">
        <v>5</v>
      </c>
      <c r="P188" s="1">
        <v>6</v>
      </c>
      <c r="Q188" s="1">
        <v>7</v>
      </c>
      <c r="R188" s="1">
        <v>8</v>
      </c>
      <c r="S188" s="12">
        <v>9</v>
      </c>
      <c r="T188" s="12" t="s">
        <v>15</v>
      </c>
    </row>
    <row r="189" spans="2:20" x14ac:dyDescent="0.5">
      <c r="B189" s="17" t="s">
        <v>10</v>
      </c>
      <c r="C189" s="11">
        <v>9</v>
      </c>
      <c r="D189" s="1">
        <v>8</v>
      </c>
      <c r="E189" s="1">
        <v>7</v>
      </c>
      <c r="F189" s="1">
        <v>6</v>
      </c>
      <c r="G189" s="1">
        <v>5</v>
      </c>
      <c r="H189" s="1">
        <v>4</v>
      </c>
      <c r="I189" s="1">
        <v>3</v>
      </c>
      <c r="J189" s="1">
        <v>2</v>
      </c>
      <c r="K189" s="1">
        <v>1</v>
      </c>
      <c r="L189" s="59">
        <v>2</v>
      </c>
      <c r="M189" s="1">
        <v>3</v>
      </c>
      <c r="N189" s="1">
        <v>4</v>
      </c>
      <c r="O189" s="1">
        <v>5</v>
      </c>
      <c r="P189" s="1">
        <v>6</v>
      </c>
      <c r="Q189" s="1">
        <v>7</v>
      </c>
      <c r="R189" s="1">
        <v>8</v>
      </c>
      <c r="S189" s="12">
        <v>9</v>
      </c>
      <c r="T189" s="12" t="s">
        <v>16</v>
      </c>
    </row>
    <row r="190" spans="2:20" x14ac:dyDescent="0.5">
      <c r="B190" s="17" t="s">
        <v>10</v>
      </c>
      <c r="C190" s="11">
        <v>9</v>
      </c>
      <c r="D190" s="1">
        <v>8</v>
      </c>
      <c r="E190" s="1">
        <v>7</v>
      </c>
      <c r="F190" s="1">
        <v>6</v>
      </c>
      <c r="G190" s="1">
        <v>5</v>
      </c>
      <c r="H190" s="1">
        <v>4</v>
      </c>
      <c r="I190" s="1">
        <v>3</v>
      </c>
      <c r="J190" s="1">
        <v>2</v>
      </c>
      <c r="K190" s="1">
        <v>1</v>
      </c>
      <c r="L190" s="59">
        <v>2</v>
      </c>
      <c r="M190" s="1">
        <v>3</v>
      </c>
      <c r="N190" s="1">
        <v>4</v>
      </c>
      <c r="O190" s="1">
        <v>5</v>
      </c>
      <c r="P190" s="1">
        <v>6</v>
      </c>
      <c r="Q190" s="1">
        <v>7</v>
      </c>
      <c r="R190" s="1">
        <v>8</v>
      </c>
      <c r="S190" s="12">
        <v>9</v>
      </c>
      <c r="T190" s="12" t="s">
        <v>17</v>
      </c>
    </row>
    <row r="191" spans="2:20" x14ac:dyDescent="0.5">
      <c r="B191" s="19" t="s">
        <v>10</v>
      </c>
      <c r="C191" s="13">
        <v>9</v>
      </c>
      <c r="D191" s="14">
        <v>8</v>
      </c>
      <c r="E191" s="14">
        <v>7</v>
      </c>
      <c r="F191" s="14">
        <v>6</v>
      </c>
      <c r="G191" s="14">
        <v>5</v>
      </c>
      <c r="H191" s="14">
        <v>4</v>
      </c>
      <c r="I191" s="14">
        <v>3</v>
      </c>
      <c r="J191" s="14">
        <v>2</v>
      </c>
      <c r="K191" s="14">
        <v>1</v>
      </c>
      <c r="L191" s="14">
        <v>2</v>
      </c>
      <c r="M191" s="60">
        <v>3</v>
      </c>
      <c r="N191" s="14">
        <v>4</v>
      </c>
      <c r="O191" s="14">
        <v>5</v>
      </c>
      <c r="P191" s="14">
        <v>6</v>
      </c>
      <c r="Q191" s="14">
        <v>7</v>
      </c>
      <c r="R191" s="14">
        <v>8</v>
      </c>
      <c r="S191" s="15">
        <v>9</v>
      </c>
      <c r="T191" s="15" t="s">
        <v>18</v>
      </c>
    </row>
    <row r="192" spans="2:20" x14ac:dyDescent="0.5">
      <c r="B192" s="16" t="s">
        <v>11</v>
      </c>
      <c r="C192" s="11">
        <v>9</v>
      </c>
      <c r="D192" s="1">
        <v>8</v>
      </c>
      <c r="E192" s="1">
        <v>7</v>
      </c>
      <c r="F192" s="1">
        <v>6</v>
      </c>
      <c r="G192" s="1">
        <v>5</v>
      </c>
      <c r="H192" s="1">
        <v>4</v>
      </c>
      <c r="I192" s="1">
        <v>3</v>
      </c>
      <c r="J192" s="1">
        <v>2</v>
      </c>
      <c r="K192" s="1">
        <v>1</v>
      </c>
      <c r="L192" s="59">
        <v>2</v>
      </c>
      <c r="M192" s="1">
        <v>3</v>
      </c>
      <c r="N192" s="1">
        <v>4</v>
      </c>
      <c r="O192" s="1">
        <v>5</v>
      </c>
      <c r="P192" s="1">
        <v>6</v>
      </c>
      <c r="Q192" s="1">
        <v>7</v>
      </c>
      <c r="R192" s="1">
        <v>8</v>
      </c>
      <c r="S192" s="12">
        <v>9</v>
      </c>
      <c r="T192" s="12" t="s">
        <v>12</v>
      </c>
    </row>
    <row r="193" spans="2:20" x14ac:dyDescent="0.5">
      <c r="B193" s="17" t="s">
        <v>11</v>
      </c>
      <c r="C193" s="11">
        <v>9</v>
      </c>
      <c r="D193" s="1">
        <v>8</v>
      </c>
      <c r="E193" s="1">
        <v>7</v>
      </c>
      <c r="F193" s="1">
        <v>6</v>
      </c>
      <c r="G193" s="1">
        <v>5</v>
      </c>
      <c r="H193" s="1">
        <v>4</v>
      </c>
      <c r="I193" s="1">
        <v>3</v>
      </c>
      <c r="J193" s="1">
        <v>2</v>
      </c>
      <c r="K193" s="1">
        <v>1</v>
      </c>
      <c r="L193" s="1">
        <v>2</v>
      </c>
      <c r="M193" s="1">
        <v>3</v>
      </c>
      <c r="N193" s="59">
        <v>4</v>
      </c>
      <c r="O193" s="1">
        <v>5</v>
      </c>
      <c r="P193" s="1">
        <v>6</v>
      </c>
      <c r="Q193" s="1">
        <v>7</v>
      </c>
      <c r="R193" s="1">
        <v>8</v>
      </c>
      <c r="S193" s="12">
        <v>9</v>
      </c>
      <c r="T193" s="12" t="s">
        <v>13</v>
      </c>
    </row>
    <row r="194" spans="2:20" x14ac:dyDescent="0.5">
      <c r="B194" s="17" t="s">
        <v>11</v>
      </c>
      <c r="C194" s="11">
        <v>9</v>
      </c>
      <c r="D194" s="1">
        <v>8</v>
      </c>
      <c r="E194" s="1">
        <v>7</v>
      </c>
      <c r="F194" s="1">
        <v>6</v>
      </c>
      <c r="G194" s="1">
        <v>5</v>
      </c>
      <c r="H194" s="1">
        <v>4</v>
      </c>
      <c r="I194" s="1">
        <v>3</v>
      </c>
      <c r="J194" s="1">
        <v>2</v>
      </c>
      <c r="K194" s="1">
        <v>1</v>
      </c>
      <c r="L194" s="1">
        <v>2</v>
      </c>
      <c r="M194" s="59">
        <v>3</v>
      </c>
      <c r="N194" s="1">
        <v>4</v>
      </c>
      <c r="O194" s="1">
        <v>5</v>
      </c>
      <c r="P194" s="1">
        <v>6</v>
      </c>
      <c r="Q194" s="1">
        <v>7</v>
      </c>
      <c r="R194" s="1">
        <v>8</v>
      </c>
      <c r="S194" s="12">
        <v>9</v>
      </c>
      <c r="T194" s="12" t="s">
        <v>14</v>
      </c>
    </row>
    <row r="195" spans="2:20" x14ac:dyDescent="0.5">
      <c r="B195" s="17" t="s">
        <v>11</v>
      </c>
      <c r="C195" s="11">
        <v>9</v>
      </c>
      <c r="D195" s="1">
        <v>8</v>
      </c>
      <c r="E195" s="1">
        <v>7</v>
      </c>
      <c r="F195" s="1">
        <v>6</v>
      </c>
      <c r="G195" s="1">
        <v>5</v>
      </c>
      <c r="H195" s="1">
        <v>4</v>
      </c>
      <c r="I195" s="1">
        <v>3</v>
      </c>
      <c r="J195" s="1">
        <v>2</v>
      </c>
      <c r="K195" s="1">
        <v>1</v>
      </c>
      <c r="L195" s="1">
        <v>2</v>
      </c>
      <c r="M195" s="1">
        <v>3</v>
      </c>
      <c r="N195" s="59">
        <v>4</v>
      </c>
      <c r="O195" s="1">
        <v>5</v>
      </c>
      <c r="P195" s="1">
        <v>6</v>
      </c>
      <c r="Q195" s="1">
        <v>7</v>
      </c>
      <c r="R195" s="1">
        <v>8</v>
      </c>
      <c r="S195" s="12">
        <v>9</v>
      </c>
      <c r="T195" s="12" t="s">
        <v>15</v>
      </c>
    </row>
    <row r="196" spans="2:20" x14ac:dyDescent="0.5">
      <c r="B196" s="17" t="s">
        <v>11</v>
      </c>
      <c r="C196" s="11">
        <v>9</v>
      </c>
      <c r="D196" s="1">
        <v>8</v>
      </c>
      <c r="E196" s="1">
        <v>7</v>
      </c>
      <c r="F196" s="1">
        <v>6</v>
      </c>
      <c r="G196" s="1">
        <v>5</v>
      </c>
      <c r="H196" s="1">
        <v>4</v>
      </c>
      <c r="I196" s="1">
        <v>3</v>
      </c>
      <c r="J196" s="1">
        <v>2</v>
      </c>
      <c r="K196" s="1">
        <v>1</v>
      </c>
      <c r="L196" s="59">
        <v>2</v>
      </c>
      <c r="M196" s="1">
        <v>3</v>
      </c>
      <c r="N196" s="1">
        <v>4</v>
      </c>
      <c r="O196" s="1">
        <v>5</v>
      </c>
      <c r="P196" s="1">
        <v>6</v>
      </c>
      <c r="Q196" s="1">
        <v>7</v>
      </c>
      <c r="R196" s="1">
        <v>8</v>
      </c>
      <c r="S196" s="12">
        <v>9</v>
      </c>
      <c r="T196" s="12" t="s">
        <v>16</v>
      </c>
    </row>
    <row r="197" spans="2:20" x14ac:dyDescent="0.5">
      <c r="B197" s="17" t="s">
        <v>11</v>
      </c>
      <c r="C197" s="11">
        <v>9</v>
      </c>
      <c r="D197" s="1">
        <v>8</v>
      </c>
      <c r="E197" s="1">
        <v>7</v>
      </c>
      <c r="F197" s="1">
        <v>6</v>
      </c>
      <c r="G197" s="1">
        <v>5</v>
      </c>
      <c r="H197" s="1">
        <v>4</v>
      </c>
      <c r="I197" s="1">
        <v>3</v>
      </c>
      <c r="J197" s="1">
        <v>2</v>
      </c>
      <c r="K197" s="1">
        <v>1</v>
      </c>
      <c r="L197" s="59">
        <v>2</v>
      </c>
      <c r="M197" s="1">
        <v>3</v>
      </c>
      <c r="N197" s="1">
        <v>4</v>
      </c>
      <c r="O197" s="1">
        <v>5</v>
      </c>
      <c r="P197" s="1">
        <v>6</v>
      </c>
      <c r="Q197" s="1">
        <v>7</v>
      </c>
      <c r="R197" s="1">
        <v>8</v>
      </c>
      <c r="S197" s="12">
        <v>9</v>
      </c>
      <c r="T197" s="12" t="s">
        <v>17</v>
      </c>
    </row>
    <row r="198" spans="2:20" x14ac:dyDescent="0.5">
      <c r="B198" s="19" t="s">
        <v>11</v>
      </c>
      <c r="C198" s="13">
        <v>9</v>
      </c>
      <c r="D198" s="14">
        <v>8</v>
      </c>
      <c r="E198" s="14">
        <v>7</v>
      </c>
      <c r="F198" s="14">
        <v>6</v>
      </c>
      <c r="G198" s="14">
        <v>5</v>
      </c>
      <c r="H198" s="14">
        <v>4</v>
      </c>
      <c r="I198" s="14">
        <v>3</v>
      </c>
      <c r="J198" s="14">
        <v>2</v>
      </c>
      <c r="K198" s="14">
        <v>1</v>
      </c>
      <c r="L198" s="14">
        <v>2</v>
      </c>
      <c r="M198" s="60">
        <v>3</v>
      </c>
      <c r="N198" s="14">
        <v>4</v>
      </c>
      <c r="O198" s="14">
        <v>5</v>
      </c>
      <c r="P198" s="14">
        <v>6</v>
      </c>
      <c r="Q198" s="14">
        <v>7</v>
      </c>
      <c r="R198" s="14">
        <v>8</v>
      </c>
      <c r="S198" s="15">
        <v>9</v>
      </c>
      <c r="T198" s="15" t="s">
        <v>18</v>
      </c>
    </row>
    <row r="199" spans="2:20" x14ac:dyDescent="0.5">
      <c r="B199" s="16" t="s">
        <v>12</v>
      </c>
      <c r="C199" s="11">
        <v>9</v>
      </c>
      <c r="D199" s="1">
        <v>8</v>
      </c>
      <c r="E199" s="1">
        <v>7</v>
      </c>
      <c r="F199" s="1">
        <v>6</v>
      </c>
      <c r="G199" s="1">
        <v>5</v>
      </c>
      <c r="H199" s="1">
        <v>4</v>
      </c>
      <c r="I199" s="1">
        <v>3</v>
      </c>
      <c r="J199" s="1">
        <v>2</v>
      </c>
      <c r="K199" s="1">
        <v>1</v>
      </c>
      <c r="L199" s="1">
        <v>2</v>
      </c>
      <c r="M199" s="59">
        <v>3</v>
      </c>
      <c r="N199" s="1">
        <v>4</v>
      </c>
      <c r="O199" s="1">
        <v>5</v>
      </c>
      <c r="P199" s="1">
        <v>6</v>
      </c>
      <c r="Q199" s="1">
        <v>7</v>
      </c>
      <c r="R199" s="1">
        <v>8</v>
      </c>
      <c r="S199" s="12">
        <v>9</v>
      </c>
      <c r="T199" s="12" t="s">
        <v>13</v>
      </c>
    </row>
    <row r="200" spans="2:20" x14ac:dyDescent="0.5">
      <c r="B200" s="17" t="s">
        <v>12</v>
      </c>
      <c r="C200" s="11">
        <v>9</v>
      </c>
      <c r="D200" s="1">
        <v>8</v>
      </c>
      <c r="E200" s="1">
        <v>7</v>
      </c>
      <c r="F200" s="1">
        <v>6</v>
      </c>
      <c r="G200" s="1">
        <v>5</v>
      </c>
      <c r="H200" s="1">
        <v>4</v>
      </c>
      <c r="I200" s="1">
        <v>3</v>
      </c>
      <c r="J200" s="1">
        <v>2</v>
      </c>
      <c r="K200" s="1">
        <v>1</v>
      </c>
      <c r="L200" s="59">
        <v>2</v>
      </c>
      <c r="M200" s="1">
        <v>3</v>
      </c>
      <c r="N200" s="1">
        <v>4</v>
      </c>
      <c r="O200" s="1">
        <v>5</v>
      </c>
      <c r="P200" s="1">
        <v>6</v>
      </c>
      <c r="Q200" s="1">
        <v>7</v>
      </c>
      <c r="R200" s="1">
        <v>8</v>
      </c>
      <c r="S200" s="12">
        <v>9</v>
      </c>
      <c r="T200" s="12" t="s">
        <v>14</v>
      </c>
    </row>
    <row r="201" spans="2:20" x14ac:dyDescent="0.5">
      <c r="B201" s="17" t="s">
        <v>12</v>
      </c>
      <c r="C201" s="11">
        <v>9</v>
      </c>
      <c r="D201" s="1">
        <v>8</v>
      </c>
      <c r="E201" s="1">
        <v>7</v>
      </c>
      <c r="F201" s="1">
        <v>6</v>
      </c>
      <c r="G201" s="1">
        <v>5</v>
      </c>
      <c r="H201" s="1">
        <v>4</v>
      </c>
      <c r="I201" s="1">
        <v>3</v>
      </c>
      <c r="J201" s="1">
        <v>2</v>
      </c>
      <c r="K201" s="1">
        <v>1</v>
      </c>
      <c r="L201" s="1">
        <v>2</v>
      </c>
      <c r="M201" s="59">
        <v>3</v>
      </c>
      <c r="N201" s="1">
        <v>4</v>
      </c>
      <c r="O201" s="1">
        <v>5</v>
      </c>
      <c r="P201" s="1">
        <v>6</v>
      </c>
      <c r="Q201" s="1">
        <v>7</v>
      </c>
      <c r="R201" s="1">
        <v>8</v>
      </c>
      <c r="S201" s="12">
        <v>9</v>
      </c>
      <c r="T201" s="12" t="s">
        <v>15</v>
      </c>
    </row>
    <row r="202" spans="2:20" x14ac:dyDescent="0.5">
      <c r="B202" s="17" t="s">
        <v>12</v>
      </c>
      <c r="C202" s="11">
        <v>9</v>
      </c>
      <c r="D202" s="1">
        <v>8</v>
      </c>
      <c r="E202" s="1">
        <v>7</v>
      </c>
      <c r="F202" s="1">
        <v>6</v>
      </c>
      <c r="G202" s="1">
        <v>5</v>
      </c>
      <c r="H202" s="1">
        <v>4</v>
      </c>
      <c r="I202" s="1">
        <v>3</v>
      </c>
      <c r="J202" s="1">
        <v>2</v>
      </c>
      <c r="K202" s="1">
        <v>1</v>
      </c>
      <c r="L202" s="59">
        <v>2</v>
      </c>
      <c r="M202" s="1">
        <v>3</v>
      </c>
      <c r="N202" s="1">
        <v>4</v>
      </c>
      <c r="O202" s="1">
        <v>5</v>
      </c>
      <c r="P202" s="1">
        <v>6</v>
      </c>
      <c r="Q202" s="1">
        <v>7</v>
      </c>
      <c r="R202" s="1">
        <v>8</v>
      </c>
      <c r="S202" s="12">
        <v>9</v>
      </c>
      <c r="T202" s="12" t="s">
        <v>16</v>
      </c>
    </row>
    <row r="203" spans="2:20" x14ac:dyDescent="0.5">
      <c r="B203" s="17" t="s">
        <v>12</v>
      </c>
      <c r="C203" s="11">
        <v>9</v>
      </c>
      <c r="D203" s="1">
        <v>8</v>
      </c>
      <c r="E203" s="1">
        <v>7</v>
      </c>
      <c r="F203" s="1">
        <v>6</v>
      </c>
      <c r="G203" s="1">
        <v>5</v>
      </c>
      <c r="H203" s="1">
        <v>4</v>
      </c>
      <c r="I203" s="1">
        <v>3</v>
      </c>
      <c r="J203" s="1">
        <v>2</v>
      </c>
      <c r="K203" s="1">
        <v>1</v>
      </c>
      <c r="L203" s="59">
        <v>2</v>
      </c>
      <c r="M203" s="1">
        <v>3</v>
      </c>
      <c r="N203" s="1">
        <v>4</v>
      </c>
      <c r="O203" s="1">
        <v>5</v>
      </c>
      <c r="P203" s="1">
        <v>6</v>
      </c>
      <c r="Q203" s="1">
        <v>7</v>
      </c>
      <c r="R203" s="1">
        <v>8</v>
      </c>
      <c r="S203" s="12">
        <v>9</v>
      </c>
      <c r="T203" s="12" t="s">
        <v>17</v>
      </c>
    </row>
    <row r="204" spans="2:20" x14ac:dyDescent="0.5">
      <c r="B204" s="19" t="s">
        <v>12</v>
      </c>
      <c r="C204" s="13">
        <v>9</v>
      </c>
      <c r="D204" s="14">
        <v>8</v>
      </c>
      <c r="E204" s="14">
        <v>7</v>
      </c>
      <c r="F204" s="14">
        <v>6</v>
      </c>
      <c r="G204" s="14">
        <v>5</v>
      </c>
      <c r="H204" s="14">
        <v>4</v>
      </c>
      <c r="I204" s="14">
        <v>3</v>
      </c>
      <c r="J204" s="14">
        <v>2</v>
      </c>
      <c r="K204" s="14">
        <v>1</v>
      </c>
      <c r="L204" s="14">
        <v>2</v>
      </c>
      <c r="M204" s="60">
        <v>3</v>
      </c>
      <c r="N204" s="14">
        <v>4</v>
      </c>
      <c r="O204" s="14">
        <v>5</v>
      </c>
      <c r="P204" s="14">
        <v>6</v>
      </c>
      <c r="Q204" s="14">
        <v>7</v>
      </c>
      <c r="R204" s="14">
        <v>8</v>
      </c>
      <c r="S204" s="15">
        <v>9</v>
      </c>
      <c r="T204" s="15" t="s">
        <v>18</v>
      </c>
    </row>
    <row r="205" spans="2:20" x14ac:dyDescent="0.5">
      <c r="B205" s="16" t="s">
        <v>13</v>
      </c>
      <c r="C205" s="11">
        <v>9</v>
      </c>
      <c r="D205" s="1">
        <v>8</v>
      </c>
      <c r="E205" s="1">
        <v>7</v>
      </c>
      <c r="F205" s="1">
        <v>6</v>
      </c>
      <c r="G205" s="1">
        <v>5</v>
      </c>
      <c r="H205" s="59">
        <v>4</v>
      </c>
      <c r="I205" s="1">
        <v>3</v>
      </c>
      <c r="J205" s="1">
        <v>2</v>
      </c>
      <c r="K205" s="1">
        <v>1</v>
      </c>
      <c r="L205" s="1">
        <v>2</v>
      </c>
      <c r="M205" s="1">
        <v>3</v>
      </c>
      <c r="N205" s="1">
        <v>4</v>
      </c>
      <c r="O205" s="1">
        <v>5</v>
      </c>
      <c r="P205" s="1">
        <v>6</v>
      </c>
      <c r="Q205" s="1">
        <v>7</v>
      </c>
      <c r="R205" s="1">
        <v>8</v>
      </c>
      <c r="S205" s="12">
        <v>9</v>
      </c>
      <c r="T205" s="7" t="s">
        <v>14</v>
      </c>
    </row>
    <row r="206" spans="2:20" x14ac:dyDescent="0.5">
      <c r="B206" s="17" t="s">
        <v>13</v>
      </c>
      <c r="C206" s="11">
        <v>9</v>
      </c>
      <c r="D206" s="1">
        <v>8</v>
      </c>
      <c r="E206" s="1">
        <v>7</v>
      </c>
      <c r="F206" s="1">
        <v>6</v>
      </c>
      <c r="G206" s="1">
        <v>5</v>
      </c>
      <c r="H206" s="1">
        <v>4</v>
      </c>
      <c r="I206" s="1">
        <v>3</v>
      </c>
      <c r="J206" s="59">
        <v>2</v>
      </c>
      <c r="K206" s="1">
        <v>1</v>
      </c>
      <c r="L206" s="1">
        <v>2</v>
      </c>
      <c r="M206" s="1">
        <v>3</v>
      </c>
      <c r="N206" s="1">
        <v>4</v>
      </c>
      <c r="O206" s="1">
        <v>5</v>
      </c>
      <c r="P206" s="1">
        <v>6</v>
      </c>
      <c r="Q206" s="1">
        <v>7</v>
      </c>
      <c r="R206" s="1">
        <v>8</v>
      </c>
      <c r="S206" s="12">
        <v>9</v>
      </c>
      <c r="T206" s="12" t="s">
        <v>15</v>
      </c>
    </row>
    <row r="207" spans="2:20" x14ac:dyDescent="0.5">
      <c r="B207" s="17" t="s">
        <v>13</v>
      </c>
      <c r="C207" s="11">
        <v>9</v>
      </c>
      <c r="D207" s="1">
        <v>8</v>
      </c>
      <c r="E207" s="1">
        <v>7</v>
      </c>
      <c r="F207" s="1">
        <v>6</v>
      </c>
      <c r="G207" s="1">
        <v>5</v>
      </c>
      <c r="H207" s="1">
        <v>4</v>
      </c>
      <c r="I207" s="1">
        <v>3</v>
      </c>
      <c r="J207" s="59">
        <v>2</v>
      </c>
      <c r="K207" s="1">
        <v>1</v>
      </c>
      <c r="L207" s="1">
        <v>2</v>
      </c>
      <c r="M207" s="1">
        <v>3</v>
      </c>
      <c r="N207" s="1">
        <v>4</v>
      </c>
      <c r="O207" s="1">
        <v>5</v>
      </c>
      <c r="P207" s="1">
        <v>6</v>
      </c>
      <c r="Q207" s="1">
        <v>7</v>
      </c>
      <c r="R207" s="1">
        <v>8</v>
      </c>
      <c r="S207" s="12">
        <v>9</v>
      </c>
      <c r="T207" s="12" t="s">
        <v>16</v>
      </c>
    </row>
    <row r="208" spans="2:20" x14ac:dyDescent="0.5">
      <c r="B208" s="17" t="s">
        <v>13</v>
      </c>
      <c r="C208" s="11">
        <v>9</v>
      </c>
      <c r="D208" s="1">
        <v>8</v>
      </c>
      <c r="E208" s="1">
        <v>7</v>
      </c>
      <c r="F208" s="1">
        <v>6</v>
      </c>
      <c r="G208" s="1">
        <v>5</v>
      </c>
      <c r="H208" s="1">
        <v>4</v>
      </c>
      <c r="I208" s="1">
        <v>3</v>
      </c>
      <c r="J208" s="59">
        <v>2</v>
      </c>
      <c r="K208" s="1">
        <v>1</v>
      </c>
      <c r="L208" s="1">
        <v>2</v>
      </c>
      <c r="M208" s="1">
        <v>3</v>
      </c>
      <c r="N208" s="1">
        <v>4</v>
      </c>
      <c r="O208" s="1">
        <v>5</v>
      </c>
      <c r="P208" s="1">
        <v>6</v>
      </c>
      <c r="Q208" s="1">
        <v>7</v>
      </c>
      <c r="R208" s="1">
        <v>8</v>
      </c>
      <c r="S208" s="12">
        <v>9</v>
      </c>
      <c r="T208" s="12" t="s">
        <v>17</v>
      </c>
    </row>
    <row r="209" spans="2:20" x14ac:dyDescent="0.5">
      <c r="B209" s="17" t="s">
        <v>13</v>
      </c>
      <c r="C209" s="11">
        <v>9</v>
      </c>
      <c r="D209" s="1">
        <v>8</v>
      </c>
      <c r="E209" s="1">
        <v>7</v>
      </c>
      <c r="F209" s="1">
        <v>6</v>
      </c>
      <c r="G209" s="1">
        <v>5</v>
      </c>
      <c r="H209" s="1">
        <v>4</v>
      </c>
      <c r="I209" s="59">
        <v>3</v>
      </c>
      <c r="J209" s="1">
        <v>2</v>
      </c>
      <c r="K209" s="1">
        <v>1</v>
      </c>
      <c r="L209" s="1">
        <v>2</v>
      </c>
      <c r="M209" s="1">
        <v>3</v>
      </c>
      <c r="N209" s="1">
        <v>4</v>
      </c>
      <c r="O209" s="1">
        <v>5</v>
      </c>
      <c r="P209" s="1">
        <v>6</v>
      </c>
      <c r="Q209" s="1">
        <v>7</v>
      </c>
      <c r="R209" s="1">
        <v>8</v>
      </c>
      <c r="S209" s="12">
        <v>9</v>
      </c>
      <c r="T209" s="15" t="s">
        <v>18</v>
      </c>
    </row>
    <row r="210" spans="2:20" x14ac:dyDescent="0.5">
      <c r="B210" s="4" t="s">
        <v>14</v>
      </c>
      <c r="C210" s="4">
        <v>9</v>
      </c>
      <c r="D210" s="5">
        <v>8</v>
      </c>
      <c r="E210" s="5">
        <v>7</v>
      </c>
      <c r="F210" s="5">
        <v>6</v>
      </c>
      <c r="G210" s="5">
        <v>5</v>
      </c>
      <c r="H210" s="5">
        <v>4</v>
      </c>
      <c r="I210" s="5">
        <v>3</v>
      </c>
      <c r="J210" s="5">
        <v>2</v>
      </c>
      <c r="K210" s="5">
        <v>1</v>
      </c>
      <c r="L210" s="5">
        <v>2</v>
      </c>
      <c r="M210" s="58">
        <v>3</v>
      </c>
      <c r="N210" s="5">
        <v>4</v>
      </c>
      <c r="O210" s="5">
        <v>5</v>
      </c>
      <c r="P210" s="5">
        <v>6</v>
      </c>
      <c r="Q210" s="5">
        <v>7</v>
      </c>
      <c r="R210" s="5">
        <v>8</v>
      </c>
      <c r="S210" s="7">
        <v>9</v>
      </c>
      <c r="T210" s="12" t="s">
        <v>15</v>
      </c>
    </row>
    <row r="211" spans="2:20" x14ac:dyDescent="0.5">
      <c r="B211" s="11" t="s">
        <v>14</v>
      </c>
      <c r="C211" s="11">
        <v>9</v>
      </c>
      <c r="D211" s="1">
        <v>8</v>
      </c>
      <c r="E211" s="1">
        <v>7</v>
      </c>
      <c r="F211" s="1">
        <v>6</v>
      </c>
      <c r="G211" s="1">
        <v>5</v>
      </c>
      <c r="H211" s="1">
        <v>4</v>
      </c>
      <c r="I211" s="1">
        <v>3</v>
      </c>
      <c r="J211" s="1">
        <v>2</v>
      </c>
      <c r="K211" s="1">
        <v>1</v>
      </c>
      <c r="L211" s="59">
        <v>2</v>
      </c>
      <c r="M211" s="1">
        <v>3</v>
      </c>
      <c r="N211" s="1">
        <v>4</v>
      </c>
      <c r="O211" s="1">
        <v>5</v>
      </c>
      <c r="P211" s="1">
        <v>6</v>
      </c>
      <c r="Q211" s="1">
        <v>7</v>
      </c>
      <c r="R211" s="1">
        <v>8</v>
      </c>
      <c r="S211" s="12">
        <v>9</v>
      </c>
      <c r="T211" s="12" t="s">
        <v>16</v>
      </c>
    </row>
    <row r="212" spans="2:20" x14ac:dyDescent="0.5">
      <c r="B212" s="11" t="s">
        <v>14</v>
      </c>
      <c r="C212" s="11">
        <v>9</v>
      </c>
      <c r="D212" s="1">
        <v>8</v>
      </c>
      <c r="E212" s="1">
        <v>7</v>
      </c>
      <c r="F212" s="1">
        <v>6</v>
      </c>
      <c r="G212" s="1">
        <v>5</v>
      </c>
      <c r="H212" s="1">
        <v>4</v>
      </c>
      <c r="I212" s="1">
        <v>3</v>
      </c>
      <c r="J212" s="1">
        <v>2</v>
      </c>
      <c r="K212" s="1">
        <v>1</v>
      </c>
      <c r="L212" s="59">
        <v>2</v>
      </c>
      <c r="M212" s="1">
        <v>3</v>
      </c>
      <c r="N212" s="1">
        <v>4</v>
      </c>
      <c r="O212" s="1">
        <v>5</v>
      </c>
      <c r="P212" s="1">
        <v>6</v>
      </c>
      <c r="Q212" s="1">
        <v>7</v>
      </c>
      <c r="R212" s="1">
        <v>8</v>
      </c>
      <c r="S212" s="12">
        <v>9</v>
      </c>
      <c r="T212" s="12" t="s">
        <v>17</v>
      </c>
    </row>
    <row r="213" spans="2:20" x14ac:dyDescent="0.5">
      <c r="B213" s="13" t="s">
        <v>14</v>
      </c>
      <c r="C213" s="13">
        <v>9</v>
      </c>
      <c r="D213" s="14">
        <v>8</v>
      </c>
      <c r="E213" s="14">
        <v>7</v>
      </c>
      <c r="F213" s="14">
        <v>6</v>
      </c>
      <c r="G213" s="14">
        <v>5</v>
      </c>
      <c r="H213" s="14">
        <v>4</v>
      </c>
      <c r="I213" s="14">
        <v>3</v>
      </c>
      <c r="J213" s="14">
        <v>2</v>
      </c>
      <c r="K213" s="14">
        <v>1</v>
      </c>
      <c r="L213" s="60">
        <v>2</v>
      </c>
      <c r="M213" s="14">
        <v>3</v>
      </c>
      <c r="N213" s="14">
        <v>4</v>
      </c>
      <c r="O213" s="14">
        <v>5</v>
      </c>
      <c r="P213" s="14">
        <v>6</v>
      </c>
      <c r="Q213" s="14">
        <v>7</v>
      </c>
      <c r="R213" s="14">
        <v>8</v>
      </c>
      <c r="S213" s="15">
        <v>9</v>
      </c>
      <c r="T213" s="15" t="s">
        <v>18</v>
      </c>
    </row>
    <row r="214" spans="2:20" x14ac:dyDescent="0.5">
      <c r="B214" s="16" t="s">
        <v>15</v>
      </c>
      <c r="C214" s="11">
        <v>9</v>
      </c>
      <c r="D214" s="1">
        <v>8</v>
      </c>
      <c r="E214" s="1">
        <v>7</v>
      </c>
      <c r="F214" s="1">
        <v>6</v>
      </c>
      <c r="G214" s="1">
        <v>5</v>
      </c>
      <c r="H214" s="1">
        <v>4</v>
      </c>
      <c r="I214" s="59">
        <v>3</v>
      </c>
      <c r="J214" s="1">
        <v>2</v>
      </c>
      <c r="K214" s="1">
        <v>1</v>
      </c>
      <c r="L214" s="1">
        <v>2</v>
      </c>
      <c r="M214" s="1">
        <v>3</v>
      </c>
      <c r="N214" s="1">
        <v>4</v>
      </c>
      <c r="O214" s="1">
        <v>5</v>
      </c>
      <c r="P214" s="1">
        <v>6</v>
      </c>
      <c r="Q214" s="1">
        <v>7</v>
      </c>
      <c r="R214" s="1">
        <v>8</v>
      </c>
      <c r="S214" s="12">
        <v>9</v>
      </c>
      <c r="T214" s="12" t="s">
        <v>16</v>
      </c>
    </row>
    <row r="215" spans="2:20" x14ac:dyDescent="0.5">
      <c r="B215" s="17" t="s">
        <v>15</v>
      </c>
      <c r="C215" s="11">
        <v>9</v>
      </c>
      <c r="D215" s="1">
        <v>8</v>
      </c>
      <c r="E215" s="1">
        <v>7</v>
      </c>
      <c r="F215" s="1">
        <v>6</v>
      </c>
      <c r="G215" s="1">
        <v>5</v>
      </c>
      <c r="H215" s="1">
        <v>4</v>
      </c>
      <c r="I215" s="1">
        <v>3</v>
      </c>
      <c r="J215" s="59">
        <v>2</v>
      </c>
      <c r="K215" s="1">
        <v>1</v>
      </c>
      <c r="L215" s="1">
        <v>2</v>
      </c>
      <c r="M215" s="1">
        <v>3</v>
      </c>
      <c r="N215" s="1">
        <v>4</v>
      </c>
      <c r="O215" s="1">
        <v>5</v>
      </c>
      <c r="P215" s="1">
        <v>6</v>
      </c>
      <c r="Q215" s="1">
        <v>7</v>
      </c>
      <c r="R215" s="1">
        <v>8</v>
      </c>
      <c r="S215" s="12">
        <v>9</v>
      </c>
      <c r="T215" s="12" t="s">
        <v>17</v>
      </c>
    </row>
    <row r="216" spans="2:20" x14ac:dyDescent="0.5">
      <c r="B216" s="19" t="s">
        <v>15</v>
      </c>
      <c r="C216" s="13">
        <v>9</v>
      </c>
      <c r="D216" s="14">
        <v>8</v>
      </c>
      <c r="E216" s="14">
        <v>7</v>
      </c>
      <c r="F216" s="14">
        <v>6</v>
      </c>
      <c r="G216" s="14">
        <v>5</v>
      </c>
      <c r="H216" s="14">
        <v>4</v>
      </c>
      <c r="I216" s="60">
        <v>3</v>
      </c>
      <c r="J216" s="14">
        <v>2</v>
      </c>
      <c r="K216" s="14">
        <v>1</v>
      </c>
      <c r="L216" s="14">
        <v>2</v>
      </c>
      <c r="M216" s="14">
        <v>3</v>
      </c>
      <c r="N216" s="14">
        <v>4</v>
      </c>
      <c r="O216" s="14">
        <v>5</v>
      </c>
      <c r="P216" s="14">
        <v>6</v>
      </c>
      <c r="Q216" s="14">
        <v>7</v>
      </c>
      <c r="R216" s="14">
        <v>8</v>
      </c>
      <c r="S216" s="15">
        <v>9</v>
      </c>
      <c r="T216" s="15" t="s">
        <v>18</v>
      </c>
    </row>
    <row r="217" spans="2:20" x14ac:dyDescent="0.5">
      <c r="B217" s="16" t="s">
        <v>16</v>
      </c>
      <c r="C217" s="11">
        <v>9</v>
      </c>
      <c r="D217" s="1">
        <v>8</v>
      </c>
      <c r="E217" s="1">
        <v>7</v>
      </c>
      <c r="F217" s="1">
        <v>6</v>
      </c>
      <c r="G217" s="1">
        <v>5</v>
      </c>
      <c r="H217" s="1">
        <v>4</v>
      </c>
      <c r="I217" s="1">
        <v>3</v>
      </c>
      <c r="J217" s="1">
        <v>2</v>
      </c>
      <c r="K217" s="1">
        <v>1</v>
      </c>
      <c r="L217" s="59">
        <v>2</v>
      </c>
      <c r="M217" s="1">
        <v>3</v>
      </c>
      <c r="N217" s="1">
        <v>4</v>
      </c>
      <c r="O217" s="1">
        <v>5</v>
      </c>
      <c r="P217" s="1">
        <v>6</v>
      </c>
      <c r="Q217" s="1">
        <v>7</v>
      </c>
      <c r="R217" s="1">
        <v>8</v>
      </c>
      <c r="S217" s="12">
        <v>9</v>
      </c>
      <c r="T217" s="7" t="s">
        <v>17</v>
      </c>
    </row>
    <row r="218" spans="2:20" x14ac:dyDescent="0.5">
      <c r="B218" s="19" t="s">
        <v>16</v>
      </c>
      <c r="C218" s="13">
        <v>9</v>
      </c>
      <c r="D218" s="14">
        <v>8</v>
      </c>
      <c r="E218" s="14">
        <v>7</v>
      </c>
      <c r="F218" s="14">
        <v>6</v>
      </c>
      <c r="G218" s="14">
        <v>5</v>
      </c>
      <c r="H218" s="14">
        <v>4</v>
      </c>
      <c r="I218" s="14">
        <v>3</v>
      </c>
      <c r="J218" s="14">
        <v>2</v>
      </c>
      <c r="K218" s="14">
        <v>1</v>
      </c>
      <c r="L218" s="14">
        <v>2</v>
      </c>
      <c r="M218" s="60">
        <v>3</v>
      </c>
      <c r="N218" s="14">
        <v>4</v>
      </c>
      <c r="O218" s="14">
        <v>5</v>
      </c>
      <c r="P218" s="14">
        <v>6</v>
      </c>
      <c r="Q218" s="14">
        <v>7</v>
      </c>
      <c r="R218" s="14">
        <v>8</v>
      </c>
      <c r="S218" s="15">
        <v>9</v>
      </c>
      <c r="T218" s="15" t="s">
        <v>18</v>
      </c>
    </row>
    <row r="219" spans="2:20" x14ac:dyDescent="0.5">
      <c r="B219" s="3" t="s">
        <v>17</v>
      </c>
      <c r="C219" s="13">
        <v>9</v>
      </c>
      <c r="D219" s="14">
        <v>8</v>
      </c>
      <c r="E219" s="14">
        <v>7</v>
      </c>
      <c r="F219" s="14">
        <v>6</v>
      </c>
      <c r="G219" s="14">
        <v>5</v>
      </c>
      <c r="H219" s="14">
        <v>4</v>
      </c>
      <c r="I219" s="14">
        <v>3</v>
      </c>
      <c r="J219" s="60">
        <v>2</v>
      </c>
      <c r="K219" s="14">
        <v>1</v>
      </c>
      <c r="L219" s="14">
        <v>2</v>
      </c>
      <c r="M219" s="14">
        <v>3</v>
      </c>
      <c r="N219" s="14">
        <v>4</v>
      </c>
      <c r="O219" s="14">
        <v>5</v>
      </c>
      <c r="P219" s="14">
        <v>6</v>
      </c>
      <c r="Q219" s="14">
        <v>7</v>
      </c>
      <c r="R219" s="14">
        <v>8</v>
      </c>
      <c r="S219" s="15">
        <v>9</v>
      </c>
      <c r="T219" s="15" t="s">
        <v>18</v>
      </c>
    </row>
    <row r="221" spans="2:20" x14ac:dyDescent="0.5">
      <c r="B221" s="90" t="s">
        <v>19</v>
      </c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2"/>
    </row>
    <row r="222" spans="2:20" x14ac:dyDescent="0.5">
      <c r="B222" s="85" t="s">
        <v>66</v>
      </c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93"/>
    </row>
    <row r="223" spans="2:20" x14ac:dyDescent="0.5">
      <c r="B223" s="94" t="s">
        <v>1</v>
      </c>
      <c r="C223" s="90" t="s">
        <v>2</v>
      </c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6"/>
      <c r="T223" s="94" t="s">
        <v>3</v>
      </c>
    </row>
    <row r="224" spans="2:20" x14ac:dyDescent="0.5">
      <c r="B224" s="95"/>
      <c r="C224" s="24">
        <v>9</v>
      </c>
      <c r="D224" s="24">
        <v>8</v>
      </c>
      <c r="E224" s="24">
        <v>7</v>
      </c>
      <c r="F224" s="24">
        <v>6</v>
      </c>
      <c r="G224" s="24">
        <v>5</v>
      </c>
      <c r="H224" s="24">
        <v>4</v>
      </c>
      <c r="I224" s="24">
        <v>3</v>
      </c>
      <c r="J224" s="24">
        <v>2</v>
      </c>
      <c r="K224" s="24">
        <v>1</v>
      </c>
      <c r="L224" s="24">
        <v>2</v>
      </c>
      <c r="M224" s="24">
        <v>3</v>
      </c>
      <c r="N224" s="24">
        <v>4</v>
      </c>
      <c r="O224" s="24">
        <v>5</v>
      </c>
      <c r="P224" s="24">
        <v>6</v>
      </c>
      <c r="Q224" s="24">
        <v>7</v>
      </c>
      <c r="R224" s="24">
        <v>8</v>
      </c>
      <c r="S224" s="24">
        <v>9</v>
      </c>
      <c r="T224" s="95"/>
    </row>
    <row r="225" spans="2:37" x14ac:dyDescent="0.5">
      <c r="B225" s="16" t="s">
        <v>4</v>
      </c>
      <c r="C225" s="4">
        <v>9</v>
      </c>
      <c r="D225" s="5">
        <v>8</v>
      </c>
      <c r="E225" s="5">
        <v>7</v>
      </c>
      <c r="F225" s="5">
        <v>6</v>
      </c>
      <c r="G225" s="5">
        <v>5</v>
      </c>
      <c r="H225" s="5">
        <v>4</v>
      </c>
      <c r="I225" s="5">
        <v>3</v>
      </c>
      <c r="J225" s="5">
        <v>2</v>
      </c>
      <c r="K225" s="5">
        <v>1</v>
      </c>
      <c r="L225" s="5">
        <v>2</v>
      </c>
      <c r="M225" s="5">
        <v>3</v>
      </c>
      <c r="N225" s="5">
        <v>4</v>
      </c>
      <c r="O225" s="5">
        <v>5</v>
      </c>
      <c r="P225" s="5">
        <v>6</v>
      </c>
      <c r="Q225" s="6">
        <v>7</v>
      </c>
      <c r="R225" s="5">
        <v>8</v>
      </c>
      <c r="S225" s="7">
        <v>9</v>
      </c>
      <c r="T225" s="7" t="s">
        <v>5</v>
      </c>
      <c r="V225" s="63" t="s">
        <v>19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5">
      <c r="B226" s="17" t="s">
        <v>4</v>
      </c>
      <c r="C226" s="11">
        <v>9</v>
      </c>
      <c r="D226" s="1">
        <v>8</v>
      </c>
      <c r="E226" s="1">
        <v>7</v>
      </c>
      <c r="F226" s="1">
        <v>6</v>
      </c>
      <c r="G226" s="1">
        <v>5</v>
      </c>
      <c r="H226" s="1">
        <v>4</v>
      </c>
      <c r="I226" s="1">
        <v>3</v>
      </c>
      <c r="J226" s="1">
        <v>2</v>
      </c>
      <c r="K226" s="1">
        <v>1</v>
      </c>
      <c r="L226" s="1">
        <v>2</v>
      </c>
      <c r="M226" s="33">
        <v>3</v>
      </c>
      <c r="N226" s="1">
        <v>4</v>
      </c>
      <c r="O226" s="1">
        <v>5</v>
      </c>
      <c r="P226" s="1">
        <v>6</v>
      </c>
      <c r="Q226" s="1">
        <v>7</v>
      </c>
      <c r="R226" s="1">
        <v>8</v>
      </c>
      <c r="S226" s="12">
        <v>9</v>
      </c>
      <c r="T226" s="12" t="s">
        <v>6</v>
      </c>
      <c r="V226" s="2" t="s">
        <v>4</v>
      </c>
      <c r="W226" s="3">
        <v>1</v>
      </c>
      <c r="X226" s="3">
        <f>1/7</f>
        <v>0.14285714285714285</v>
      </c>
      <c r="Y226" s="3">
        <f>1/3</f>
        <v>0.33333333333333331</v>
      </c>
      <c r="Z226" s="3">
        <f>1/3</f>
        <v>0.33333333333333331</v>
      </c>
      <c r="AA226" s="3">
        <v>2</v>
      </c>
      <c r="AB226" s="3">
        <v>2</v>
      </c>
      <c r="AC226" s="3">
        <f>1/3</f>
        <v>0.33333333333333331</v>
      </c>
      <c r="AD226" s="3">
        <f>1/2</f>
        <v>0.5</v>
      </c>
      <c r="AE226" s="3">
        <f>1/2</f>
        <v>0.5</v>
      </c>
      <c r="AF226" s="3">
        <f>1/6</f>
        <v>0.16666666666666666</v>
      </c>
      <c r="AG226" s="3">
        <f>1/9</f>
        <v>0.1111111111111111</v>
      </c>
      <c r="AH226" s="3">
        <f>1/2</f>
        <v>0.5</v>
      </c>
      <c r="AI226" s="3">
        <f>1/3</f>
        <v>0.33333333333333331</v>
      </c>
      <c r="AJ226" s="3">
        <f>1/3</f>
        <v>0.33333333333333331</v>
      </c>
      <c r="AK226" s="3">
        <f>1/2</f>
        <v>0.5</v>
      </c>
    </row>
    <row r="227" spans="2:37" x14ac:dyDescent="0.5">
      <c r="B227" s="17" t="s">
        <v>4</v>
      </c>
      <c r="C227" s="11">
        <v>9</v>
      </c>
      <c r="D227" s="1">
        <v>8</v>
      </c>
      <c r="E227" s="1">
        <v>7</v>
      </c>
      <c r="F227" s="1">
        <v>6</v>
      </c>
      <c r="G227" s="1">
        <v>5</v>
      </c>
      <c r="H227" s="1">
        <v>4</v>
      </c>
      <c r="I227" s="18">
        <v>3</v>
      </c>
      <c r="J227" s="1">
        <v>2</v>
      </c>
      <c r="K227" s="1">
        <v>1</v>
      </c>
      <c r="L227" s="1">
        <v>2</v>
      </c>
      <c r="M227" s="33">
        <v>3</v>
      </c>
      <c r="N227" s="1">
        <v>4</v>
      </c>
      <c r="O227" s="1">
        <v>5</v>
      </c>
      <c r="P227" s="1">
        <v>6</v>
      </c>
      <c r="Q227" s="1">
        <v>7</v>
      </c>
      <c r="R227" s="1">
        <v>8</v>
      </c>
      <c r="S227" s="12">
        <v>9</v>
      </c>
      <c r="T227" s="12" t="s">
        <v>7</v>
      </c>
      <c r="V227" s="2" t="s">
        <v>5</v>
      </c>
      <c r="W227" s="3">
        <f>1/X226</f>
        <v>7</v>
      </c>
      <c r="X227" s="3">
        <v>1</v>
      </c>
      <c r="Y227" s="3">
        <v>3</v>
      </c>
      <c r="Z227" s="3">
        <v>3</v>
      </c>
      <c r="AA227" s="3">
        <v>9</v>
      </c>
      <c r="AB227" s="3">
        <v>9</v>
      </c>
      <c r="AC227" s="3">
        <v>5</v>
      </c>
      <c r="AD227" s="3">
        <v>5</v>
      </c>
      <c r="AE227" s="3">
        <v>5</v>
      </c>
      <c r="AF227" s="3">
        <v>3</v>
      </c>
      <c r="AG227" s="3">
        <f>1/3</f>
        <v>0.33333333333333331</v>
      </c>
      <c r="AH227" s="3">
        <v>4</v>
      </c>
      <c r="AI227" s="3">
        <v>6</v>
      </c>
      <c r="AJ227" s="3">
        <v>6</v>
      </c>
      <c r="AK227" s="3">
        <v>4</v>
      </c>
    </row>
    <row r="228" spans="2:37" x14ac:dyDescent="0.5">
      <c r="B228" s="17" t="s">
        <v>4</v>
      </c>
      <c r="C228" s="11">
        <v>9</v>
      </c>
      <c r="D228" s="1">
        <v>8</v>
      </c>
      <c r="E228" s="1">
        <v>7</v>
      </c>
      <c r="F228" s="1">
        <v>6</v>
      </c>
      <c r="G228" s="1">
        <v>5</v>
      </c>
      <c r="H228" s="1">
        <v>4</v>
      </c>
      <c r="I228" s="1">
        <v>3</v>
      </c>
      <c r="J228" s="33">
        <v>2</v>
      </c>
      <c r="K228" s="1">
        <v>1</v>
      </c>
      <c r="L228" s="1">
        <v>2</v>
      </c>
      <c r="M228" s="1">
        <v>3</v>
      </c>
      <c r="N228" s="1">
        <v>4</v>
      </c>
      <c r="O228" s="1">
        <v>5</v>
      </c>
      <c r="P228" s="1">
        <v>6</v>
      </c>
      <c r="Q228" s="1">
        <v>7</v>
      </c>
      <c r="R228" s="1">
        <v>8</v>
      </c>
      <c r="S228" s="12">
        <v>9</v>
      </c>
      <c r="T228" s="12" t="s">
        <v>8</v>
      </c>
      <c r="V228" s="2" t="s">
        <v>6</v>
      </c>
      <c r="W228" s="3">
        <f>1/Y226</f>
        <v>3</v>
      </c>
      <c r="X228" s="3">
        <f>1/Y227</f>
        <v>0.33333333333333331</v>
      </c>
      <c r="Y228" s="3">
        <v>1</v>
      </c>
      <c r="Z228" s="3">
        <v>1</v>
      </c>
      <c r="AA228" s="3">
        <v>5</v>
      </c>
      <c r="AB228" s="3">
        <v>5</v>
      </c>
      <c r="AC228" s="3">
        <v>3</v>
      </c>
      <c r="AD228" s="3">
        <v>3</v>
      </c>
      <c r="AE228" s="3">
        <v>3</v>
      </c>
      <c r="AF228" s="3">
        <f>1/6</f>
        <v>0.16666666666666666</v>
      </c>
      <c r="AG228" s="3">
        <f>1/8</f>
        <v>0.125</v>
      </c>
      <c r="AH228" s="3">
        <f>1/3</f>
        <v>0.33333333333333331</v>
      </c>
      <c r="AI228" s="3">
        <v>2</v>
      </c>
      <c r="AJ228" s="3">
        <v>2</v>
      </c>
      <c r="AK228" s="3">
        <f>1/3</f>
        <v>0.33333333333333331</v>
      </c>
    </row>
    <row r="229" spans="2:37" x14ac:dyDescent="0.5">
      <c r="B229" s="17" t="s">
        <v>4</v>
      </c>
      <c r="C229" s="11">
        <v>9</v>
      </c>
      <c r="D229" s="1">
        <v>8</v>
      </c>
      <c r="E229" s="1">
        <v>7</v>
      </c>
      <c r="F229" s="1">
        <v>6</v>
      </c>
      <c r="G229" s="1">
        <v>5</v>
      </c>
      <c r="H229" s="1">
        <v>4</v>
      </c>
      <c r="I229" s="1">
        <v>3</v>
      </c>
      <c r="J229" s="33">
        <v>2</v>
      </c>
      <c r="K229" s="1">
        <v>1</v>
      </c>
      <c r="L229" s="1">
        <v>2</v>
      </c>
      <c r="M229" s="1">
        <v>3</v>
      </c>
      <c r="N229" s="1">
        <v>4</v>
      </c>
      <c r="O229" s="1">
        <v>5</v>
      </c>
      <c r="P229" s="1">
        <v>6</v>
      </c>
      <c r="Q229" s="1">
        <v>7</v>
      </c>
      <c r="R229" s="1">
        <v>8</v>
      </c>
      <c r="S229" s="12">
        <v>9</v>
      </c>
      <c r="T229" s="12" t="s">
        <v>9</v>
      </c>
      <c r="V229" s="2" t="s">
        <v>7</v>
      </c>
      <c r="W229" s="3">
        <f>1/Z226</f>
        <v>3</v>
      </c>
      <c r="X229" s="3">
        <f>1/Z227</f>
        <v>0.33333333333333331</v>
      </c>
      <c r="Y229" s="3">
        <f>1/Z228</f>
        <v>1</v>
      </c>
      <c r="Z229" s="3">
        <v>1</v>
      </c>
      <c r="AA229" s="3">
        <v>5</v>
      </c>
      <c r="AB229" s="3">
        <v>5</v>
      </c>
      <c r="AC229" s="3">
        <v>3</v>
      </c>
      <c r="AD229" s="3">
        <v>3</v>
      </c>
      <c r="AE229" s="3">
        <v>3</v>
      </c>
      <c r="AF229" s="3">
        <f>1/6</f>
        <v>0.16666666666666666</v>
      </c>
      <c r="AG229" s="3">
        <f>1/8</f>
        <v>0.125</v>
      </c>
      <c r="AH229" s="3">
        <f>1/3</f>
        <v>0.33333333333333331</v>
      </c>
      <c r="AI229" s="3">
        <f>1/2</f>
        <v>0.5</v>
      </c>
      <c r="AJ229" s="3">
        <f>1/2</f>
        <v>0.5</v>
      </c>
      <c r="AK229" s="3">
        <f>1/3</f>
        <v>0.33333333333333331</v>
      </c>
    </row>
    <row r="230" spans="2:37" x14ac:dyDescent="0.5">
      <c r="B230" s="17" t="s">
        <v>4</v>
      </c>
      <c r="C230" s="11">
        <v>9</v>
      </c>
      <c r="D230" s="1">
        <v>8</v>
      </c>
      <c r="E230" s="1">
        <v>7</v>
      </c>
      <c r="F230" s="1">
        <v>6</v>
      </c>
      <c r="G230" s="1">
        <v>5</v>
      </c>
      <c r="H230" s="1">
        <v>4</v>
      </c>
      <c r="I230" s="1">
        <v>3</v>
      </c>
      <c r="J230" s="1">
        <v>2</v>
      </c>
      <c r="K230" s="1">
        <v>1</v>
      </c>
      <c r="L230" s="1">
        <v>2</v>
      </c>
      <c r="M230" s="33">
        <v>3</v>
      </c>
      <c r="N230" s="1">
        <v>4</v>
      </c>
      <c r="O230" s="1">
        <v>5</v>
      </c>
      <c r="P230" s="1">
        <v>6</v>
      </c>
      <c r="Q230" s="1">
        <v>7</v>
      </c>
      <c r="R230" s="1">
        <v>8</v>
      </c>
      <c r="S230" s="12">
        <v>9</v>
      </c>
      <c r="T230" s="12" t="s">
        <v>10</v>
      </c>
      <c r="V230" s="2" t="s">
        <v>8</v>
      </c>
      <c r="W230" s="3">
        <f>1/AA226</f>
        <v>0.5</v>
      </c>
      <c r="X230" s="3">
        <f>1/AA227</f>
        <v>0.1111111111111111</v>
      </c>
      <c r="Y230" s="3">
        <f>1/AA228</f>
        <v>0.2</v>
      </c>
      <c r="Z230" s="3">
        <f>1/AA229</f>
        <v>0.2</v>
      </c>
      <c r="AA230" s="3">
        <v>1</v>
      </c>
      <c r="AB230" s="3">
        <v>1</v>
      </c>
      <c r="AC230" s="3">
        <f t="shared" ref="AC230:AE231" si="0">1/5</f>
        <v>0.2</v>
      </c>
      <c r="AD230" s="3">
        <f t="shared" si="0"/>
        <v>0.2</v>
      </c>
      <c r="AE230" s="3">
        <f t="shared" si="0"/>
        <v>0.2</v>
      </c>
      <c r="AF230" s="3">
        <f>1/7</f>
        <v>0.14285714285714285</v>
      </c>
      <c r="AG230" s="3">
        <f>1/9</f>
        <v>0.1111111111111111</v>
      </c>
      <c r="AH230" s="3">
        <f>1/6</f>
        <v>0.16666666666666666</v>
      </c>
      <c r="AI230" s="3">
        <f t="shared" ref="AI230:AJ234" si="1">1/4</f>
        <v>0.25</v>
      </c>
      <c r="AJ230" s="3">
        <f t="shared" si="1"/>
        <v>0.25</v>
      </c>
      <c r="AK230" s="3">
        <f>1/6</f>
        <v>0.16666666666666666</v>
      </c>
    </row>
    <row r="231" spans="2:37" x14ac:dyDescent="0.5">
      <c r="B231" s="17" t="s">
        <v>4</v>
      </c>
      <c r="C231" s="11">
        <v>9</v>
      </c>
      <c r="D231" s="1">
        <v>8</v>
      </c>
      <c r="E231" s="1">
        <v>7</v>
      </c>
      <c r="F231" s="1">
        <v>6</v>
      </c>
      <c r="G231" s="1">
        <v>5</v>
      </c>
      <c r="H231" s="1">
        <v>4</v>
      </c>
      <c r="I231" s="1">
        <v>3</v>
      </c>
      <c r="J231" s="1">
        <v>2</v>
      </c>
      <c r="K231" s="1">
        <v>1</v>
      </c>
      <c r="L231" s="33">
        <v>2</v>
      </c>
      <c r="M231" s="1">
        <v>3</v>
      </c>
      <c r="N231" s="1">
        <v>4</v>
      </c>
      <c r="O231" s="1">
        <v>5</v>
      </c>
      <c r="P231" s="1">
        <v>6</v>
      </c>
      <c r="Q231" s="1">
        <v>7</v>
      </c>
      <c r="R231" s="1">
        <v>8</v>
      </c>
      <c r="S231" s="12">
        <v>9</v>
      </c>
      <c r="T231" s="12" t="s">
        <v>11</v>
      </c>
      <c r="V231" s="2" t="s">
        <v>9</v>
      </c>
      <c r="W231" s="3">
        <f>1/AB226</f>
        <v>0.5</v>
      </c>
      <c r="X231" s="3">
        <f>1/AB227</f>
        <v>0.1111111111111111</v>
      </c>
      <c r="Y231" s="3">
        <f>1/AB228</f>
        <v>0.2</v>
      </c>
      <c r="Z231" s="3">
        <f>1/AB229</f>
        <v>0.2</v>
      </c>
      <c r="AA231" s="3">
        <f>1/AB230</f>
        <v>1</v>
      </c>
      <c r="AB231" s="3">
        <v>1</v>
      </c>
      <c r="AC231" s="3">
        <f t="shared" si="0"/>
        <v>0.2</v>
      </c>
      <c r="AD231" s="3">
        <f t="shared" si="0"/>
        <v>0.2</v>
      </c>
      <c r="AE231" s="3">
        <f t="shared" si="0"/>
        <v>0.2</v>
      </c>
      <c r="AF231" s="3">
        <f>1/7</f>
        <v>0.14285714285714285</v>
      </c>
      <c r="AG231" s="3">
        <f>1/9</f>
        <v>0.1111111111111111</v>
      </c>
      <c r="AH231" s="3">
        <f>1/6</f>
        <v>0.16666666666666666</v>
      </c>
      <c r="AI231" s="3">
        <f t="shared" si="1"/>
        <v>0.25</v>
      </c>
      <c r="AJ231" s="3">
        <f t="shared" si="1"/>
        <v>0.25</v>
      </c>
      <c r="AK231" s="3">
        <f>1/6</f>
        <v>0.16666666666666666</v>
      </c>
    </row>
    <row r="232" spans="2:37" x14ac:dyDescent="0.5">
      <c r="B232" s="17" t="s">
        <v>4</v>
      </c>
      <c r="C232" s="11">
        <v>9</v>
      </c>
      <c r="D232" s="1">
        <v>8</v>
      </c>
      <c r="E232" s="1">
        <v>7</v>
      </c>
      <c r="F232" s="1">
        <v>6</v>
      </c>
      <c r="G232" s="1">
        <v>5</v>
      </c>
      <c r="H232" s="1">
        <v>4</v>
      </c>
      <c r="I232" s="1">
        <v>3</v>
      </c>
      <c r="J232" s="1">
        <v>2</v>
      </c>
      <c r="K232" s="1">
        <v>1</v>
      </c>
      <c r="L232" s="33">
        <v>2</v>
      </c>
      <c r="M232" s="1">
        <v>3</v>
      </c>
      <c r="N232" s="1">
        <v>4</v>
      </c>
      <c r="O232" s="1">
        <v>5</v>
      </c>
      <c r="P232" s="1">
        <v>6</v>
      </c>
      <c r="Q232" s="1">
        <v>7</v>
      </c>
      <c r="R232" s="1">
        <v>8</v>
      </c>
      <c r="S232" s="12">
        <v>9</v>
      </c>
      <c r="T232" s="12" t="s">
        <v>12</v>
      </c>
      <c r="V232" s="2" t="s">
        <v>10</v>
      </c>
      <c r="W232" s="3">
        <f>1/AC226</f>
        <v>3</v>
      </c>
      <c r="X232" s="3">
        <f>1/AC227</f>
        <v>0.2</v>
      </c>
      <c r="Y232" s="3">
        <f>1/AC228</f>
        <v>0.33333333333333331</v>
      </c>
      <c r="Z232" s="3">
        <f>1/AC229</f>
        <v>0.33333333333333331</v>
      </c>
      <c r="AA232" s="3">
        <f>1/AC230</f>
        <v>5</v>
      </c>
      <c r="AB232" s="3">
        <f>1/AC231</f>
        <v>5</v>
      </c>
      <c r="AC232" s="3">
        <v>1</v>
      </c>
      <c r="AD232" s="3">
        <v>1</v>
      </c>
      <c r="AE232" s="3">
        <v>1</v>
      </c>
      <c r="AF232" s="3">
        <f>1/4</f>
        <v>0.25</v>
      </c>
      <c r="AG232" s="3">
        <f>1/6</f>
        <v>0.16666666666666666</v>
      </c>
      <c r="AH232" s="3">
        <f>1/5</f>
        <v>0.2</v>
      </c>
      <c r="AI232" s="3">
        <f t="shared" si="1"/>
        <v>0.25</v>
      </c>
      <c r="AJ232" s="3">
        <f t="shared" si="1"/>
        <v>0.25</v>
      </c>
      <c r="AK232" s="3">
        <f>1/5</f>
        <v>0.2</v>
      </c>
    </row>
    <row r="233" spans="2:37" x14ac:dyDescent="0.5">
      <c r="B233" s="17" t="s">
        <v>4</v>
      </c>
      <c r="C233" s="11">
        <v>9</v>
      </c>
      <c r="D233" s="1">
        <v>8</v>
      </c>
      <c r="E233" s="1">
        <v>7</v>
      </c>
      <c r="F233" s="1">
        <v>6</v>
      </c>
      <c r="G233" s="1">
        <v>5</v>
      </c>
      <c r="H233" s="1">
        <v>4</v>
      </c>
      <c r="I233" s="1">
        <v>3</v>
      </c>
      <c r="J233" s="1">
        <v>2</v>
      </c>
      <c r="K233" s="1">
        <v>1</v>
      </c>
      <c r="L233" s="1">
        <v>2</v>
      </c>
      <c r="M233" s="1">
        <v>3</v>
      </c>
      <c r="N233" s="1">
        <v>4</v>
      </c>
      <c r="O233" s="1">
        <v>5</v>
      </c>
      <c r="P233" s="33">
        <v>6</v>
      </c>
      <c r="Q233" s="1">
        <v>7</v>
      </c>
      <c r="R233" s="1">
        <v>8</v>
      </c>
      <c r="S233" s="12">
        <v>9</v>
      </c>
      <c r="T233" s="12" t="s">
        <v>13</v>
      </c>
      <c r="V233" s="2" t="s">
        <v>11</v>
      </c>
      <c r="W233" s="3">
        <f>1/AD226</f>
        <v>2</v>
      </c>
      <c r="X233" s="3">
        <f>1/AD227</f>
        <v>0.2</v>
      </c>
      <c r="Y233" s="3">
        <f>1/AD228</f>
        <v>0.33333333333333331</v>
      </c>
      <c r="Z233" s="3">
        <f>1/AD229</f>
        <v>0.33333333333333331</v>
      </c>
      <c r="AA233" s="3">
        <f>1/AD230</f>
        <v>5</v>
      </c>
      <c r="AB233" s="3">
        <f>1/AD231</f>
        <v>5</v>
      </c>
      <c r="AC233" s="3">
        <f>1/AD232</f>
        <v>1</v>
      </c>
      <c r="AD233" s="3">
        <v>1</v>
      </c>
      <c r="AE233" s="3">
        <v>1</v>
      </c>
      <c r="AF233" s="3">
        <f>1/4</f>
        <v>0.25</v>
      </c>
      <c r="AG233" s="3">
        <f>1/6</f>
        <v>0.16666666666666666</v>
      </c>
      <c r="AH233" s="3">
        <f>1/5</f>
        <v>0.2</v>
      </c>
      <c r="AI233" s="3">
        <f t="shared" si="1"/>
        <v>0.25</v>
      </c>
      <c r="AJ233" s="3">
        <f t="shared" si="1"/>
        <v>0.25</v>
      </c>
      <c r="AK233" s="3">
        <f>1/5</f>
        <v>0.2</v>
      </c>
    </row>
    <row r="234" spans="2:37" x14ac:dyDescent="0.5">
      <c r="B234" s="17" t="s">
        <v>4</v>
      </c>
      <c r="C234" s="11">
        <v>9</v>
      </c>
      <c r="D234" s="1">
        <v>8</v>
      </c>
      <c r="E234" s="1">
        <v>7</v>
      </c>
      <c r="F234" s="1">
        <v>6</v>
      </c>
      <c r="G234" s="1">
        <v>5</v>
      </c>
      <c r="H234" s="1">
        <v>4</v>
      </c>
      <c r="I234" s="1">
        <v>3</v>
      </c>
      <c r="J234" s="1">
        <v>2</v>
      </c>
      <c r="K234" s="1">
        <v>1</v>
      </c>
      <c r="L234" s="1">
        <v>2</v>
      </c>
      <c r="M234" s="1">
        <v>3</v>
      </c>
      <c r="N234" s="1">
        <v>4</v>
      </c>
      <c r="O234" s="1">
        <v>5</v>
      </c>
      <c r="P234" s="1">
        <v>6</v>
      </c>
      <c r="Q234" s="1">
        <v>7</v>
      </c>
      <c r="R234" s="1">
        <v>8</v>
      </c>
      <c r="S234" s="36">
        <v>9</v>
      </c>
      <c r="T234" s="12" t="s">
        <v>14</v>
      </c>
      <c r="V234" s="2" t="s">
        <v>12</v>
      </c>
      <c r="W234" s="3">
        <f>1/AE226</f>
        <v>2</v>
      </c>
      <c r="X234" s="3">
        <f>1/AE227</f>
        <v>0.2</v>
      </c>
      <c r="Y234" s="3">
        <f>1/AE228</f>
        <v>0.33333333333333331</v>
      </c>
      <c r="Z234" s="3">
        <f>1/AE229</f>
        <v>0.33333333333333331</v>
      </c>
      <c r="AA234" s="3">
        <f>1/AE230</f>
        <v>5</v>
      </c>
      <c r="AB234" s="3">
        <f>1/AE231</f>
        <v>5</v>
      </c>
      <c r="AC234" s="3">
        <f>1/AE232</f>
        <v>1</v>
      </c>
      <c r="AD234" s="3">
        <f>1/AE233</f>
        <v>1</v>
      </c>
      <c r="AE234" s="3">
        <v>1</v>
      </c>
      <c r="AF234" s="3">
        <f>1/4</f>
        <v>0.25</v>
      </c>
      <c r="AG234" s="3">
        <f>1/6</f>
        <v>0.16666666666666666</v>
      </c>
      <c r="AH234" s="3">
        <f>1/5</f>
        <v>0.2</v>
      </c>
      <c r="AI234" s="3">
        <f t="shared" si="1"/>
        <v>0.25</v>
      </c>
      <c r="AJ234" s="3">
        <f t="shared" si="1"/>
        <v>0.25</v>
      </c>
      <c r="AK234" s="3">
        <f>1/5</f>
        <v>0.2</v>
      </c>
    </row>
    <row r="235" spans="2:37" x14ac:dyDescent="0.5">
      <c r="B235" s="17" t="s">
        <v>4</v>
      </c>
      <c r="C235" s="11">
        <v>9</v>
      </c>
      <c r="D235" s="1">
        <v>8</v>
      </c>
      <c r="E235" s="1">
        <v>7</v>
      </c>
      <c r="F235" s="1">
        <v>6</v>
      </c>
      <c r="G235" s="1">
        <v>5</v>
      </c>
      <c r="H235" s="1">
        <v>4</v>
      </c>
      <c r="I235" s="1">
        <v>3</v>
      </c>
      <c r="J235" s="1">
        <v>2</v>
      </c>
      <c r="K235" s="1">
        <v>1</v>
      </c>
      <c r="L235" s="33">
        <v>2</v>
      </c>
      <c r="M235" s="1">
        <v>3</v>
      </c>
      <c r="N235" s="1">
        <v>4</v>
      </c>
      <c r="O235" s="1">
        <v>5</v>
      </c>
      <c r="P235" s="1">
        <v>6</v>
      </c>
      <c r="Q235" s="1">
        <v>7</v>
      </c>
      <c r="R235" s="1">
        <v>8</v>
      </c>
      <c r="S235" s="12">
        <v>9</v>
      </c>
      <c r="T235" s="12" t="s">
        <v>15</v>
      </c>
      <c r="V235" s="2" t="s">
        <v>13</v>
      </c>
      <c r="W235" s="3">
        <f>1/AF226</f>
        <v>6</v>
      </c>
      <c r="X235" s="3">
        <f>1/AF227</f>
        <v>0.33333333333333331</v>
      </c>
      <c r="Y235" s="3">
        <f>1/AF228</f>
        <v>6</v>
      </c>
      <c r="Z235" s="3">
        <f>1/AF229</f>
        <v>6</v>
      </c>
      <c r="AA235" s="3">
        <f>1/AF230</f>
        <v>7</v>
      </c>
      <c r="AB235" s="3">
        <f>1/AF231</f>
        <v>7</v>
      </c>
      <c r="AC235" s="3">
        <f>1/AF232</f>
        <v>4</v>
      </c>
      <c r="AD235" s="3">
        <f>1/AF233</f>
        <v>4</v>
      </c>
      <c r="AE235" s="3">
        <f>1/AF234</f>
        <v>4</v>
      </c>
      <c r="AF235" s="3">
        <v>1</v>
      </c>
      <c r="AG235" s="3">
        <f>1/3</f>
        <v>0.33333333333333331</v>
      </c>
      <c r="AH235" s="3">
        <v>3</v>
      </c>
      <c r="AI235" s="3">
        <v>4</v>
      </c>
      <c r="AJ235" s="3">
        <v>4</v>
      </c>
      <c r="AK235" s="3">
        <v>3</v>
      </c>
    </row>
    <row r="236" spans="2:37" x14ac:dyDescent="0.5">
      <c r="B236" s="17" t="s">
        <v>4</v>
      </c>
      <c r="C236" s="11">
        <v>9</v>
      </c>
      <c r="D236" s="1">
        <v>8</v>
      </c>
      <c r="E236" s="1">
        <v>7</v>
      </c>
      <c r="F236" s="1">
        <v>6</v>
      </c>
      <c r="G236" s="1">
        <v>5</v>
      </c>
      <c r="H236" s="1">
        <v>4</v>
      </c>
      <c r="I236" s="1">
        <v>3</v>
      </c>
      <c r="J236" s="1">
        <v>2</v>
      </c>
      <c r="K236" s="1">
        <v>1</v>
      </c>
      <c r="L236" s="1">
        <v>2</v>
      </c>
      <c r="M236" s="33">
        <v>3</v>
      </c>
      <c r="N236" s="1">
        <v>4</v>
      </c>
      <c r="O236" s="1">
        <v>5</v>
      </c>
      <c r="P236" s="1">
        <v>6</v>
      </c>
      <c r="Q236" s="1">
        <v>7</v>
      </c>
      <c r="R236" s="1">
        <v>8</v>
      </c>
      <c r="S236" s="12">
        <v>9</v>
      </c>
      <c r="T236" s="12" t="s">
        <v>16</v>
      </c>
      <c r="V236" s="2" t="s">
        <v>14</v>
      </c>
      <c r="W236" s="3">
        <f>1/AG226</f>
        <v>9</v>
      </c>
      <c r="X236" s="3">
        <f>1/AG227</f>
        <v>3</v>
      </c>
      <c r="Y236" s="3">
        <f>1/AG228</f>
        <v>8</v>
      </c>
      <c r="Z236" s="3">
        <f>1/AG229</f>
        <v>8</v>
      </c>
      <c r="AA236" s="3">
        <f>1/AG230</f>
        <v>9</v>
      </c>
      <c r="AB236" s="3">
        <f>1/AG231</f>
        <v>9</v>
      </c>
      <c r="AC236" s="3">
        <f>1/AG232</f>
        <v>6</v>
      </c>
      <c r="AD236" s="3">
        <f>1/AG233</f>
        <v>6</v>
      </c>
      <c r="AE236" s="3">
        <f>1/AG234</f>
        <v>6</v>
      </c>
      <c r="AF236" s="3">
        <f>1/AG235</f>
        <v>3</v>
      </c>
      <c r="AG236" s="3">
        <v>1</v>
      </c>
      <c r="AH236" s="3">
        <v>6</v>
      </c>
      <c r="AI236" s="3">
        <v>7</v>
      </c>
      <c r="AJ236" s="3">
        <v>7</v>
      </c>
      <c r="AK236" s="3">
        <v>6</v>
      </c>
    </row>
    <row r="237" spans="2:37" x14ac:dyDescent="0.5">
      <c r="B237" s="17" t="s">
        <v>4</v>
      </c>
      <c r="C237" s="11">
        <v>9</v>
      </c>
      <c r="D237" s="1">
        <v>8</v>
      </c>
      <c r="E237" s="1">
        <v>7</v>
      </c>
      <c r="F237" s="1">
        <v>6</v>
      </c>
      <c r="G237" s="1">
        <v>5</v>
      </c>
      <c r="H237" s="1">
        <v>4</v>
      </c>
      <c r="I237" s="1">
        <v>3</v>
      </c>
      <c r="J237" s="1">
        <v>2</v>
      </c>
      <c r="K237" s="1">
        <v>1</v>
      </c>
      <c r="L237" s="1">
        <v>2</v>
      </c>
      <c r="M237" s="33">
        <v>3</v>
      </c>
      <c r="N237" s="1">
        <v>4</v>
      </c>
      <c r="O237" s="1">
        <v>5</v>
      </c>
      <c r="P237" s="1">
        <v>6</v>
      </c>
      <c r="Q237" s="1">
        <v>7</v>
      </c>
      <c r="R237" s="1">
        <v>8</v>
      </c>
      <c r="S237" s="12">
        <v>9</v>
      </c>
      <c r="T237" s="12" t="s">
        <v>17</v>
      </c>
      <c r="V237" s="2" t="s">
        <v>15</v>
      </c>
      <c r="W237" s="3">
        <f>1/AH226</f>
        <v>2</v>
      </c>
      <c r="X237" s="3">
        <f>1/AH227</f>
        <v>0.25</v>
      </c>
      <c r="Y237" s="3">
        <f>1/AH228</f>
        <v>3</v>
      </c>
      <c r="Z237" s="3">
        <f>1/AH229</f>
        <v>3</v>
      </c>
      <c r="AA237" s="3">
        <f>1/AH230</f>
        <v>6</v>
      </c>
      <c r="AB237" s="3">
        <f>1/AH231</f>
        <v>6</v>
      </c>
      <c r="AC237" s="3">
        <f>1/AH232</f>
        <v>5</v>
      </c>
      <c r="AD237" s="3">
        <f>1/AH233</f>
        <v>5</v>
      </c>
      <c r="AE237" s="3">
        <f>1/AH234</f>
        <v>5</v>
      </c>
      <c r="AF237" s="3">
        <f>1/AH235</f>
        <v>0.33333333333333331</v>
      </c>
      <c r="AG237" s="3">
        <f>1/AH236</f>
        <v>0.16666666666666666</v>
      </c>
      <c r="AH237" s="3">
        <v>1</v>
      </c>
      <c r="AI237" s="3">
        <v>2</v>
      </c>
      <c r="AJ237" s="3">
        <v>2</v>
      </c>
      <c r="AK237" s="3">
        <v>1</v>
      </c>
    </row>
    <row r="238" spans="2:37" x14ac:dyDescent="0.5">
      <c r="B238" s="13" t="s">
        <v>4</v>
      </c>
      <c r="C238" s="13">
        <v>9</v>
      </c>
      <c r="D238" s="14">
        <v>8</v>
      </c>
      <c r="E238" s="14">
        <v>7</v>
      </c>
      <c r="F238" s="14">
        <v>6</v>
      </c>
      <c r="G238" s="14">
        <v>5</v>
      </c>
      <c r="H238" s="14">
        <v>4</v>
      </c>
      <c r="I238" s="14">
        <v>3</v>
      </c>
      <c r="J238" s="14">
        <v>2</v>
      </c>
      <c r="K238" s="14">
        <v>1</v>
      </c>
      <c r="L238" s="34">
        <v>2</v>
      </c>
      <c r="M238" s="14">
        <v>3</v>
      </c>
      <c r="N238" s="14">
        <v>4</v>
      </c>
      <c r="O238" s="14">
        <v>5</v>
      </c>
      <c r="P238" s="14">
        <v>6</v>
      </c>
      <c r="Q238" s="14">
        <v>7</v>
      </c>
      <c r="R238" s="14">
        <v>8</v>
      </c>
      <c r="S238" s="15">
        <v>9</v>
      </c>
      <c r="T238" s="15" t="s">
        <v>18</v>
      </c>
      <c r="V238" s="2" t="s">
        <v>16</v>
      </c>
      <c r="W238" s="3">
        <f>1/AI226</f>
        <v>3</v>
      </c>
      <c r="X238" s="3">
        <f>1/AI227</f>
        <v>0.16666666666666666</v>
      </c>
      <c r="Y238" s="3">
        <f>1/AI228</f>
        <v>0.5</v>
      </c>
      <c r="Z238" s="3">
        <f>1/AI229</f>
        <v>2</v>
      </c>
      <c r="AA238" s="3">
        <f>1/AI230</f>
        <v>4</v>
      </c>
      <c r="AB238" s="3">
        <f>1/AI231</f>
        <v>4</v>
      </c>
      <c r="AC238" s="3">
        <f>1/AI232</f>
        <v>4</v>
      </c>
      <c r="AD238" s="3">
        <f>1/AI233</f>
        <v>4</v>
      </c>
      <c r="AE238" s="3">
        <f>1/AI234</f>
        <v>4</v>
      </c>
      <c r="AF238" s="3">
        <f>1/AI235</f>
        <v>0.25</v>
      </c>
      <c r="AG238" s="3">
        <f>1/AI236</f>
        <v>0.14285714285714285</v>
      </c>
      <c r="AH238" s="3">
        <f>1/AI237</f>
        <v>0.5</v>
      </c>
      <c r="AI238" s="3">
        <v>1</v>
      </c>
      <c r="AJ238" s="3">
        <v>1</v>
      </c>
      <c r="AK238" s="3">
        <f>1/2</f>
        <v>0.5</v>
      </c>
    </row>
    <row r="239" spans="2:37" x14ac:dyDescent="0.5">
      <c r="B239" s="16" t="s">
        <v>5</v>
      </c>
      <c r="C239" s="11">
        <v>9</v>
      </c>
      <c r="D239" s="1">
        <v>8</v>
      </c>
      <c r="E239" s="1">
        <v>7</v>
      </c>
      <c r="F239" s="1">
        <v>6</v>
      </c>
      <c r="G239" s="1">
        <v>5</v>
      </c>
      <c r="H239" s="1">
        <v>4</v>
      </c>
      <c r="I239" s="33">
        <v>3</v>
      </c>
      <c r="J239" s="1">
        <v>2</v>
      </c>
      <c r="K239" s="1">
        <v>1</v>
      </c>
      <c r="L239" s="1">
        <v>2</v>
      </c>
      <c r="M239" s="1">
        <v>3</v>
      </c>
      <c r="N239" s="1">
        <v>4</v>
      </c>
      <c r="O239" s="1">
        <v>5</v>
      </c>
      <c r="P239" s="1">
        <v>6</v>
      </c>
      <c r="Q239" s="1">
        <v>7</v>
      </c>
      <c r="R239" s="1">
        <v>8</v>
      </c>
      <c r="S239" s="12">
        <v>9</v>
      </c>
      <c r="T239" s="12" t="s">
        <v>6</v>
      </c>
      <c r="V239" s="2" t="s">
        <v>17</v>
      </c>
      <c r="W239" s="3">
        <f>1/AJ226</f>
        <v>3</v>
      </c>
      <c r="X239" s="3">
        <f>1/AJ227</f>
        <v>0.16666666666666666</v>
      </c>
      <c r="Y239" s="3">
        <f>1/AJ228</f>
        <v>0.5</v>
      </c>
      <c r="Z239" s="3">
        <f>1/AJ229</f>
        <v>2</v>
      </c>
      <c r="AA239" s="3">
        <f>1/AJ230</f>
        <v>4</v>
      </c>
      <c r="AB239" s="3">
        <f>1/AJ231</f>
        <v>4</v>
      </c>
      <c r="AC239" s="3">
        <f>1/AJ232</f>
        <v>4</v>
      </c>
      <c r="AD239" s="3">
        <f>1/AJ233</f>
        <v>4</v>
      </c>
      <c r="AE239" s="3">
        <f>1/AJ234</f>
        <v>4</v>
      </c>
      <c r="AF239" s="3">
        <f>1/AJ235</f>
        <v>0.25</v>
      </c>
      <c r="AG239" s="3">
        <f>1/AJ236</f>
        <v>0.14285714285714285</v>
      </c>
      <c r="AH239" s="3">
        <f>1/AJ237</f>
        <v>0.5</v>
      </c>
      <c r="AI239" s="3">
        <f>1/AJ238</f>
        <v>1</v>
      </c>
      <c r="AJ239" s="3">
        <v>1</v>
      </c>
      <c r="AK239" s="3">
        <f>1/2</f>
        <v>0.5</v>
      </c>
    </row>
    <row r="240" spans="2:37" x14ac:dyDescent="0.5">
      <c r="B240" s="17" t="s">
        <v>5</v>
      </c>
      <c r="C240" s="11">
        <v>9</v>
      </c>
      <c r="D240" s="1">
        <v>8</v>
      </c>
      <c r="E240" s="1">
        <v>7</v>
      </c>
      <c r="F240" s="1">
        <v>6</v>
      </c>
      <c r="G240" s="1">
        <v>5</v>
      </c>
      <c r="H240" s="1">
        <v>4</v>
      </c>
      <c r="I240" s="32">
        <v>3</v>
      </c>
      <c r="J240" s="1">
        <v>2</v>
      </c>
      <c r="K240" s="1">
        <v>1</v>
      </c>
      <c r="L240" s="1">
        <v>2</v>
      </c>
      <c r="M240" s="1">
        <v>3</v>
      </c>
      <c r="N240" s="1">
        <v>4</v>
      </c>
      <c r="O240" s="1">
        <v>5</v>
      </c>
      <c r="P240" s="1">
        <v>6</v>
      </c>
      <c r="Q240" s="1">
        <v>7</v>
      </c>
      <c r="R240" s="1">
        <v>8</v>
      </c>
      <c r="S240" s="12">
        <v>9</v>
      </c>
      <c r="T240" s="12" t="s">
        <v>7</v>
      </c>
      <c r="V240" s="2" t="s">
        <v>18</v>
      </c>
      <c r="W240" s="3">
        <f>1/AK226</f>
        <v>2</v>
      </c>
      <c r="X240" s="3">
        <f>1/AK227</f>
        <v>0.25</v>
      </c>
      <c r="Y240" s="3">
        <f>1/AK228</f>
        <v>3</v>
      </c>
      <c r="Z240" s="3">
        <f>1/AK229</f>
        <v>3</v>
      </c>
      <c r="AA240" s="3">
        <f>1/AK230</f>
        <v>6</v>
      </c>
      <c r="AB240" s="3">
        <f>1/AK231</f>
        <v>6</v>
      </c>
      <c r="AC240" s="3">
        <f>1/AK232</f>
        <v>5</v>
      </c>
      <c r="AD240" s="3">
        <f>1/AK233</f>
        <v>5</v>
      </c>
      <c r="AE240" s="3">
        <f>1/AK234</f>
        <v>5</v>
      </c>
      <c r="AF240" s="3">
        <f>1/AK235</f>
        <v>0.33333333333333331</v>
      </c>
      <c r="AG240" s="3">
        <f>1/AK236</f>
        <v>0.16666666666666666</v>
      </c>
      <c r="AH240" s="3">
        <f>1/AK237</f>
        <v>1</v>
      </c>
      <c r="AI240" s="3">
        <f>1/AK238</f>
        <v>2</v>
      </c>
      <c r="AJ240" s="3">
        <f>1/AK239</f>
        <v>2</v>
      </c>
      <c r="AK240" s="3">
        <v>1</v>
      </c>
    </row>
    <row r="241" spans="2:20" x14ac:dyDescent="0.5">
      <c r="B241" s="17" t="s">
        <v>5</v>
      </c>
      <c r="C241" s="38">
        <v>9</v>
      </c>
      <c r="D241" s="1">
        <v>8</v>
      </c>
      <c r="E241" s="1">
        <v>7</v>
      </c>
      <c r="F241" s="1">
        <v>6</v>
      </c>
      <c r="G241" s="1">
        <v>5</v>
      </c>
      <c r="H241" s="1">
        <v>4</v>
      </c>
      <c r="I241" s="1">
        <v>3</v>
      </c>
      <c r="J241" s="1">
        <v>2</v>
      </c>
      <c r="K241" s="1">
        <v>1</v>
      </c>
      <c r="L241" s="1">
        <v>2</v>
      </c>
      <c r="M241" s="1">
        <v>3</v>
      </c>
      <c r="N241" s="1">
        <v>4</v>
      </c>
      <c r="O241" s="1">
        <v>5</v>
      </c>
      <c r="P241" s="1">
        <v>6</v>
      </c>
      <c r="Q241" s="1">
        <v>7</v>
      </c>
      <c r="R241" s="1">
        <v>8</v>
      </c>
      <c r="S241" s="12">
        <v>9</v>
      </c>
      <c r="T241" s="12" t="s">
        <v>8</v>
      </c>
    </row>
    <row r="242" spans="2:20" x14ac:dyDescent="0.5">
      <c r="B242" s="17" t="s">
        <v>5</v>
      </c>
      <c r="C242" s="38">
        <v>9</v>
      </c>
      <c r="D242" s="1">
        <v>8</v>
      </c>
      <c r="E242" s="1">
        <v>7</v>
      </c>
      <c r="F242" s="1">
        <v>6</v>
      </c>
      <c r="G242" s="1">
        <v>5</v>
      </c>
      <c r="H242" s="1">
        <v>4</v>
      </c>
      <c r="I242" s="1">
        <v>3</v>
      </c>
      <c r="J242" s="1">
        <v>2</v>
      </c>
      <c r="K242" s="1">
        <v>1</v>
      </c>
      <c r="L242" s="1">
        <v>2</v>
      </c>
      <c r="M242" s="1">
        <v>3</v>
      </c>
      <c r="N242" s="1">
        <v>4</v>
      </c>
      <c r="O242" s="1">
        <v>5</v>
      </c>
      <c r="P242" s="1">
        <v>6</v>
      </c>
      <c r="Q242" s="1">
        <v>7</v>
      </c>
      <c r="R242" s="1">
        <v>8</v>
      </c>
      <c r="S242" s="12">
        <v>9</v>
      </c>
      <c r="T242" s="12" t="s">
        <v>9</v>
      </c>
    </row>
    <row r="243" spans="2:20" x14ac:dyDescent="0.5">
      <c r="B243" s="17" t="s">
        <v>5</v>
      </c>
      <c r="C243" s="11">
        <v>9</v>
      </c>
      <c r="D243" s="1">
        <v>8</v>
      </c>
      <c r="E243" s="1">
        <v>7</v>
      </c>
      <c r="F243" s="1">
        <v>6</v>
      </c>
      <c r="G243" s="33">
        <v>5</v>
      </c>
      <c r="H243" s="1">
        <v>4</v>
      </c>
      <c r="I243" s="1">
        <v>3</v>
      </c>
      <c r="J243" s="1">
        <v>2</v>
      </c>
      <c r="K243" s="1">
        <v>1</v>
      </c>
      <c r="L243" s="1">
        <v>2</v>
      </c>
      <c r="M243" s="1">
        <v>3</v>
      </c>
      <c r="N243" s="1">
        <v>4</v>
      </c>
      <c r="O243" s="1">
        <v>5</v>
      </c>
      <c r="P243" s="1">
        <v>6</v>
      </c>
      <c r="Q243" s="1">
        <v>7</v>
      </c>
      <c r="R243" s="1">
        <v>8</v>
      </c>
      <c r="S243" s="12">
        <v>9</v>
      </c>
      <c r="T243" s="12" t="s">
        <v>10</v>
      </c>
    </row>
    <row r="244" spans="2:20" x14ac:dyDescent="0.5">
      <c r="B244" s="17" t="s">
        <v>5</v>
      </c>
      <c r="C244" s="11">
        <v>9</v>
      </c>
      <c r="D244" s="1">
        <v>8</v>
      </c>
      <c r="E244" s="1">
        <v>7</v>
      </c>
      <c r="F244" s="1">
        <v>6</v>
      </c>
      <c r="G244" s="33">
        <v>5</v>
      </c>
      <c r="H244" s="1">
        <v>4</v>
      </c>
      <c r="I244" s="1">
        <v>3</v>
      </c>
      <c r="J244" s="1">
        <v>2</v>
      </c>
      <c r="K244" s="1">
        <v>1</v>
      </c>
      <c r="L244" s="1">
        <v>2</v>
      </c>
      <c r="M244" s="1">
        <v>3</v>
      </c>
      <c r="N244" s="1">
        <v>4</v>
      </c>
      <c r="O244" s="1">
        <v>5</v>
      </c>
      <c r="P244" s="1">
        <v>6</v>
      </c>
      <c r="Q244" s="1">
        <v>7</v>
      </c>
      <c r="R244" s="1">
        <v>8</v>
      </c>
      <c r="S244" s="12">
        <v>9</v>
      </c>
      <c r="T244" s="12" t="s">
        <v>11</v>
      </c>
    </row>
    <row r="245" spans="2:20" x14ac:dyDescent="0.5">
      <c r="B245" s="17" t="s">
        <v>5</v>
      </c>
      <c r="C245" s="11">
        <v>9</v>
      </c>
      <c r="D245" s="1">
        <v>8</v>
      </c>
      <c r="E245" s="1">
        <v>7</v>
      </c>
      <c r="F245" s="1">
        <v>6</v>
      </c>
      <c r="G245" s="33">
        <v>5</v>
      </c>
      <c r="H245" s="1">
        <v>4</v>
      </c>
      <c r="I245" s="1">
        <v>3</v>
      </c>
      <c r="J245" s="1">
        <v>2</v>
      </c>
      <c r="K245" s="1">
        <v>1</v>
      </c>
      <c r="L245" s="1">
        <v>2</v>
      </c>
      <c r="M245" s="1">
        <v>3</v>
      </c>
      <c r="N245" s="1">
        <v>4</v>
      </c>
      <c r="O245" s="1">
        <v>5</v>
      </c>
      <c r="P245" s="1">
        <v>6</v>
      </c>
      <c r="Q245" s="1">
        <v>7</v>
      </c>
      <c r="R245" s="1">
        <v>8</v>
      </c>
      <c r="S245" s="12">
        <v>9</v>
      </c>
      <c r="T245" s="12" t="s">
        <v>12</v>
      </c>
    </row>
    <row r="246" spans="2:20" x14ac:dyDescent="0.5">
      <c r="B246" s="17" t="s">
        <v>5</v>
      </c>
      <c r="C246" s="11">
        <v>9</v>
      </c>
      <c r="D246" s="1">
        <v>8</v>
      </c>
      <c r="E246" s="1">
        <v>7</v>
      </c>
      <c r="F246" s="1">
        <v>6</v>
      </c>
      <c r="G246" s="1">
        <v>5</v>
      </c>
      <c r="H246" s="1">
        <v>4</v>
      </c>
      <c r="I246" s="33">
        <v>3</v>
      </c>
      <c r="J246" s="1">
        <v>2</v>
      </c>
      <c r="K246" s="1">
        <v>1</v>
      </c>
      <c r="L246" s="1">
        <v>2</v>
      </c>
      <c r="M246" s="1">
        <v>3</v>
      </c>
      <c r="N246" s="1">
        <v>4</v>
      </c>
      <c r="O246" s="1">
        <v>5</v>
      </c>
      <c r="P246" s="1">
        <v>6</v>
      </c>
      <c r="Q246" s="1">
        <v>7</v>
      </c>
      <c r="R246" s="1">
        <v>8</v>
      </c>
      <c r="S246" s="12">
        <v>9</v>
      </c>
      <c r="T246" s="12" t="s">
        <v>13</v>
      </c>
    </row>
    <row r="247" spans="2:20" x14ac:dyDescent="0.5">
      <c r="B247" s="17" t="s">
        <v>5</v>
      </c>
      <c r="C247" s="11">
        <v>9</v>
      </c>
      <c r="D247" s="1">
        <v>8</v>
      </c>
      <c r="E247" s="1">
        <v>7</v>
      </c>
      <c r="F247" s="1">
        <v>6</v>
      </c>
      <c r="G247" s="1">
        <v>5</v>
      </c>
      <c r="H247" s="1">
        <v>4</v>
      </c>
      <c r="I247" s="1">
        <v>3</v>
      </c>
      <c r="J247" s="1">
        <v>2</v>
      </c>
      <c r="K247" s="1">
        <v>1</v>
      </c>
      <c r="L247" s="1">
        <v>2</v>
      </c>
      <c r="M247" s="33">
        <v>3</v>
      </c>
      <c r="N247" s="1">
        <v>4</v>
      </c>
      <c r="O247" s="1">
        <v>5</v>
      </c>
      <c r="P247" s="1">
        <v>6</v>
      </c>
      <c r="Q247" s="1">
        <v>7</v>
      </c>
      <c r="R247" s="1">
        <v>8</v>
      </c>
      <c r="S247" s="12">
        <v>9</v>
      </c>
      <c r="T247" s="12" t="s">
        <v>14</v>
      </c>
    </row>
    <row r="248" spans="2:20" x14ac:dyDescent="0.5">
      <c r="B248" s="17" t="s">
        <v>5</v>
      </c>
      <c r="C248" s="11">
        <v>9</v>
      </c>
      <c r="D248" s="1">
        <v>8</v>
      </c>
      <c r="E248" s="1">
        <v>7</v>
      </c>
      <c r="F248" s="1">
        <v>6</v>
      </c>
      <c r="G248" s="1">
        <v>5</v>
      </c>
      <c r="H248" s="33">
        <v>4</v>
      </c>
      <c r="I248" s="1">
        <v>3</v>
      </c>
      <c r="J248" s="1">
        <v>2</v>
      </c>
      <c r="K248" s="1">
        <v>1</v>
      </c>
      <c r="L248" s="1">
        <v>2</v>
      </c>
      <c r="M248" s="1">
        <v>3</v>
      </c>
      <c r="N248" s="1">
        <v>4</v>
      </c>
      <c r="O248" s="1">
        <v>5</v>
      </c>
      <c r="P248" s="1">
        <v>6</v>
      </c>
      <c r="Q248" s="1">
        <v>7</v>
      </c>
      <c r="R248" s="1">
        <v>8</v>
      </c>
      <c r="S248" s="12">
        <v>9</v>
      </c>
      <c r="T248" s="12" t="s">
        <v>15</v>
      </c>
    </row>
    <row r="249" spans="2:20" x14ac:dyDescent="0.5">
      <c r="B249" s="17" t="s">
        <v>5</v>
      </c>
      <c r="C249" s="11">
        <v>9</v>
      </c>
      <c r="D249" s="1">
        <v>8</v>
      </c>
      <c r="E249" s="1">
        <v>7</v>
      </c>
      <c r="F249" s="33">
        <v>6</v>
      </c>
      <c r="G249" s="1">
        <v>5</v>
      </c>
      <c r="H249" s="1">
        <v>4</v>
      </c>
      <c r="I249" s="1">
        <v>3</v>
      </c>
      <c r="J249" s="1">
        <v>2</v>
      </c>
      <c r="K249" s="1">
        <v>1</v>
      </c>
      <c r="L249" s="1">
        <v>2</v>
      </c>
      <c r="M249" s="1">
        <v>3</v>
      </c>
      <c r="N249" s="1">
        <v>4</v>
      </c>
      <c r="O249" s="1">
        <v>5</v>
      </c>
      <c r="P249" s="1">
        <v>6</v>
      </c>
      <c r="Q249" s="1">
        <v>7</v>
      </c>
      <c r="R249" s="1">
        <v>8</v>
      </c>
      <c r="S249" s="12">
        <v>9</v>
      </c>
      <c r="T249" s="12" t="s">
        <v>16</v>
      </c>
    </row>
    <row r="250" spans="2:20" x14ac:dyDescent="0.5">
      <c r="B250" s="17" t="s">
        <v>5</v>
      </c>
      <c r="C250" s="11">
        <v>9</v>
      </c>
      <c r="D250" s="1">
        <v>8</v>
      </c>
      <c r="E250" s="1">
        <v>7</v>
      </c>
      <c r="F250" s="33">
        <v>6</v>
      </c>
      <c r="G250" s="1">
        <v>5</v>
      </c>
      <c r="H250" s="1">
        <v>4</v>
      </c>
      <c r="I250" s="1">
        <v>3</v>
      </c>
      <c r="J250" s="1">
        <v>2</v>
      </c>
      <c r="K250" s="1">
        <v>1</v>
      </c>
      <c r="L250" s="1">
        <v>2</v>
      </c>
      <c r="M250" s="1">
        <v>3</v>
      </c>
      <c r="N250" s="1">
        <v>4</v>
      </c>
      <c r="O250" s="1">
        <v>5</v>
      </c>
      <c r="P250" s="1">
        <v>6</v>
      </c>
      <c r="Q250" s="1">
        <v>7</v>
      </c>
      <c r="R250" s="1">
        <v>8</v>
      </c>
      <c r="S250" s="12">
        <v>9</v>
      </c>
      <c r="T250" s="12" t="s">
        <v>17</v>
      </c>
    </row>
    <row r="251" spans="2:20" x14ac:dyDescent="0.5">
      <c r="B251" s="19" t="s">
        <v>5</v>
      </c>
      <c r="C251" s="13">
        <v>9</v>
      </c>
      <c r="D251" s="14">
        <v>8</v>
      </c>
      <c r="E251" s="14">
        <v>7</v>
      </c>
      <c r="F251" s="14">
        <v>6</v>
      </c>
      <c r="G251" s="14">
        <v>5</v>
      </c>
      <c r="H251" s="34">
        <v>4</v>
      </c>
      <c r="I251" s="14">
        <v>3</v>
      </c>
      <c r="J251" s="14">
        <v>2</v>
      </c>
      <c r="K251" s="14">
        <v>1</v>
      </c>
      <c r="L251" s="14">
        <v>2</v>
      </c>
      <c r="M251" s="14">
        <v>3</v>
      </c>
      <c r="N251" s="14">
        <v>4</v>
      </c>
      <c r="O251" s="14">
        <v>5</v>
      </c>
      <c r="P251" s="14">
        <v>6</v>
      </c>
      <c r="Q251" s="14">
        <v>7</v>
      </c>
      <c r="R251" s="14">
        <v>8</v>
      </c>
      <c r="S251" s="15">
        <v>9</v>
      </c>
      <c r="T251" s="15" t="s">
        <v>18</v>
      </c>
    </row>
    <row r="252" spans="2:20" x14ac:dyDescent="0.5">
      <c r="B252" s="16" t="s">
        <v>6</v>
      </c>
      <c r="C252" s="11">
        <v>9</v>
      </c>
      <c r="D252" s="1">
        <v>8</v>
      </c>
      <c r="E252" s="1">
        <v>7</v>
      </c>
      <c r="F252" s="1">
        <v>6</v>
      </c>
      <c r="G252" s="1">
        <v>5</v>
      </c>
      <c r="H252" s="1">
        <v>4</v>
      </c>
      <c r="I252" s="18">
        <v>3</v>
      </c>
      <c r="J252" s="1">
        <v>2</v>
      </c>
      <c r="K252" s="33">
        <v>1</v>
      </c>
      <c r="L252" s="1">
        <v>2</v>
      </c>
      <c r="M252" s="1">
        <v>3</v>
      </c>
      <c r="N252" s="1">
        <v>4</v>
      </c>
      <c r="O252" s="1">
        <v>5</v>
      </c>
      <c r="P252" s="1">
        <v>6</v>
      </c>
      <c r="Q252" s="1">
        <v>7</v>
      </c>
      <c r="R252" s="1">
        <v>8</v>
      </c>
      <c r="S252" s="12">
        <v>9</v>
      </c>
      <c r="T252" s="12" t="s">
        <v>7</v>
      </c>
    </row>
    <row r="253" spans="2:20" x14ac:dyDescent="0.5">
      <c r="B253" s="17" t="s">
        <v>6</v>
      </c>
      <c r="C253" s="11">
        <v>9</v>
      </c>
      <c r="D253" s="1">
        <v>8</v>
      </c>
      <c r="E253" s="1">
        <v>7</v>
      </c>
      <c r="F253" s="1">
        <v>6</v>
      </c>
      <c r="G253" s="33">
        <v>5</v>
      </c>
      <c r="H253" s="1">
        <v>4</v>
      </c>
      <c r="I253" s="1">
        <v>3</v>
      </c>
      <c r="J253" s="1">
        <v>2</v>
      </c>
      <c r="K253" s="1">
        <v>1</v>
      </c>
      <c r="L253" s="1">
        <v>2</v>
      </c>
      <c r="M253" s="1">
        <v>3</v>
      </c>
      <c r="N253" s="1">
        <v>4</v>
      </c>
      <c r="O253" s="1">
        <v>5</v>
      </c>
      <c r="P253" s="1">
        <v>6</v>
      </c>
      <c r="Q253" s="1">
        <v>7</v>
      </c>
      <c r="R253" s="1">
        <v>8</v>
      </c>
      <c r="S253" s="12">
        <v>9</v>
      </c>
      <c r="T253" s="12" t="s">
        <v>8</v>
      </c>
    </row>
    <row r="254" spans="2:20" x14ac:dyDescent="0.5">
      <c r="B254" s="17" t="s">
        <v>6</v>
      </c>
      <c r="C254" s="11">
        <v>9</v>
      </c>
      <c r="D254" s="1">
        <v>8</v>
      </c>
      <c r="E254" s="1">
        <v>7</v>
      </c>
      <c r="F254" s="1">
        <v>6</v>
      </c>
      <c r="G254" s="33">
        <v>5</v>
      </c>
      <c r="H254" s="1">
        <v>4</v>
      </c>
      <c r="I254" s="1">
        <v>3</v>
      </c>
      <c r="J254" s="1">
        <v>2</v>
      </c>
      <c r="K254" s="1">
        <v>1</v>
      </c>
      <c r="L254" s="1">
        <v>2</v>
      </c>
      <c r="M254" s="1">
        <v>3</v>
      </c>
      <c r="N254" s="1">
        <v>4</v>
      </c>
      <c r="O254" s="1">
        <v>5</v>
      </c>
      <c r="P254" s="1">
        <v>6</v>
      </c>
      <c r="Q254" s="1">
        <v>7</v>
      </c>
      <c r="R254" s="1">
        <v>8</v>
      </c>
      <c r="S254" s="12">
        <v>9</v>
      </c>
      <c r="T254" s="12" t="s">
        <v>9</v>
      </c>
    </row>
    <row r="255" spans="2:20" x14ac:dyDescent="0.5">
      <c r="B255" s="17" t="s">
        <v>6</v>
      </c>
      <c r="C255" s="11">
        <v>9</v>
      </c>
      <c r="D255" s="1">
        <v>8</v>
      </c>
      <c r="E255" s="1">
        <v>7</v>
      </c>
      <c r="F255" s="1">
        <v>6</v>
      </c>
      <c r="G255" s="1">
        <v>5</v>
      </c>
      <c r="H255" s="1">
        <v>4</v>
      </c>
      <c r="I255" s="33">
        <v>3</v>
      </c>
      <c r="J255" s="1">
        <v>2</v>
      </c>
      <c r="K255" s="1">
        <v>1</v>
      </c>
      <c r="L255" s="1">
        <v>2</v>
      </c>
      <c r="M255" s="1">
        <v>3</v>
      </c>
      <c r="N255" s="1">
        <v>4</v>
      </c>
      <c r="O255" s="1">
        <v>5</v>
      </c>
      <c r="P255" s="1">
        <v>6</v>
      </c>
      <c r="Q255" s="1">
        <v>7</v>
      </c>
      <c r="R255" s="1">
        <v>8</v>
      </c>
      <c r="S255" s="12">
        <v>9</v>
      </c>
      <c r="T255" s="12" t="s">
        <v>10</v>
      </c>
    </row>
    <row r="256" spans="2:20" x14ac:dyDescent="0.5">
      <c r="B256" s="17" t="s">
        <v>6</v>
      </c>
      <c r="C256" s="11">
        <v>9</v>
      </c>
      <c r="D256" s="1">
        <v>8</v>
      </c>
      <c r="E256" s="1">
        <v>7</v>
      </c>
      <c r="F256" s="1">
        <v>6</v>
      </c>
      <c r="G256" s="1">
        <v>5</v>
      </c>
      <c r="H256" s="1">
        <v>4</v>
      </c>
      <c r="I256" s="33">
        <v>3</v>
      </c>
      <c r="J256" s="1">
        <v>2</v>
      </c>
      <c r="K256" s="1">
        <v>1</v>
      </c>
      <c r="L256" s="1">
        <v>2</v>
      </c>
      <c r="M256" s="1">
        <v>3</v>
      </c>
      <c r="N256" s="1">
        <v>4</v>
      </c>
      <c r="O256" s="1">
        <v>5</v>
      </c>
      <c r="P256" s="1">
        <v>6</v>
      </c>
      <c r="Q256" s="1">
        <v>7</v>
      </c>
      <c r="R256" s="1">
        <v>8</v>
      </c>
      <c r="S256" s="12">
        <v>9</v>
      </c>
      <c r="T256" s="12" t="s">
        <v>11</v>
      </c>
    </row>
    <row r="257" spans="2:20" x14ac:dyDescent="0.5">
      <c r="B257" s="17" t="s">
        <v>6</v>
      </c>
      <c r="C257" s="11">
        <v>9</v>
      </c>
      <c r="D257" s="1">
        <v>8</v>
      </c>
      <c r="E257" s="1">
        <v>7</v>
      </c>
      <c r="F257" s="1">
        <v>6</v>
      </c>
      <c r="G257" s="1">
        <v>5</v>
      </c>
      <c r="H257" s="1">
        <v>4</v>
      </c>
      <c r="I257" s="33">
        <v>3</v>
      </c>
      <c r="J257" s="1">
        <v>2</v>
      </c>
      <c r="K257" s="1">
        <v>1</v>
      </c>
      <c r="L257" s="1">
        <v>2</v>
      </c>
      <c r="M257" s="1">
        <v>3</v>
      </c>
      <c r="N257" s="1">
        <v>4</v>
      </c>
      <c r="O257" s="1">
        <v>5</v>
      </c>
      <c r="P257" s="1">
        <v>6</v>
      </c>
      <c r="Q257" s="1">
        <v>7</v>
      </c>
      <c r="R257" s="1">
        <v>8</v>
      </c>
      <c r="S257" s="12">
        <v>9</v>
      </c>
      <c r="T257" s="12" t="s">
        <v>12</v>
      </c>
    </row>
    <row r="258" spans="2:20" x14ac:dyDescent="0.5">
      <c r="B258" s="17" t="s">
        <v>6</v>
      </c>
      <c r="C258" s="11">
        <v>9</v>
      </c>
      <c r="D258" s="1">
        <v>8</v>
      </c>
      <c r="E258" s="1">
        <v>7</v>
      </c>
      <c r="F258" s="1">
        <v>6</v>
      </c>
      <c r="G258" s="1">
        <v>5</v>
      </c>
      <c r="H258" s="1">
        <v>4</v>
      </c>
      <c r="I258" s="1">
        <v>3</v>
      </c>
      <c r="J258" s="1">
        <v>2</v>
      </c>
      <c r="K258" s="1">
        <v>1</v>
      </c>
      <c r="L258" s="1">
        <v>2</v>
      </c>
      <c r="M258" s="1">
        <v>3</v>
      </c>
      <c r="N258" s="1">
        <v>4</v>
      </c>
      <c r="O258" s="1">
        <v>5</v>
      </c>
      <c r="P258" s="33">
        <v>6</v>
      </c>
      <c r="Q258" s="1">
        <v>7</v>
      </c>
      <c r="R258" s="1">
        <v>8</v>
      </c>
      <c r="S258" s="12">
        <v>9</v>
      </c>
      <c r="T258" s="12" t="s">
        <v>13</v>
      </c>
    </row>
    <row r="259" spans="2:20" x14ac:dyDescent="0.5">
      <c r="B259" s="17" t="s">
        <v>6</v>
      </c>
      <c r="C259" s="11">
        <v>9</v>
      </c>
      <c r="D259" s="1">
        <v>8</v>
      </c>
      <c r="E259" s="1">
        <v>7</v>
      </c>
      <c r="F259" s="1">
        <v>6</v>
      </c>
      <c r="G259" s="1">
        <v>5</v>
      </c>
      <c r="H259" s="1">
        <v>4</v>
      </c>
      <c r="I259" s="1">
        <v>3</v>
      </c>
      <c r="J259" s="1">
        <v>2</v>
      </c>
      <c r="K259" s="1">
        <v>1</v>
      </c>
      <c r="L259" s="1">
        <v>2</v>
      </c>
      <c r="M259" s="1">
        <v>3</v>
      </c>
      <c r="N259" s="1">
        <v>4</v>
      </c>
      <c r="O259" s="1">
        <v>5</v>
      </c>
      <c r="P259" s="1">
        <v>6</v>
      </c>
      <c r="Q259" s="1">
        <v>7</v>
      </c>
      <c r="R259" s="33">
        <v>8</v>
      </c>
      <c r="S259" s="12">
        <v>9</v>
      </c>
      <c r="T259" s="12" t="s">
        <v>14</v>
      </c>
    </row>
    <row r="260" spans="2:20" x14ac:dyDescent="0.5">
      <c r="B260" s="17" t="s">
        <v>6</v>
      </c>
      <c r="C260" s="11">
        <v>9</v>
      </c>
      <c r="D260" s="1">
        <v>8</v>
      </c>
      <c r="E260" s="1">
        <v>7</v>
      </c>
      <c r="F260" s="1">
        <v>6</v>
      </c>
      <c r="G260" s="1">
        <v>5</v>
      </c>
      <c r="H260" s="1">
        <v>4</v>
      </c>
      <c r="I260" s="1">
        <v>3</v>
      </c>
      <c r="J260" s="1">
        <v>2</v>
      </c>
      <c r="K260" s="1">
        <v>1</v>
      </c>
      <c r="L260" s="1">
        <v>2</v>
      </c>
      <c r="M260" s="33">
        <v>3</v>
      </c>
      <c r="N260" s="1">
        <v>4</v>
      </c>
      <c r="O260" s="1">
        <v>5</v>
      </c>
      <c r="P260" s="1">
        <v>6</v>
      </c>
      <c r="Q260" s="1">
        <v>7</v>
      </c>
      <c r="R260" s="1">
        <v>8</v>
      </c>
      <c r="S260" s="12">
        <v>9</v>
      </c>
      <c r="T260" s="12" t="s">
        <v>15</v>
      </c>
    </row>
    <row r="261" spans="2:20" x14ac:dyDescent="0.5">
      <c r="B261" s="17" t="s">
        <v>6</v>
      </c>
      <c r="C261" s="11">
        <v>9</v>
      </c>
      <c r="D261" s="1">
        <v>8</v>
      </c>
      <c r="E261" s="1">
        <v>7</v>
      </c>
      <c r="F261" s="1">
        <v>6</v>
      </c>
      <c r="G261" s="1">
        <v>5</v>
      </c>
      <c r="H261" s="1">
        <v>4</v>
      </c>
      <c r="I261" s="1">
        <v>3</v>
      </c>
      <c r="J261" s="1">
        <v>2</v>
      </c>
      <c r="K261" s="1">
        <v>1</v>
      </c>
      <c r="L261" s="33">
        <v>2</v>
      </c>
      <c r="M261" s="1">
        <v>3</v>
      </c>
      <c r="N261" s="1">
        <v>4</v>
      </c>
      <c r="O261" s="1">
        <v>5</v>
      </c>
      <c r="P261" s="1">
        <v>6</v>
      </c>
      <c r="Q261" s="1">
        <v>7</v>
      </c>
      <c r="R261" s="1">
        <v>8</v>
      </c>
      <c r="S261" s="12">
        <v>9</v>
      </c>
      <c r="T261" s="12" t="s">
        <v>16</v>
      </c>
    </row>
    <row r="262" spans="2:20" x14ac:dyDescent="0.5">
      <c r="B262" s="17" t="s">
        <v>6</v>
      </c>
      <c r="C262" s="11">
        <v>9</v>
      </c>
      <c r="D262" s="1">
        <v>8</v>
      </c>
      <c r="E262" s="1">
        <v>7</v>
      </c>
      <c r="F262" s="1">
        <v>6</v>
      </c>
      <c r="G262" s="1">
        <v>5</v>
      </c>
      <c r="H262" s="1">
        <v>4</v>
      </c>
      <c r="I262" s="1">
        <v>3</v>
      </c>
      <c r="J262" s="1">
        <v>2</v>
      </c>
      <c r="K262" s="1">
        <v>1</v>
      </c>
      <c r="L262" s="33">
        <v>2</v>
      </c>
      <c r="M262" s="1">
        <v>3</v>
      </c>
      <c r="N262" s="1">
        <v>4</v>
      </c>
      <c r="O262" s="1">
        <v>5</v>
      </c>
      <c r="P262" s="1">
        <v>6</v>
      </c>
      <c r="Q262" s="1">
        <v>7</v>
      </c>
      <c r="R262" s="1">
        <v>8</v>
      </c>
      <c r="S262" s="12">
        <v>9</v>
      </c>
      <c r="T262" s="12" t="s">
        <v>17</v>
      </c>
    </row>
    <row r="263" spans="2:20" x14ac:dyDescent="0.5">
      <c r="B263" s="17" t="s">
        <v>6</v>
      </c>
      <c r="C263" s="13">
        <v>9</v>
      </c>
      <c r="D263" s="14">
        <v>8</v>
      </c>
      <c r="E263" s="14">
        <v>7</v>
      </c>
      <c r="F263" s="14">
        <v>6</v>
      </c>
      <c r="G263" s="14">
        <v>5</v>
      </c>
      <c r="H263" s="14">
        <v>4</v>
      </c>
      <c r="I263" s="14">
        <v>3</v>
      </c>
      <c r="J263" s="14">
        <v>2</v>
      </c>
      <c r="K263" s="14">
        <v>1</v>
      </c>
      <c r="L263" s="14">
        <v>2</v>
      </c>
      <c r="M263" s="34">
        <v>3</v>
      </c>
      <c r="N263" s="14">
        <v>4</v>
      </c>
      <c r="O263" s="14">
        <v>5</v>
      </c>
      <c r="P263" s="14">
        <v>6</v>
      </c>
      <c r="Q263" s="14">
        <v>7</v>
      </c>
      <c r="R263" s="14">
        <v>8</v>
      </c>
      <c r="S263" s="15">
        <v>9</v>
      </c>
      <c r="T263" s="15" t="s">
        <v>18</v>
      </c>
    </row>
    <row r="264" spans="2:20" x14ac:dyDescent="0.5">
      <c r="B264" s="16" t="s">
        <v>7</v>
      </c>
      <c r="C264" s="11">
        <v>9</v>
      </c>
      <c r="D264" s="1">
        <v>8</v>
      </c>
      <c r="E264" s="1">
        <v>7</v>
      </c>
      <c r="F264" s="1">
        <v>6</v>
      </c>
      <c r="G264" s="33">
        <v>5</v>
      </c>
      <c r="H264" s="1">
        <v>4</v>
      </c>
      <c r="I264" s="1">
        <v>3</v>
      </c>
      <c r="J264" s="1">
        <v>2</v>
      </c>
      <c r="K264" s="1">
        <v>1</v>
      </c>
      <c r="L264" s="1">
        <v>2</v>
      </c>
      <c r="M264" s="1">
        <v>3</v>
      </c>
      <c r="N264" s="1">
        <v>4</v>
      </c>
      <c r="O264" s="1">
        <v>5</v>
      </c>
      <c r="P264" s="1">
        <v>6</v>
      </c>
      <c r="Q264" s="1">
        <v>7</v>
      </c>
      <c r="R264" s="1">
        <v>8</v>
      </c>
      <c r="S264" s="12">
        <v>9</v>
      </c>
      <c r="T264" s="12" t="s">
        <v>8</v>
      </c>
    </row>
    <row r="265" spans="2:20" x14ac:dyDescent="0.5">
      <c r="B265" s="17" t="s">
        <v>7</v>
      </c>
      <c r="C265" s="11">
        <v>9</v>
      </c>
      <c r="D265" s="1">
        <v>8</v>
      </c>
      <c r="E265" s="1">
        <v>7</v>
      </c>
      <c r="F265" s="1">
        <v>6</v>
      </c>
      <c r="G265" s="33">
        <v>5</v>
      </c>
      <c r="H265" s="1">
        <v>4</v>
      </c>
      <c r="I265" s="1">
        <v>3</v>
      </c>
      <c r="J265" s="1">
        <v>2</v>
      </c>
      <c r="K265" s="1">
        <v>1</v>
      </c>
      <c r="L265" s="1">
        <v>2</v>
      </c>
      <c r="M265" s="1">
        <v>3</v>
      </c>
      <c r="N265" s="1">
        <v>4</v>
      </c>
      <c r="O265" s="1">
        <v>5</v>
      </c>
      <c r="P265" s="1">
        <v>6</v>
      </c>
      <c r="Q265" s="1">
        <v>7</v>
      </c>
      <c r="R265" s="1">
        <v>8</v>
      </c>
      <c r="S265" s="12">
        <v>9</v>
      </c>
      <c r="T265" s="12" t="s">
        <v>9</v>
      </c>
    </row>
    <row r="266" spans="2:20" x14ac:dyDescent="0.5">
      <c r="B266" s="17" t="s">
        <v>7</v>
      </c>
      <c r="C266" s="11">
        <v>9</v>
      </c>
      <c r="D266" s="1">
        <v>8</v>
      </c>
      <c r="E266" s="1">
        <v>7</v>
      </c>
      <c r="F266" s="1">
        <v>6</v>
      </c>
      <c r="G266" s="1">
        <v>5</v>
      </c>
      <c r="H266" s="1">
        <v>4</v>
      </c>
      <c r="I266" s="33">
        <v>3</v>
      </c>
      <c r="J266" s="1">
        <v>2</v>
      </c>
      <c r="K266" s="1">
        <v>1</v>
      </c>
      <c r="L266" s="1">
        <v>2</v>
      </c>
      <c r="M266" s="1">
        <v>3</v>
      </c>
      <c r="N266" s="1">
        <v>4</v>
      </c>
      <c r="O266" s="1">
        <v>5</v>
      </c>
      <c r="P266" s="1">
        <v>6</v>
      </c>
      <c r="Q266" s="1">
        <v>7</v>
      </c>
      <c r="R266" s="1">
        <v>8</v>
      </c>
      <c r="S266" s="12">
        <v>9</v>
      </c>
      <c r="T266" s="12" t="s">
        <v>10</v>
      </c>
    </row>
    <row r="267" spans="2:20" x14ac:dyDescent="0.5">
      <c r="B267" s="17" t="s">
        <v>7</v>
      </c>
      <c r="C267" s="11">
        <v>9</v>
      </c>
      <c r="D267" s="1">
        <v>8</v>
      </c>
      <c r="E267" s="1">
        <v>7</v>
      </c>
      <c r="F267" s="1">
        <v>6</v>
      </c>
      <c r="G267" s="1">
        <v>5</v>
      </c>
      <c r="H267" s="1">
        <v>4</v>
      </c>
      <c r="I267" s="33">
        <v>3</v>
      </c>
      <c r="J267" s="1">
        <v>2</v>
      </c>
      <c r="K267" s="1">
        <v>1</v>
      </c>
      <c r="L267" s="1">
        <v>2</v>
      </c>
      <c r="M267" s="1">
        <v>3</v>
      </c>
      <c r="N267" s="1">
        <v>4</v>
      </c>
      <c r="O267" s="1">
        <v>5</v>
      </c>
      <c r="P267" s="1">
        <v>6</v>
      </c>
      <c r="Q267" s="1">
        <v>7</v>
      </c>
      <c r="R267" s="1">
        <v>8</v>
      </c>
      <c r="S267" s="12">
        <v>9</v>
      </c>
      <c r="T267" s="12" t="s">
        <v>11</v>
      </c>
    </row>
    <row r="268" spans="2:20" x14ac:dyDescent="0.5">
      <c r="B268" s="17" t="s">
        <v>7</v>
      </c>
      <c r="C268" s="11">
        <v>9</v>
      </c>
      <c r="D268" s="1">
        <v>8</v>
      </c>
      <c r="E268" s="1">
        <v>7</v>
      </c>
      <c r="F268" s="1">
        <v>6</v>
      </c>
      <c r="G268" s="1">
        <v>5</v>
      </c>
      <c r="H268" s="1">
        <v>4</v>
      </c>
      <c r="I268" s="33">
        <v>3</v>
      </c>
      <c r="J268" s="1">
        <v>2</v>
      </c>
      <c r="K268" s="1">
        <v>1</v>
      </c>
      <c r="L268" s="1">
        <v>2</v>
      </c>
      <c r="M268" s="1">
        <v>3</v>
      </c>
      <c r="N268" s="1">
        <v>4</v>
      </c>
      <c r="O268" s="1">
        <v>5</v>
      </c>
      <c r="P268" s="1">
        <v>6</v>
      </c>
      <c r="Q268" s="1">
        <v>7</v>
      </c>
      <c r="R268" s="1">
        <v>8</v>
      </c>
      <c r="S268" s="12">
        <v>9</v>
      </c>
      <c r="T268" s="12" t="s">
        <v>12</v>
      </c>
    </row>
    <row r="269" spans="2:20" x14ac:dyDescent="0.5">
      <c r="B269" s="17" t="s">
        <v>7</v>
      </c>
      <c r="C269" s="11">
        <v>9</v>
      </c>
      <c r="D269" s="1">
        <v>8</v>
      </c>
      <c r="E269" s="1">
        <v>7</v>
      </c>
      <c r="F269" s="1">
        <v>6</v>
      </c>
      <c r="G269" s="1">
        <v>5</v>
      </c>
      <c r="H269" s="1">
        <v>4</v>
      </c>
      <c r="I269" s="64">
        <v>3</v>
      </c>
      <c r="J269" s="1">
        <v>2</v>
      </c>
      <c r="K269" s="1">
        <v>1</v>
      </c>
      <c r="L269" s="1">
        <v>2</v>
      </c>
      <c r="M269" s="1">
        <v>3</v>
      </c>
      <c r="N269" s="1">
        <v>4</v>
      </c>
      <c r="O269" s="1">
        <v>5</v>
      </c>
      <c r="P269" s="33">
        <v>6</v>
      </c>
      <c r="Q269" s="1">
        <v>7</v>
      </c>
      <c r="R269" s="1">
        <v>8</v>
      </c>
      <c r="S269" s="12">
        <v>9</v>
      </c>
      <c r="T269" s="12" t="s">
        <v>13</v>
      </c>
    </row>
    <row r="270" spans="2:20" x14ac:dyDescent="0.5">
      <c r="B270" s="17" t="s">
        <v>7</v>
      </c>
      <c r="C270" s="11">
        <v>9</v>
      </c>
      <c r="D270" s="1">
        <v>8</v>
      </c>
      <c r="E270" s="1">
        <v>7</v>
      </c>
      <c r="F270" s="1">
        <v>6</v>
      </c>
      <c r="G270" s="1">
        <v>5</v>
      </c>
      <c r="H270" s="1">
        <v>4</v>
      </c>
      <c r="I270" s="1">
        <v>3</v>
      </c>
      <c r="J270" s="1">
        <v>2</v>
      </c>
      <c r="K270" s="1">
        <v>1</v>
      </c>
      <c r="L270" s="1">
        <v>2</v>
      </c>
      <c r="M270" s="1">
        <v>3</v>
      </c>
      <c r="N270" s="1">
        <v>4</v>
      </c>
      <c r="O270" s="1">
        <v>5</v>
      </c>
      <c r="P270" s="1">
        <v>6</v>
      </c>
      <c r="Q270" s="1">
        <v>7</v>
      </c>
      <c r="R270" s="33">
        <v>8</v>
      </c>
      <c r="S270" s="12">
        <v>9</v>
      </c>
      <c r="T270" s="12" t="s">
        <v>14</v>
      </c>
    </row>
    <row r="271" spans="2:20" x14ac:dyDescent="0.5">
      <c r="B271" s="17" t="s">
        <v>7</v>
      </c>
      <c r="C271" s="11">
        <v>9</v>
      </c>
      <c r="D271" s="1">
        <v>8</v>
      </c>
      <c r="E271" s="1">
        <v>7</v>
      </c>
      <c r="F271" s="1">
        <v>6</v>
      </c>
      <c r="G271" s="1">
        <v>5</v>
      </c>
      <c r="H271" s="1">
        <v>4</v>
      </c>
      <c r="I271" s="1">
        <v>3</v>
      </c>
      <c r="J271" s="1">
        <v>2</v>
      </c>
      <c r="K271" s="1">
        <v>1</v>
      </c>
      <c r="L271" s="1">
        <v>2</v>
      </c>
      <c r="M271" s="33">
        <v>3</v>
      </c>
      <c r="N271" s="1">
        <v>4</v>
      </c>
      <c r="O271" s="1">
        <v>5</v>
      </c>
      <c r="P271" s="1">
        <v>6</v>
      </c>
      <c r="Q271" s="1">
        <v>7</v>
      </c>
      <c r="R271" s="1">
        <v>8</v>
      </c>
      <c r="S271" s="12">
        <v>9</v>
      </c>
      <c r="T271" s="12" t="s">
        <v>15</v>
      </c>
    </row>
    <row r="272" spans="2:20" x14ac:dyDescent="0.5">
      <c r="B272" s="17" t="s">
        <v>7</v>
      </c>
      <c r="C272" s="11">
        <v>9</v>
      </c>
      <c r="D272" s="1">
        <v>8</v>
      </c>
      <c r="E272" s="1">
        <v>7</v>
      </c>
      <c r="F272" s="1">
        <v>6</v>
      </c>
      <c r="G272" s="1">
        <v>5</v>
      </c>
      <c r="H272" s="1">
        <v>4</v>
      </c>
      <c r="I272" s="1">
        <v>3</v>
      </c>
      <c r="J272" s="1">
        <v>2</v>
      </c>
      <c r="K272" s="1">
        <v>1</v>
      </c>
      <c r="L272" s="33">
        <v>2</v>
      </c>
      <c r="M272" s="1">
        <v>3</v>
      </c>
      <c r="N272" s="1">
        <v>4</v>
      </c>
      <c r="O272" s="1">
        <v>5</v>
      </c>
      <c r="P272" s="1">
        <v>6</v>
      </c>
      <c r="Q272" s="1">
        <v>7</v>
      </c>
      <c r="R272" s="1">
        <v>8</v>
      </c>
      <c r="S272" s="12">
        <v>9</v>
      </c>
      <c r="T272" s="12" t="s">
        <v>16</v>
      </c>
    </row>
    <row r="273" spans="2:20" x14ac:dyDescent="0.5">
      <c r="B273" s="17" t="s">
        <v>7</v>
      </c>
      <c r="C273" s="11">
        <v>9</v>
      </c>
      <c r="D273" s="1">
        <v>8</v>
      </c>
      <c r="E273" s="1">
        <v>7</v>
      </c>
      <c r="F273" s="1">
        <v>6</v>
      </c>
      <c r="G273" s="1">
        <v>5</v>
      </c>
      <c r="H273" s="1">
        <v>4</v>
      </c>
      <c r="I273" s="1">
        <v>3</v>
      </c>
      <c r="J273" s="1">
        <v>2</v>
      </c>
      <c r="K273" s="1">
        <v>1</v>
      </c>
      <c r="L273" s="33">
        <v>2</v>
      </c>
      <c r="M273" s="1">
        <v>3</v>
      </c>
      <c r="N273" s="1">
        <v>4</v>
      </c>
      <c r="O273" s="1">
        <v>5</v>
      </c>
      <c r="P273" s="1">
        <v>6</v>
      </c>
      <c r="Q273" s="1">
        <v>7</v>
      </c>
      <c r="R273" s="1">
        <v>8</v>
      </c>
      <c r="S273" s="12">
        <v>9</v>
      </c>
      <c r="T273" s="12" t="s">
        <v>17</v>
      </c>
    </row>
    <row r="274" spans="2:20" x14ac:dyDescent="0.5">
      <c r="B274" s="19" t="s">
        <v>7</v>
      </c>
      <c r="C274" s="13">
        <v>9</v>
      </c>
      <c r="D274" s="14">
        <v>8</v>
      </c>
      <c r="E274" s="14">
        <v>7</v>
      </c>
      <c r="F274" s="14">
        <v>6</v>
      </c>
      <c r="G274" s="14">
        <v>5</v>
      </c>
      <c r="H274" s="14">
        <v>4</v>
      </c>
      <c r="I274" s="14">
        <v>3</v>
      </c>
      <c r="J274" s="14">
        <v>2</v>
      </c>
      <c r="K274" s="14">
        <v>1</v>
      </c>
      <c r="L274" s="14">
        <v>2</v>
      </c>
      <c r="M274" s="34">
        <v>3</v>
      </c>
      <c r="N274" s="14">
        <v>4</v>
      </c>
      <c r="O274" s="14">
        <v>5</v>
      </c>
      <c r="P274" s="14">
        <v>6</v>
      </c>
      <c r="Q274" s="14">
        <v>7</v>
      </c>
      <c r="R274" s="14">
        <v>8</v>
      </c>
      <c r="S274" s="15">
        <v>9</v>
      </c>
      <c r="T274" s="15" t="s">
        <v>18</v>
      </c>
    </row>
    <row r="275" spans="2:20" x14ac:dyDescent="0.5">
      <c r="B275" s="16" t="s">
        <v>8</v>
      </c>
      <c r="C275" s="11">
        <v>9</v>
      </c>
      <c r="D275" s="1">
        <v>8</v>
      </c>
      <c r="E275" s="1">
        <v>7</v>
      </c>
      <c r="F275" s="1">
        <v>6</v>
      </c>
      <c r="G275" s="1">
        <v>5</v>
      </c>
      <c r="H275" s="1">
        <v>4</v>
      </c>
      <c r="I275" s="1">
        <v>3</v>
      </c>
      <c r="J275" s="1">
        <v>2</v>
      </c>
      <c r="K275" s="33">
        <v>1</v>
      </c>
      <c r="L275" s="1">
        <v>2</v>
      </c>
      <c r="M275" s="1">
        <v>3</v>
      </c>
      <c r="N275" s="1">
        <v>4</v>
      </c>
      <c r="O275" s="1">
        <v>5</v>
      </c>
      <c r="P275" s="1">
        <v>6</v>
      </c>
      <c r="Q275" s="1">
        <v>7</v>
      </c>
      <c r="R275" s="1">
        <v>8</v>
      </c>
      <c r="S275" s="12">
        <v>9</v>
      </c>
      <c r="T275" s="12" t="s">
        <v>9</v>
      </c>
    </row>
    <row r="276" spans="2:20" x14ac:dyDescent="0.5">
      <c r="B276" s="17" t="s">
        <v>8</v>
      </c>
      <c r="C276" s="11">
        <v>9</v>
      </c>
      <c r="D276" s="1">
        <v>8</v>
      </c>
      <c r="E276" s="1">
        <v>7</v>
      </c>
      <c r="F276" s="1">
        <v>6</v>
      </c>
      <c r="G276" s="1">
        <v>5</v>
      </c>
      <c r="H276" s="1">
        <v>4</v>
      </c>
      <c r="I276" s="1">
        <v>3</v>
      </c>
      <c r="J276" s="1">
        <v>2</v>
      </c>
      <c r="K276" s="1">
        <v>1</v>
      </c>
      <c r="L276" s="1">
        <v>2</v>
      </c>
      <c r="M276" s="1">
        <v>3</v>
      </c>
      <c r="N276" s="1">
        <v>4</v>
      </c>
      <c r="O276" s="33">
        <v>5</v>
      </c>
      <c r="P276" s="1">
        <v>6</v>
      </c>
      <c r="Q276" s="1">
        <v>7</v>
      </c>
      <c r="R276" s="1">
        <v>8</v>
      </c>
      <c r="S276" s="12">
        <v>9</v>
      </c>
      <c r="T276" s="12" t="s">
        <v>10</v>
      </c>
    </row>
    <row r="277" spans="2:20" x14ac:dyDescent="0.5">
      <c r="B277" s="17" t="s">
        <v>8</v>
      </c>
      <c r="C277" s="11">
        <v>9</v>
      </c>
      <c r="D277" s="1">
        <v>8</v>
      </c>
      <c r="E277" s="1">
        <v>7</v>
      </c>
      <c r="F277" s="1">
        <v>6</v>
      </c>
      <c r="G277" s="1">
        <v>5</v>
      </c>
      <c r="H277" s="1">
        <v>4</v>
      </c>
      <c r="I277" s="1">
        <v>3</v>
      </c>
      <c r="J277" s="1">
        <v>2</v>
      </c>
      <c r="K277" s="1">
        <v>1</v>
      </c>
      <c r="L277" s="1">
        <v>2</v>
      </c>
      <c r="M277" s="1">
        <v>3</v>
      </c>
      <c r="N277" s="1">
        <v>4</v>
      </c>
      <c r="O277" s="33">
        <v>5</v>
      </c>
      <c r="P277" s="1">
        <v>6</v>
      </c>
      <c r="Q277" s="1">
        <v>7</v>
      </c>
      <c r="R277" s="1">
        <v>8</v>
      </c>
      <c r="S277" s="12">
        <v>9</v>
      </c>
      <c r="T277" s="12" t="s">
        <v>11</v>
      </c>
    </row>
    <row r="278" spans="2:20" x14ac:dyDescent="0.5">
      <c r="B278" s="17" t="s">
        <v>8</v>
      </c>
      <c r="C278" s="11">
        <v>9</v>
      </c>
      <c r="D278" s="1">
        <v>8</v>
      </c>
      <c r="E278" s="1">
        <v>7</v>
      </c>
      <c r="F278" s="1">
        <v>6</v>
      </c>
      <c r="G278" s="1">
        <v>5</v>
      </c>
      <c r="H278" s="1">
        <v>4</v>
      </c>
      <c r="I278" s="1">
        <v>3</v>
      </c>
      <c r="J278" s="1">
        <v>2</v>
      </c>
      <c r="K278" s="1">
        <v>1</v>
      </c>
      <c r="L278" s="1">
        <v>2</v>
      </c>
      <c r="M278" s="1">
        <v>3</v>
      </c>
      <c r="N278" s="1">
        <v>4</v>
      </c>
      <c r="O278" s="33">
        <v>5</v>
      </c>
      <c r="P278" s="1">
        <v>6</v>
      </c>
      <c r="Q278" s="1">
        <v>7</v>
      </c>
      <c r="R278" s="1">
        <v>8</v>
      </c>
      <c r="S278" s="12">
        <v>9</v>
      </c>
      <c r="T278" s="12" t="s">
        <v>12</v>
      </c>
    </row>
    <row r="279" spans="2:20" x14ac:dyDescent="0.5">
      <c r="B279" s="17" t="s">
        <v>8</v>
      </c>
      <c r="C279" s="11">
        <v>9</v>
      </c>
      <c r="D279" s="1">
        <v>8</v>
      </c>
      <c r="E279" s="1">
        <v>7</v>
      </c>
      <c r="F279" s="1">
        <v>6</v>
      </c>
      <c r="G279" s="1">
        <v>5</v>
      </c>
      <c r="H279" s="1">
        <v>4</v>
      </c>
      <c r="I279" s="1">
        <v>3</v>
      </c>
      <c r="J279" s="1">
        <v>2</v>
      </c>
      <c r="K279" s="1">
        <v>1</v>
      </c>
      <c r="L279" s="1">
        <v>2</v>
      </c>
      <c r="M279" s="1">
        <v>3</v>
      </c>
      <c r="N279" s="1">
        <v>4</v>
      </c>
      <c r="O279" s="1">
        <v>5</v>
      </c>
      <c r="P279" s="1">
        <v>6</v>
      </c>
      <c r="Q279" s="33">
        <v>7</v>
      </c>
      <c r="R279" s="1">
        <v>8</v>
      </c>
      <c r="S279" s="12">
        <v>9</v>
      </c>
      <c r="T279" s="12" t="s">
        <v>13</v>
      </c>
    </row>
    <row r="280" spans="2:20" x14ac:dyDescent="0.5">
      <c r="B280" s="17" t="s">
        <v>8</v>
      </c>
      <c r="C280" s="11">
        <v>9</v>
      </c>
      <c r="D280" s="1">
        <v>8</v>
      </c>
      <c r="E280" s="1">
        <v>7</v>
      </c>
      <c r="F280" s="1">
        <v>6</v>
      </c>
      <c r="G280" s="1">
        <v>5</v>
      </c>
      <c r="H280" s="1">
        <v>4</v>
      </c>
      <c r="I280" s="1">
        <v>3</v>
      </c>
      <c r="J280" s="1">
        <v>2</v>
      </c>
      <c r="K280" s="1">
        <v>1</v>
      </c>
      <c r="L280" s="1">
        <v>2</v>
      </c>
      <c r="M280" s="1">
        <v>3</v>
      </c>
      <c r="N280" s="1">
        <v>4</v>
      </c>
      <c r="O280" s="1">
        <v>5</v>
      </c>
      <c r="P280" s="1">
        <v>6</v>
      </c>
      <c r="Q280" s="1">
        <v>7</v>
      </c>
      <c r="R280" s="1">
        <v>8</v>
      </c>
      <c r="S280" s="36">
        <v>9</v>
      </c>
      <c r="T280" s="12" t="s">
        <v>14</v>
      </c>
    </row>
    <row r="281" spans="2:20" x14ac:dyDescent="0.5">
      <c r="B281" s="17" t="s">
        <v>8</v>
      </c>
      <c r="C281" s="11">
        <v>9</v>
      </c>
      <c r="D281" s="1">
        <v>8</v>
      </c>
      <c r="E281" s="1">
        <v>7</v>
      </c>
      <c r="F281" s="1">
        <v>6</v>
      </c>
      <c r="G281" s="1">
        <v>5</v>
      </c>
      <c r="H281" s="1">
        <v>4</v>
      </c>
      <c r="I281" s="1">
        <v>3</v>
      </c>
      <c r="J281" s="1">
        <v>2</v>
      </c>
      <c r="K281" s="1">
        <v>1</v>
      </c>
      <c r="L281" s="1">
        <v>2</v>
      </c>
      <c r="M281" s="1">
        <v>3</v>
      </c>
      <c r="N281" s="1">
        <v>4</v>
      </c>
      <c r="O281" s="1">
        <v>5</v>
      </c>
      <c r="P281" s="33">
        <v>6</v>
      </c>
      <c r="Q281" s="1">
        <v>7</v>
      </c>
      <c r="R281" s="1">
        <v>8</v>
      </c>
      <c r="S281" s="12">
        <v>9</v>
      </c>
      <c r="T281" s="12" t="s">
        <v>15</v>
      </c>
    </row>
    <row r="282" spans="2:20" x14ac:dyDescent="0.5">
      <c r="B282" s="17" t="s">
        <v>8</v>
      </c>
      <c r="C282" s="11">
        <v>9</v>
      </c>
      <c r="D282" s="1">
        <v>8</v>
      </c>
      <c r="E282" s="1">
        <v>7</v>
      </c>
      <c r="F282" s="1">
        <v>6</v>
      </c>
      <c r="G282" s="1">
        <v>5</v>
      </c>
      <c r="H282" s="1">
        <v>4</v>
      </c>
      <c r="I282" s="1">
        <v>3</v>
      </c>
      <c r="J282" s="1">
        <v>2</v>
      </c>
      <c r="K282" s="1">
        <v>1</v>
      </c>
      <c r="L282" s="1">
        <v>2</v>
      </c>
      <c r="M282" s="1">
        <v>3</v>
      </c>
      <c r="N282" s="33">
        <v>4</v>
      </c>
      <c r="O282" s="1">
        <v>5</v>
      </c>
      <c r="P282" s="1">
        <v>6</v>
      </c>
      <c r="Q282" s="1">
        <v>7</v>
      </c>
      <c r="R282" s="1">
        <v>8</v>
      </c>
      <c r="S282" s="12">
        <v>9</v>
      </c>
      <c r="T282" s="12" t="s">
        <v>16</v>
      </c>
    </row>
    <row r="283" spans="2:20" x14ac:dyDescent="0.5">
      <c r="B283" s="17" t="s">
        <v>8</v>
      </c>
      <c r="C283" s="11">
        <v>9</v>
      </c>
      <c r="D283" s="1">
        <v>8</v>
      </c>
      <c r="E283" s="1">
        <v>7</v>
      </c>
      <c r="F283" s="1">
        <v>6</v>
      </c>
      <c r="G283" s="1">
        <v>5</v>
      </c>
      <c r="H283" s="1">
        <v>4</v>
      </c>
      <c r="I283" s="1">
        <v>3</v>
      </c>
      <c r="J283" s="1">
        <v>2</v>
      </c>
      <c r="K283" s="1">
        <v>1</v>
      </c>
      <c r="L283" s="1">
        <v>2</v>
      </c>
      <c r="M283" s="1">
        <v>3</v>
      </c>
      <c r="N283" s="33">
        <v>4</v>
      </c>
      <c r="O283" s="1">
        <v>5</v>
      </c>
      <c r="P283" s="1">
        <v>6</v>
      </c>
      <c r="Q283" s="1">
        <v>7</v>
      </c>
      <c r="R283" s="1">
        <v>8</v>
      </c>
      <c r="S283" s="12">
        <v>9</v>
      </c>
      <c r="T283" s="12" t="s">
        <v>17</v>
      </c>
    </row>
    <row r="284" spans="2:20" x14ac:dyDescent="0.5">
      <c r="B284" s="19" t="s">
        <v>8</v>
      </c>
      <c r="C284" s="13">
        <v>9</v>
      </c>
      <c r="D284" s="14">
        <v>8</v>
      </c>
      <c r="E284" s="14">
        <v>7</v>
      </c>
      <c r="F284" s="14">
        <v>6</v>
      </c>
      <c r="G284" s="14">
        <v>5</v>
      </c>
      <c r="H284" s="14">
        <v>4</v>
      </c>
      <c r="I284" s="14">
        <v>3</v>
      </c>
      <c r="J284" s="14">
        <v>2</v>
      </c>
      <c r="K284" s="14">
        <v>1</v>
      </c>
      <c r="L284" s="14">
        <v>2</v>
      </c>
      <c r="M284" s="14">
        <v>3</v>
      </c>
      <c r="N284" s="14">
        <v>4</v>
      </c>
      <c r="O284" s="14">
        <v>5</v>
      </c>
      <c r="P284" s="34">
        <v>6</v>
      </c>
      <c r="Q284" s="14">
        <v>7</v>
      </c>
      <c r="R284" s="14">
        <v>8</v>
      </c>
      <c r="S284" s="15">
        <v>9</v>
      </c>
      <c r="T284" s="15" t="s">
        <v>18</v>
      </c>
    </row>
    <row r="285" spans="2:20" x14ac:dyDescent="0.5">
      <c r="B285" s="16" t="s">
        <v>9</v>
      </c>
      <c r="C285" s="11">
        <v>9</v>
      </c>
      <c r="D285" s="1">
        <v>8</v>
      </c>
      <c r="E285" s="1">
        <v>7</v>
      </c>
      <c r="F285" s="1">
        <v>6</v>
      </c>
      <c r="G285" s="1">
        <v>5</v>
      </c>
      <c r="H285" s="1">
        <v>4</v>
      </c>
      <c r="I285" s="1">
        <v>3</v>
      </c>
      <c r="J285" s="1">
        <v>2</v>
      </c>
      <c r="K285" s="1">
        <v>1</v>
      </c>
      <c r="L285" s="1">
        <v>2</v>
      </c>
      <c r="M285" s="1">
        <v>3</v>
      </c>
      <c r="N285" s="1">
        <v>4</v>
      </c>
      <c r="O285" s="33">
        <v>5</v>
      </c>
      <c r="P285" s="1">
        <v>6</v>
      </c>
      <c r="Q285" s="1">
        <v>7</v>
      </c>
      <c r="R285" s="1">
        <v>8</v>
      </c>
      <c r="S285" s="12">
        <v>9</v>
      </c>
      <c r="T285" s="12" t="s">
        <v>10</v>
      </c>
    </row>
    <row r="286" spans="2:20" x14ac:dyDescent="0.5">
      <c r="B286" s="17" t="s">
        <v>9</v>
      </c>
      <c r="C286" s="11">
        <v>9</v>
      </c>
      <c r="D286" s="1">
        <v>8</v>
      </c>
      <c r="E286" s="1">
        <v>7</v>
      </c>
      <c r="F286" s="1">
        <v>6</v>
      </c>
      <c r="G286" s="1">
        <v>5</v>
      </c>
      <c r="H286" s="1">
        <v>4</v>
      </c>
      <c r="I286" s="1">
        <v>3</v>
      </c>
      <c r="J286" s="1">
        <v>2</v>
      </c>
      <c r="K286" s="1">
        <v>1</v>
      </c>
      <c r="L286" s="1">
        <v>2</v>
      </c>
      <c r="M286" s="1">
        <v>3</v>
      </c>
      <c r="N286" s="1">
        <v>4</v>
      </c>
      <c r="O286" s="33">
        <v>5</v>
      </c>
      <c r="P286" s="1">
        <v>6</v>
      </c>
      <c r="Q286" s="1">
        <v>7</v>
      </c>
      <c r="R286" s="1">
        <v>8</v>
      </c>
      <c r="S286" s="12">
        <v>9</v>
      </c>
      <c r="T286" s="12" t="s">
        <v>11</v>
      </c>
    </row>
    <row r="287" spans="2:20" x14ac:dyDescent="0.5">
      <c r="B287" s="17" t="s">
        <v>9</v>
      </c>
      <c r="C287" s="11">
        <v>9</v>
      </c>
      <c r="D287" s="1">
        <v>8</v>
      </c>
      <c r="E287" s="1">
        <v>7</v>
      </c>
      <c r="F287" s="1">
        <v>6</v>
      </c>
      <c r="G287" s="1">
        <v>5</v>
      </c>
      <c r="H287" s="1">
        <v>4</v>
      </c>
      <c r="I287" s="1">
        <v>3</v>
      </c>
      <c r="J287" s="1">
        <v>2</v>
      </c>
      <c r="K287" s="1">
        <v>1</v>
      </c>
      <c r="L287" s="1">
        <v>2</v>
      </c>
      <c r="M287" s="1">
        <v>3</v>
      </c>
      <c r="N287" s="1">
        <v>4</v>
      </c>
      <c r="O287" s="33">
        <v>5</v>
      </c>
      <c r="P287" s="1">
        <v>6</v>
      </c>
      <c r="Q287" s="1">
        <v>7</v>
      </c>
      <c r="R287" s="1">
        <v>8</v>
      </c>
      <c r="S287" s="12">
        <v>9</v>
      </c>
      <c r="T287" s="12" t="s">
        <v>12</v>
      </c>
    </row>
    <row r="288" spans="2:20" x14ac:dyDescent="0.5">
      <c r="B288" s="17" t="s">
        <v>9</v>
      </c>
      <c r="C288" s="11">
        <v>9</v>
      </c>
      <c r="D288" s="1">
        <v>8</v>
      </c>
      <c r="E288" s="1">
        <v>7</v>
      </c>
      <c r="F288" s="1">
        <v>6</v>
      </c>
      <c r="G288" s="1">
        <v>5</v>
      </c>
      <c r="H288" s="1">
        <v>4</v>
      </c>
      <c r="I288" s="1">
        <v>3</v>
      </c>
      <c r="J288" s="1">
        <v>2</v>
      </c>
      <c r="K288" s="1">
        <v>1</v>
      </c>
      <c r="L288" s="1">
        <v>2</v>
      </c>
      <c r="M288" s="1">
        <v>3</v>
      </c>
      <c r="N288" s="1">
        <v>4</v>
      </c>
      <c r="O288" s="1">
        <v>5</v>
      </c>
      <c r="P288" s="1">
        <v>6</v>
      </c>
      <c r="Q288" s="33">
        <v>7</v>
      </c>
      <c r="R288" s="1">
        <v>8</v>
      </c>
      <c r="S288" s="12">
        <v>9</v>
      </c>
      <c r="T288" s="12" t="s">
        <v>13</v>
      </c>
    </row>
    <row r="289" spans="2:20" x14ac:dyDescent="0.5">
      <c r="B289" s="17" t="s">
        <v>9</v>
      </c>
      <c r="C289" s="11">
        <v>9</v>
      </c>
      <c r="D289" s="1">
        <v>8</v>
      </c>
      <c r="E289" s="1">
        <v>7</v>
      </c>
      <c r="F289" s="1">
        <v>6</v>
      </c>
      <c r="G289" s="1">
        <v>5</v>
      </c>
      <c r="H289" s="1">
        <v>4</v>
      </c>
      <c r="I289" s="1">
        <v>3</v>
      </c>
      <c r="J289" s="1">
        <v>2</v>
      </c>
      <c r="K289" s="1">
        <v>1</v>
      </c>
      <c r="L289" s="1">
        <v>2</v>
      </c>
      <c r="M289" s="1">
        <v>3</v>
      </c>
      <c r="N289" s="1">
        <v>4</v>
      </c>
      <c r="O289" s="1">
        <v>5</v>
      </c>
      <c r="P289" s="1">
        <v>6</v>
      </c>
      <c r="Q289" s="1">
        <v>7</v>
      </c>
      <c r="R289" s="1">
        <v>8</v>
      </c>
      <c r="S289" s="36">
        <v>9</v>
      </c>
      <c r="T289" s="12" t="s">
        <v>14</v>
      </c>
    </row>
    <row r="290" spans="2:20" x14ac:dyDescent="0.5">
      <c r="B290" s="17" t="s">
        <v>9</v>
      </c>
      <c r="C290" s="11">
        <v>9</v>
      </c>
      <c r="D290" s="1">
        <v>8</v>
      </c>
      <c r="E290" s="1">
        <v>7</v>
      </c>
      <c r="F290" s="1">
        <v>6</v>
      </c>
      <c r="G290" s="1">
        <v>5</v>
      </c>
      <c r="H290" s="1">
        <v>4</v>
      </c>
      <c r="I290" s="1">
        <v>3</v>
      </c>
      <c r="J290" s="1">
        <v>2</v>
      </c>
      <c r="K290" s="1">
        <v>1</v>
      </c>
      <c r="L290" s="1">
        <v>2</v>
      </c>
      <c r="M290" s="1">
        <v>3</v>
      </c>
      <c r="N290" s="1">
        <v>4</v>
      </c>
      <c r="O290" s="1">
        <v>5</v>
      </c>
      <c r="P290" s="33">
        <v>6</v>
      </c>
      <c r="Q290" s="1">
        <v>7</v>
      </c>
      <c r="R290" s="1">
        <v>8</v>
      </c>
      <c r="S290" s="12">
        <v>9</v>
      </c>
      <c r="T290" s="12" t="s">
        <v>15</v>
      </c>
    </row>
    <row r="291" spans="2:20" x14ac:dyDescent="0.5">
      <c r="B291" s="17" t="s">
        <v>9</v>
      </c>
      <c r="C291" s="11">
        <v>9</v>
      </c>
      <c r="D291" s="1">
        <v>8</v>
      </c>
      <c r="E291" s="1">
        <v>7</v>
      </c>
      <c r="F291" s="1">
        <v>6</v>
      </c>
      <c r="G291" s="1">
        <v>5</v>
      </c>
      <c r="H291" s="1">
        <v>4</v>
      </c>
      <c r="I291" s="1">
        <v>3</v>
      </c>
      <c r="J291" s="1">
        <v>2</v>
      </c>
      <c r="K291" s="1">
        <v>1</v>
      </c>
      <c r="L291" s="1">
        <v>2</v>
      </c>
      <c r="M291" s="1">
        <v>3</v>
      </c>
      <c r="N291" s="33">
        <v>4</v>
      </c>
      <c r="O291" s="1">
        <v>5</v>
      </c>
      <c r="P291" s="1">
        <v>6</v>
      </c>
      <c r="Q291" s="1">
        <v>7</v>
      </c>
      <c r="R291" s="1">
        <v>8</v>
      </c>
      <c r="S291" s="12">
        <v>9</v>
      </c>
      <c r="T291" s="12" t="s">
        <v>16</v>
      </c>
    </row>
    <row r="292" spans="2:20" x14ac:dyDescent="0.5">
      <c r="B292" s="17" t="s">
        <v>9</v>
      </c>
      <c r="C292" s="11">
        <v>9</v>
      </c>
      <c r="D292" s="1">
        <v>8</v>
      </c>
      <c r="E292" s="1">
        <v>7</v>
      </c>
      <c r="F292" s="1">
        <v>6</v>
      </c>
      <c r="G292" s="1">
        <v>5</v>
      </c>
      <c r="H292" s="1">
        <v>4</v>
      </c>
      <c r="I292" s="1">
        <v>3</v>
      </c>
      <c r="J292" s="1">
        <v>2</v>
      </c>
      <c r="K292" s="1">
        <v>1</v>
      </c>
      <c r="L292" s="1">
        <v>2</v>
      </c>
      <c r="M292" s="1">
        <v>3</v>
      </c>
      <c r="N292" s="33">
        <v>4</v>
      </c>
      <c r="O292" s="1">
        <v>5</v>
      </c>
      <c r="P292" s="1">
        <v>6</v>
      </c>
      <c r="Q292" s="1">
        <v>7</v>
      </c>
      <c r="R292" s="1">
        <v>8</v>
      </c>
      <c r="S292" s="12">
        <v>9</v>
      </c>
      <c r="T292" s="12" t="s">
        <v>17</v>
      </c>
    </row>
    <row r="293" spans="2:20" x14ac:dyDescent="0.5">
      <c r="B293" s="19" t="s">
        <v>9</v>
      </c>
      <c r="C293" s="13">
        <v>9</v>
      </c>
      <c r="D293" s="14">
        <v>8</v>
      </c>
      <c r="E293" s="14">
        <v>7</v>
      </c>
      <c r="F293" s="14">
        <v>6</v>
      </c>
      <c r="G293" s="14">
        <v>5</v>
      </c>
      <c r="H293" s="14">
        <v>4</v>
      </c>
      <c r="I293" s="14">
        <v>3</v>
      </c>
      <c r="J293" s="14">
        <v>2</v>
      </c>
      <c r="K293" s="14">
        <v>1</v>
      </c>
      <c r="L293" s="14">
        <v>2</v>
      </c>
      <c r="M293" s="14">
        <v>3</v>
      </c>
      <c r="N293" s="14">
        <v>4</v>
      </c>
      <c r="O293" s="14">
        <v>5</v>
      </c>
      <c r="P293" s="34">
        <v>6</v>
      </c>
      <c r="Q293" s="14">
        <v>7</v>
      </c>
      <c r="R293" s="14">
        <v>8</v>
      </c>
      <c r="S293" s="15">
        <v>9</v>
      </c>
      <c r="T293" s="15" t="s">
        <v>18</v>
      </c>
    </row>
    <row r="294" spans="2:20" x14ac:dyDescent="0.5">
      <c r="B294" s="16" t="s">
        <v>10</v>
      </c>
      <c r="C294" s="11">
        <v>9</v>
      </c>
      <c r="D294" s="1">
        <v>8</v>
      </c>
      <c r="E294" s="1">
        <v>7</v>
      </c>
      <c r="F294" s="1">
        <v>6</v>
      </c>
      <c r="G294" s="1">
        <v>5</v>
      </c>
      <c r="H294" s="1">
        <v>4</v>
      </c>
      <c r="I294" s="1">
        <v>3</v>
      </c>
      <c r="J294" s="1">
        <v>2</v>
      </c>
      <c r="K294" s="33">
        <v>1</v>
      </c>
      <c r="L294" s="1">
        <v>2</v>
      </c>
      <c r="M294" s="1">
        <v>3</v>
      </c>
      <c r="N294" s="1">
        <v>4</v>
      </c>
      <c r="O294" s="1">
        <v>5</v>
      </c>
      <c r="P294" s="1">
        <v>6</v>
      </c>
      <c r="Q294" s="1">
        <v>7</v>
      </c>
      <c r="R294" s="1">
        <v>8</v>
      </c>
      <c r="S294" s="12">
        <v>9</v>
      </c>
      <c r="T294" s="12" t="s">
        <v>11</v>
      </c>
    </row>
    <row r="295" spans="2:20" x14ac:dyDescent="0.5">
      <c r="B295" s="17" t="s">
        <v>10</v>
      </c>
      <c r="C295" s="11">
        <v>9</v>
      </c>
      <c r="D295" s="1">
        <v>8</v>
      </c>
      <c r="E295" s="1">
        <v>7</v>
      </c>
      <c r="F295" s="1">
        <v>6</v>
      </c>
      <c r="G295" s="1">
        <v>5</v>
      </c>
      <c r="H295" s="1">
        <v>4</v>
      </c>
      <c r="I295" s="1">
        <v>3</v>
      </c>
      <c r="J295" s="1">
        <v>2</v>
      </c>
      <c r="K295" s="33">
        <v>1</v>
      </c>
      <c r="L295" s="1">
        <v>2</v>
      </c>
      <c r="M295" s="1">
        <v>3</v>
      </c>
      <c r="N295" s="1">
        <v>4</v>
      </c>
      <c r="O295" s="1">
        <v>5</v>
      </c>
      <c r="P295" s="1">
        <v>6</v>
      </c>
      <c r="Q295" s="1">
        <v>7</v>
      </c>
      <c r="R295" s="1">
        <v>8</v>
      </c>
      <c r="S295" s="12">
        <v>9</v>
      </c>
      <c r="T295" s="12" t="s">
        <v>12</v>
      </c>
    </row>
    <row r="296" spans="2:20" x14ac:dyDescent="0.5">
      <c r="B296" s="17" t="s">
        <v>10</v>
      </c>
      <c r="C296" s="11">
        <v>9</v>
      </c>
      <c r="D296" s="1">
        <v>8</v>
      </c>
      <c r="E296" s="1">
        <v>7</v>
      </c>
      <c r="F296" s="1">
        <v>6</v>
      </c>
      <c r="G296" s="1">
        <v>5</v>
      </c>
      <c r="H296" s="1">
        <v>4</v>
      </c>
      <c r="I296" s="1">
        <v>3</v>
      </c>
      <c r="J296" s="1">
        <v>2</v>
      </c>
      <c r="K296" s="1">
        <v>1</v>
      </c>
      <c r="L296" s="1">
        <v>2</v>
      </c>
      <c r="M296" s="1">
        <v>3</v>
      </c>
      <c r="N296" s="33">
        <v>4</v>
      </c>
      <c r="O296" s="1">
        <v>5</v>
      </c>
      <c r="P296" s="1">
        <v>6</v>
      </c>
      <c r="Q296" s="1">
        <v>7</v>
      </c>
      <c r="R296" s="1">
        <v>8</v>
      </c>
      <c r="S296" s="12">
        <v>9</v>
      </c>
      <c r="T296" s="12" t="s">
        <v>13</v>
      </c>
    </row>
    <row r="297" spans="2:20" x14ac:dyDescent="0.5">
      <c r="B297" s="17" t="s">
        <v>10</v>
      </c>
      <c r="C297" s="11">
        <v>9</v>
      </c>
      <c r="D297" s="1">
        <v>8</v>
      </c>
      <c r="E297" s="1">
        <v>7</v>
      </c>
      <c r="F297" s="1">
        <v>6</v>
      </c>
      <c r="G297" s="1">
        <v>5</v>
      </c>
      <c r="H297" s="1">
        <v>4</v>
      </c>
      <c r="I297" s="1">
        <v>3</v>
      </c>
      <c r="J297" s="1">
        <v>2</v>
      </c>
      <c r="K297" s="1">
        <v>1</v>
      </c>
      <c r="L297" s="1">
        <v>2</v>
      </c>
      <c r="M297" s="1">
        <v>3</v>
      </c>
      <c r="N297" s="1">
        <v>4</v>
      </c>
      <c r="O297" s="1">
        <v>5</v>
      </c>
      <c r="P297" s="33">
        <v>6</v>
      </c>
      <c r="Q297" s="1">
        <v>7</v>
      </c>
      <c r="R297" s="1">
        <v>8</v>
      </c>
      <c r="S297" s="12">
        <v>9</v>
      </c>
      <c r="T297" s="12" t="s">
        <v>14</v>
      </c>
    </row>
    <row r="298" spans="2:20" x14ac:dyDescent="0.5">
      <c r="B298" s="17" t="s">
        <v>10</v>
      </c>
      <c r="C298" s="11">
        <v>9</v>
      </c>
      <c r="D298" s="1">
        <v>8</v>
      </c>
      <c r="E298" s="1">
        <v>7</v>
      </c>
      <c r="F298" s="1">
        <v>6</v>
      </c>
      <c r="G298" s="1">
        <v>5</v>
      </c>
      <c r="H298" s="1">
        <v>4</v>
      </c>
      <c r="I298" s="1">
        <v>3</v>
      </c>
      <c r="J298" s="1">
        <v>2</v>
      </c>
      <c r="K298" s="1">
        <v>1</v>
      </c>
      <c r="L298" s="1">
        <v>2</v>
      </c>
      <c r="M298" s="1">
        <v>3</v>
      </c>
      <c r="N298" s="1">
        <v>4</v>
      </c>
      <c r="O298" s="33">
        <v>5</v>
      </c>
      <c r="P298" s="1">
        <v>6</v>
      </c>
      <c r="Q298" s="1">
        <v>7</v>
      </c>
      <c r="R298" s="1">
        <v>8</v>
      </c>
      <c r="S298" s="12">
        <v>9</v>
      </c>
      <c r="T298" s="12" t="s">
        <v>15</v>
      </c>
    </row>
    <row r="299" spans="2:20" x14ac:dyDescent="0.5">
      <c r="B299" s="17" t="s">
        <v>10</v>
      </c>
      <c r="C299" s="11">
        <v>9</v>
      </c>
      <c r="D299" s="1">
        <v>8</v>
      </c>
      <c r="E299" s="1">
        <v>7</v>
      </c>
      <c r="F299" s="1">
        <v>6</v>
      </c>
      <c r="G299" s="1">
        <v>5</v>
      </c>
      <c r="H299" s="1">
        <v>4</v>
      </c>
      <c r="I299" s="1">
        <v>3</v>
      </c>
      <c r="J299" s="1">
        <v>2</v>
      </c>
      <c r="K299" s="1">
        <v>1</v>
      </c>
      <c r="L299" s="1">
        <v>2</v>
      </c>
      <c r="M299" s="1">
        <v>3</v>
      </c>
      <c r="N299" s="33">
        <v>4</v>
      </c>
      <c r="O299" s="1">
        <v>5</v>
      </c>
      <c r="P299" s="1">
        <v>6</v>
      </c>
      <c r="Q299" s="1">
        <v>7</v>
      </c>
      <c r="R299" s="1">
        <v>8</v>
      </c>
      <c r="S299" s="12">
        <v>9</v>
      </c>
      <c r="T299" s="12" t="s">
        <v>16</v>
      </c>
    </row>
    <row r="300" spans="2:20" x14ac:dyDescent="0.5">
      <c r="B300" s="17" t="s">
        <v>10</v>
      </c>
      <c r="C300" s="11">
        <v>9</v>
      </c>
      <c r="D300" s="1">
        <v>8</v>
      </c>
      <c r="E300" s="1">
        <v>7</v>
      </c>
      <c r="F300" s="1">
        <v>6</v>
      </c>
      <c r="G300" s="1">
        <v>5</v>
      </c>
      <c r="H300" s="1">
        <v>4</v>
      </c>
      <c r="I300" s="1">
        <v>3</v>
      </c>
      <c r="J300" s="1">
        <v>2</v>
      </c>
      <c r="K300" s="1">
        <v>1</v>
      </c>
      <c r="L300" s="1">
        <v>2</v>
      </c>
      <c r="M300" s="1">
        <v>3</v>
      </c>
      <c r="N300" s="33">
        <v>4</v>
      </c>
      <c r="O300" s="1">
        <v>5</v>
      </c>
      <c r="P300" s="1">
        <v>6</v>
      </c>
      <c r="Q300" s="1">
        <v>7</v>
      </c>
      <c r="R300" s="1">
        <v>8</v>
      </c>
      <c r="S300" s="12">
        <v>9</v>
      </c>
      <c r="T300" s="12" t="s">
        <v>17</v>
      </c>
    </row>
    <row r="301" spans="2:20" x14ac:dyDescent="0.5">
      <c r="B301" s="19" t="s">
        <v>10</v>
      </c>
      <c r="C301" s="13">
        <v>9</v>
      </c>
      <c r="D301" s="14">
        <v>8</v>
      </c>
      <c r="E301" s="14">
        <v>7</v>
      </c>
      <c r="F301" s="14">
        <v>6</v>
      </c>
      <c r="G301" s="14">
        <v>5</v>
      </c>
      <c r="H301" s="14">
        <v>4</v>
      </c>
      <c r="I301" s="14">
        <v>3</v>
      </c>
      <c r="J301" s="14">
        <v>2</v>
      </c>
      <c r="K301" s="14">
        <v>1</v>
      </c>
      <c r="L301" s="14">
        <v>2</v>
      </c>
      <c r="M301" s="14">
        <v>3</v>
      </c>
      <c r="N301" s="14">
        <v>4</v>
      </c>
      <c r="O301" s="34">
        <v>5</v>
      </c>
      <c r="P301" s="14">
        <v>6</v>
      </c>
      <c r="Q301" s="14">
        <v>7</v>
      </c>
      <c r="R301" s="14">
        <v>8</v>
      </c>
      <c r="S301" s="15">
        <v>9</v>
      </c>
      <c r="T301" s="15" t="s">
        <v>18</v>
      </c>
    </row>
    <row r="302" spans="2:20" x14ac:dyDescent="0.5">
      <c r="B302" s="16" t="s">
        <v>11</v>
      </c>
      <c r="C302" s="11">
        <v>9</v>
      </c>
      <c r="D302" s="1">
        <v>8</v>
      </c>
      <c r="E302" s="1">
        <v>7</v>
      </c>
      <c r="F302" s="1">
        <v>6</v>
      </c>
      <c r="G302" s="1">
        <v>5</v>
      </c>
      <c r="H302" s="1">
        <v>4</v>
      </c>
      <c r="I302" s="1">
        <v>3</v>
      </c>
      <c r="J302" s="1">
        <v>2</v>
      </c>
      <c r="K302" s="33">
        <v>1</v>
      </c>
      <c r="L302" s="1">
        <v>2</v>
      </c>
      <c r="M302" s="1">
        <v>3</v>
      </c>
      <c r="N302" s="1">
        <v>4</v>
      </c>
      <c r="O302" s="1">
        <v>5</v>
      </c>
      <c r="P302" s="1">
        <v>6</v>
      </c>
      <c r="Q302" s="1">
        <v>7</v>
      </c>
      <c r="R302" s="1">
        <v>8</v>
      </c>
      <c r="S302" s="12">
        <v>9</v>
      </c>
      <c r="T302" s="12" t="s">
        <v>12</v>
      </c>
    </row>
    <row r="303" spans="2:20" x14ac:dyDescent="0.5">
      <c r="B303" s="17" t="s">
        <v>11</v>
      </c>
      <c r="C303" s="11">
        <v>9</v>
      </c>
      <c r="D303" s="1">
        <v>8</v>
      </c>
      <c r="E303" s="1">
        <v>7</v>
      </c>
      <c r="F303" s="1">
        <v>6</v>
      </c>
      <c r="G303" s="1">
        <v>5</v>
      </c>
      <c r="H303" s="1">
        <v>4</v>
      </c>
      <c r="I303" s="1">
        <v>3</v>
      </c>
      <c r="J303" s="1">
        <v>2</v>
      </c>
      <c r="K303" s="1">
        <v>1</v>
      </c>
      <c r="L303" s="1">
        <v>2</v>
      </c>
      <c r="M303" s="1">
        <v>3</v>
      </c>
      <c r="N303" s="33">
        <v>4</v>
      </c>
      <c r="O303" s="1">
        <v>5</v>
      </c>
      <c r="P303" s="1">
        <v>6</v>
      </c>
      <c r="Q303" s="1">
        <v>7</v>
      </c>
      <c r="R303" s="1">
        <v>8</v>
      </c>
      <c r="S303" s="12">
        <v>9</v>
      </c>
      <c r="T303" s="12" t="s">
        <v>13</v>
      </c>
    </row>
    <row r="304" spans="2:20" x14ac:dyDescent="0.5">
      <c r="B304" s="17" t="s">
        <v>11</v>
      </c>
      <c r="C304" s="11">
        <v>9</v>
      </c>
      <c r="D304" s="1">
        <v>8</v>
      </c>
      <c r="E304" s="1">
        <v>7</v>
      </c>
      <c r="F304" s="1">
        <v>6</v>
      </c>
      <c r="G304" s="1">
        <v>5</v>
      </c>
      <c r="H304" s="1">
        <v>4</v>
      </c>
      <c r="I304" s="1">
        <v>3</v>
      </c>
      <c r="J304" s="1">
        <v>2</v>
      </c>
      <c r="K304" s="1">
        <v>1</v>
      </c>
      <c r="L304" s="1">
        <v>2</v>
      </c>
      <c r="M304" s="1">
        <v>3</v>
      </c>
      <c r="N304" s="1">
        <v>4</v>
      </c>
      <c r="O304" s="1">
        <v>5</v>
      </c>
      <c r="P304" s="33">
        <v>6</v>
      </c>
      <c r="Q304" s="1">
        <v>7</v>
      </c>
      <c r="R304" s="1">
        <v>8</v>
      </c>
      <c r="S304" s="12">
        <v>9</v>
      </c>
      <c r="T304" s="12" t="s">
        <v>14</v>
      </c>
    </row>
    <row r="305" spans="2:20" x14ac:dyDescent="0.5">
      <c r="B305" s="17" t="s">
        <v>11</v>
      </c>
      <c r="C305" s="11">
        <v>9</v>
      </c>
      <c r="D305" s="1">
        <v>8</v>
      </c>
      <c r="E305" s="1">
        <v>7</v>
      </c>
      <c r="F305" s="1">
        <v>6</v>
      </c>
      <c r="G305" s="1">
        <v>5</v>
      </c>
      <c r="H305" s="1">
        <v>4</v>
      </c>
      <c r="I305" s="1">
        <v>3</v>
      </c>
      <c r="J305" s="1">
        <v>2</v>
      </c>
      <c r="K305" s="1">
        <v>1</v>
      </c>
      <c r="L305" s="1">
        <v>2</v>
      </c>
      <c r="M305" s="1">
        <v>3</v>
      </c>
      <c r="N305" s="1">
        <v>4</v>
      </c>
      <c r="O305" s="33">
        <v>5</v>
      </c>
      <c r="P305" s="1">
        <v>6</v>
      </c>
      <c r="Q305" s="1">
        <v>7</v>
      </c>
      <c r="R305" s="1">
        <v>8</v>
      </c>
      <c r="S305" s="12">
        <v>9</v>
      </c>
      <c r="T305" s="12" t="s">
        <v>15</v>
      </c>
    </row>
    <row r="306" spans="2:20" x14ac:dyDescent="0.5">
      <c r="B306" s="17" t="s">
        <v>11</v>
      </c>
      <c r="C306" s="11">
        <v>9</v>
      </c>
      <c r="D306" s="1">
        <v>8</v>
      </c>
      <c r="E306" s="1">
        <v>7</v>
      </c>
      <c r="F306" s="1">
        <v>6</v>
      </c>
      <c r="G306" s="1">
        <v>5</v>
      </c>
      <c r="H306" s="1">
        <v>4</v>
      </c>
      <c r="I306" s="1">
        <v>3</v>
      </c>
      <c r="J306" s="1">
        <v>2</v>
      </c>
      <c r="K306" s="1">
        <v>1</v>
      </c>
      <c r="L306" s="1">
        <v>2</v>
      </c>
      <c r="M306" s="1">
        <v>3</v>
      </c>
      <c r="N306" s="33">
        <v>4</v>
      </c>
      <c r="O306" s="1">
        <v>5</v>
      </c>
      <c r="P306" s="1">
        <v>6</v>
      </c>
      <c r="Q306" s="1">
        <v>7</v>
      </c>
      <c r="R306" s="1">
        <v>8</v>
      </c>
      <c r="S306" s="12">
        <v>9</v>
      </c>
      <c r="T306" s="12" t="s">
        <v>16</v>
      </c>
    </row>
    <row r="307" spans="2:20" x14ac:dyDescent="0.5">
      <c r="B307" s="17" t="s">
        <v>11</v>
      </c>
      <c r="C307" s="11">
        <v>9</v>
      </c>
      <c r="D307" s="1">
        <v>8</v>
      </c>
      <c r="E307" s="1">
        <v>7</v>
      </c>
      <c r="F307" s="1">
        <v>6</v>
      </c>
      <c r="G307" s="1">
        <v>5</v>
      </c>
      <c r="H307" s="1">
        <v>4</v>
      </c>
      <c r="I307" s="1">
        <v>3</v>
      </c>
      <c r="J307" s="1">
        <v>2</v>
      </c>
      <c r="K307" s="1">
        <v>1</v>
      </c>
      <c r="L307" s="1">
        <v>2</v>
      </c>
      <c r="M307" s="1">
        <v>3</v>
      </c>
      <c r="N307" s="33">
        <v>4</v>
      </c>
      <c r="O307" s="1">
        <v>5</v>
      </c>
      <c r="P307" s="1">
        <v>6</v>
      </c>
      <c r="Q307" s="1">
        <v>7</v>
      </c>
      <c r="R307" s="1">
        <v>8</v>
      </c>
      <c r="S307" s="12">
        <v>9</v>
      </c>
      <c r="T307" s="12" t="s">
        <v>17</v>
      </c>
    </row>
    <row r="308" spans="2:20" x14ac:dyDescent="0.5">
      <c r="B308" s="19" t="s">
        <v>11</v>
      </c>
      <c r="C308" s="13">
        <v>9</v>
      </c>
      <c r="D308" s="14">
        <v>8</v>
      </c>
      <c r="E308" s="14">
        <v>7</v>
      </c>
      <c r="F308" s="14">
        <v>6</v>
      </c>
      <c r="G308" s="14">
        <v>5</v>
      </c>
      <c r="H308" s="14">
        <v>4</v>
      </c>
      <c r="I308" s="14">
        <v>3</v>
      </c>
      <c r="J308" s="14">
        <v>2</v>
      </c>
      <c r="K308" s="14">
        <v>1</v>
      </c>
      <c r="L308" s="14">
        <v>2</v>
      </c>
      <c r="M308" s="14">
        <v>3</v>
      </c>
      <c r="N308" s="14">
        <v>4</v>
      </c>
      <c r="O308" s="34">
        <v>5</v>
      </c>
      <c r="P308" s="14">
        <v>6</v>
      </c>
      <c r="Q308" s="14">
        <v>7</v>
      </c>
      <c r="R308" s="14">
        <v>8</v>
      </c>
      <c r="S308" s="15">
        <v>9</v>
      </c>
      <c r="T308" s="15" t="s">
        <v>18</v>
      </c>
    </row>
    <row r="309" spans="2:20" x14ac:dyDescent="0.5">
      <c r="B309" s="16" t="s">
        <v>12</v>
      </c>
      <c r="C309" s="11">
        <v>9</v>
      </c>
      <c r="D309" s="1">
        <v>8</v>
      </c>
      <c r="E309" s="1">
        <v>7</v>
      </c>
      <c r="F309" s="1">
        <v>6</v>
      </c>
      <c r="G309" s="1">
        <v>5</v>
      </c>
      <c r="H309" s="1">
        <v>4</v>
      </c>
      <c r="I309" s="1">
        <v>3</v>
      </c>
      <c r="J309" s="1">
        <v>2</v>
      </c>
      <c r="K309" s="1">
        <v>1</v>
      </c>
      <c r="L309" s="1">
        <v>2</v>
      </c>
      <c r="M309" s="1">
        <v>3</v>
      </c>
      <c r="N309" s="33">
        <v>4</v>
      </c>
      <c r="O309" s="1">
        <v>5</v>
      </c>
      <c r="P309" s="1">
        <v>6</v>
      </c>
      <c r="Q309" s="1">
        <v>7</v>
      </c>
      <c r="R309" s="1">
        <v>8</v>
      </c>
      <c r="S309" s="12">
        <v>9</v>
      </c>
      <c r="T309" s="12" t="s">
        <v>13</v>
      </c>
    </row>
    <row r="310" spans="2:20" x14ac:dyDescent="0.5">
      <c r="B310" s="17" t="s">
        <v>12</v>
      </c>
      <c r="C310" s="11">
        <v>9</v>
      </c>
      <c r="D310" s="1">
        <v>8</v>
      </c>
      <c r="E310" s="1">
        <v>7</v>
      </c>
      <c r="F310" s="1">
        <v>6</v>
      </c>
      <c r="G310" s="1">
        <v>5</v>
      </c>
      <c r="H310" s="1">
        <v>4</v>
      </c>
      <c r="I310" s="1">
        <v>3</v>
      </c>
      <c r="J310" s="1">
        <v>2</v>
      </c>
      <c r="K310" s="1">
        <v>1</v>
      </c>
      <c r="L310" s="1">
        <v>2</v>
      </c>
      <c r="M310" s="1">
        <v>3</v>
      </c>
      <c r="N310" s="1">
        <v>4</v>
      </c>
      <c r="O310" s="1">
        <v>5</v>
      </c>
      <c r="P310" s="33">
        <v>6</v>
      </c>
      <c r="Q310" s="1">
        <v>7</v>
      </c>
      <c r="R310" s="1">
        <v>8</v>
      </c>
      <c r="S310" s="12">
        <v>9</v>
      </c>
      <c r="T310" s="12" t="s">
        <v>14</v>
      </c>
    </row>
    <row r="311" spans="2:20" x14ac:dyDescent="0.5">
      <c r="B311" s="17" t="s">
        <v>12</v>
      </c>
      <c r="C311" s="11">
        <v>9</v>
      </c>
      <c r="D311" s="1">
        <v>8</v>
      </c>
      <c r="E311" s="1">
        <v>7</v>
      </c>
      <c r="F311" s="1">
        <v>6</v>
      </c>
      <c r="G311" s="1">
        <v>5</v>
      </c>
      <c r="H311" s="1">
        <v>4</v>
      </c>
      <c r="I311" s="1">
        <v>3</v>
      </c>
      <c r="J311" s="1">
        <v>2</v>
      </c>
      <c r="K311" s="1">
        <v>1</v>
      </c>
      <c r="L311" s="1">
        <v>2</v>
      </c>
      <c r="M311" s="1">
        <v>3</v>
      </c>
      <c r="N311" s="1">
        <v>4</v>
      </c>
      <c r="O311" s="33">
        <v>5</v>
      </c>
      <c r="P311" s="1">
        <v>6</v>
      </c>
      <c r="Q311" s="1">
        <v>7</v>
      </c>
      <c r="R311" s="1">
        <v>8</v>
      </c>
      <c r="S311" s="12">
        <v>9</v>
      </c>
      <c r="T311" s="12" t="s">
        <v>15</v>
      </c>
    </row>
    <row r="312" spans="2:20" x14ac:dyDescent="0.5">
      <c r="B312" s="17" t="s">
        <v>12</v>
      </c>
      <c r="C312" s="11">
        <v>9</v>
      </c>
      <c r="D312" s="1">
        <v>8</v>
      </c>
      <c r="E312" s="1">
        <v>7</v>
      </c>
      <c r="F312" s="1">
        <v>6</v>
      </c>
      <c r="G312" s="1">
        <v>5</v>
      </c>
      <c r="H312" s="1">
        <v>4</v>
      </c>
      <c r="I312" s="1">
        <v>3</v>
      </c>
      <c r="J312" s="1">
        <v>2</v>
      </c>
      <c r="K312" s="1">
        <v>1</v>
      </c>
      <c r="L312" s="1">
        <v>2</v>
      </c>
      <c r="M312" s="1">
        <v>3</v>
      </c>
      <c r="N312" s="33">
        <v>4</v>
      </c>
      <c r="O312" s="1">
        <v>5</v>
      </c>
      <c r="P312" s="1">
        <v>6</v>
      </c>
      <c r="Q312" s="1">
        <v>7</v>
      </c>
      <c r="R312" s="1">
        <v>8</v>
      </c>
      <c r="S312" s="12">
        <v>9</v>
      </c>
      <c r="T312" s="12" t="s">
        <v>16</v>
      </c>
    </row>
    <row r="313" spans="2:20" x14ac:dyDescent="0.5">
      <c r="B313" s="17" t="s">
        <v>12</v>
      </c>
      <c r="C313" s="11">
        <v>9</v>
      </c>
      <c r="D313" s="1">
        <v>8</v>
      </c>
      <c r="E313" s="1">
        <v>7</v>
      </c>
      <c r="F313" s="1">
        <v>6</v>
      </c>
      <c r="G313" s="1">
        <v>5</v>
      </c>
      <c r="H313" s="1">
        <v>4</v>
      </c>
      <c r="I313" s="1">
        <v>3</v>
      </c>
      <c r="J313" s="1">
        <v>2</v>
      </c>
      <c r="K313" s="1">
        <v>1</v>
      </c>
      <c r="L313" s="1">
        <v>2</v>
      </c>
      <c r="M313" s="1">
        <v>3</v>
      </c>
      <c r="N313" s="33">
        <v>4</v>
      </c>
      <c r="O313" s="1">
        <v>5</v>
      </c>
      <c r="P313" s="1">
        <v>6</v>
      </c>
      <c r="Q313" s="1">
        <v>7</v>
      </c>
      <c r="R313" s="1">
        <v>8</v>
      </c>
      <c r="S313" s="12">
        <v>9</v>
      </c>
      <c r="T313" s="12" t="s">
        <v>17</v>
      </c>
    </row>
    <row r="314" spans="2:20" x14ac:dyDescent="0.5">
      <c r="B314" s="19" t="s">
        <v>12</v>
      </c>
      <c r="C314" s="13">
        <v>9</v>
      </c>
      <c r="D314" s="14">
        <v>8</v>
      </c>
      <c r="E314" s="14">
        <v>7</v>
      </c>
      <c r="F314" s="14">
        <v>6</v>
      </c>
      <c r="G314" s="14">
        <v>5</v>
      </c>
      <c r="H314" s="14">
        <v>4</v>
      </c>
      <c r="I314" s="14">
        <v>3</v>
      </c>
      <c r="J314" s="14">
        <v>2</v>
      </c>
      <c r="K314" s="14">
        <v>1</v>
      </c>
      <c r="L314" s="14">
        <v>2</v>
      </c>
      <c r="M314" s="14">
        <v>3</v>
      </c>
      <c r="N314" s="14">
        <v>4</v>
      </c>
      <c r="O314" s="34">
        <v>5</v>
      </c>
      <c r="P314" s="14">
        <v>6</v>
      </c>
      <c r="Q314" s="14">
        <v>7</v>
      </c>
      <c r="R314" s="14">
        <v>8</v>
      </c>
      <c r="S314" s="15">
        <v>9</v>
      </c>
      <c r="T314" s="15" t="s">
        <v>18</v>
      </c>
    </row>
    <row r="315" spans="2:20" x14ac:dyDescent="0.5">
      <c r="B315" s="16" t="s">
        <v>13</v>
      </c>
      <c r="C315" s="11">
        <v>9</v>
      </c>
      <c r="D315" s="1">
        <v>8</v>
      </c>
      <c r="E315" s="1">
        <v>7</v>
      </c>
      <c r="F315" s="1">
        <v>6</v>
      </c>
      <c r="G315" s="1">
        <v>5</v>
      </c>
      <c r="H315" s="1">
        <v>4</v>
      </c>
      <c r="I315" s="1">
        <v>3</v>
      </c>
      <c r="J315" s="1">
        <v>2</v>
      </c>
      <c r="K315" s="1">
        <v>1</v>
      </c>
      <c r="L315" s="1">
        <v>2</v>
      </c>
      <c r="M315" s="33">
        <v>3</v>
      </c>
      <c r="N315" s="1">
        <v>4</v>
      </c>
      <c r="O315" s="1">
        <v>5</v>
      </c>
      <c r="P315" s="1">
        <v>6</v>
      </c>
      <c r="Q315" s="1">
        <v>7</v>
      </c>
      <c r="R315" s="1">
        <v>8</v>
      </c>
      <c r="S315" s="12">
        <v>9</v>
      </c>
      <c r="T315" s="7" t="s">
        <v>14</v>
      </c>
    </row>
    <row r="316" spans="2:20" x14ac:dyDescent="0.5">
      <c r="B316" s="17" t="s">
        <v>13</v>
      </c>
      <c r="C316" s="11">
        <v>9</v>
      </c>
      <c r="D316" s="1">
        <v>8</v>
      </c>
      <c r="E316" s="1">
        <v>7</v>
      </c>
      <c r="F316" s="1">
        <v>6</v>
      </c>
      <c r="G316" s="1">
        <v>5</v>
      </c>
      <c r="H316" s="1">
        <v>4</v>
      </c>
      <c r="I316" s="33">
        <v>3</v>
      </c>
      <c r="J316" s="1">
        <v>2</v>
      </c>
      <c r="K316" s="1">
        <v>1</v>
      </c>
      <c r="L316" s="1">
        <v>2</v>
      </c>
      <c r="M316" s="1">
        <v>3</v>
      </c>
      <c r="N316" s="1">
        <v>4</v>
      </c>
      <c r="O316" s="1">
        <v>5</v>
      </c>
      <c r="P316" s="1">
        <v>6</v>
      </c>
      <c r="Q316" s="1">
        <v>7</v>
      </c>
      <c r="R316" s="1">
        <v>8</v>
      </c>
      <c r="S316" s="12">
        <v>9</v>
      </c>
      <c r="T316" s="12" t="s">
        <v>15</v>
      </c>
    </row>
    <row r="317" spans="2:20" x14ac:dyDescent="0.5">
      <c r="B317" s="17" t="s">
        <v>13</v>
      </c>
      <c r="C317" s="11">
        <v>9</v>
      </c>
      <c r="D317" s="1">
        <v>8</v>
      </c>
      <c r="E317" s="1">
        <v>7</v>
      </c>
      <c r="F317" s="1">
        <v>6</v>
      </c>
      <c r="G317" s="1">
        <v>5</v>
      </c>
      <c r="H317" s="32">
        <v>4</v>
      </c>
      <c r="I317" s="1">
        <v>3</v>
      </c>
      <c r="J317" s="1">
        <v>2</v>
      </c>
      <c r="K317" s="1">
        <v>1</v>
      </c>
      <c r="L317" s="1">
        <v>2</v>
      </c>
      <c r="M317" s="1">
        <v>3</v>
      </c>
      <c r="N317" s="1">
        <v>4</v>
      </c>
      <c r="O317" s="1">
        <v>5</v>
      </c>
      <c r="P317" s="1">
        <v>6</v>
      </c>
      <c r="Q317" s="1">
        <v>7</v>
      </c>
      <c r="R317" s="1">
        <v>8</v>
      </c>
      <c r="S317" s="12">
        <v>9</v>
      </c>
      <c r="T317" s="12" t="s">
        <v>16</v>
      </c>
    </row>
    <row r="318" spans="2:20" x14ac:dyDescent="0.5">
      <c r="B318" s="17" t="s">
        <v>13</v>
      </c>
      <c r="C318" s="11">
        <v>9</v>
      </c>
      <c r="D318" s="1">
        <v>8</v>
      </c>
      <c r="E318" s="1">
        <v>7</v>
      </c>
      <c r="F318" s="1">
        <v>6</v>
      </c>
      <c r="G318" s="1">
        <v>5</v>
      </c>
      <c r="H318" s="32">
        <v>4</v>
      </c>
      <c r="I318" s="1">
        <v>3</v>
      </c>
      <c r="J318" s="1">
        <v>2</v>
      </c>
      <c r="K318" s="1">
        <v>1</v>
      </c>
      <c r="L318" s="1">
        <v>2</v>
      </c>
      <c r="M318" s="1">
        <v>3</v>
      </c>
      <c r="N318" s="1">
        <v>4</v>
      </c>
      <c r="O318" s="1">
        <v>5</v>
      </c>
      <c r="P318" s="1">
        <v>6</v>
      </c>
      <c r="Q318" s="1">
        <v>7</v>
      </c>
      <c r="R318" s="1">
        <v>8</v>
      </c>
      <c r="S318" s="12">
        <v>9</v>
      </c>
      <c r="T318" s="12" t="s">
        <v>17</v>
      </c>
    </row>
    <row r="319" spans="2:20" x14ac:dyDescent="0.5">
      <c r="B319" s="17" t="s">
        <v>13</v>
      </c>
      <c r="C319" s="11">
        <v>9</v>
      </c>
      <c r="D319" s="1">
        <v>8</v>
      </c>
      <c r="E319" s="1">
        <v>7</v>
      </c>
      <c r="F319" s="1">
        <v>6</v>
      </c>
      <c r="G319" s="1">
        <v>5</v>
      </c>
      <c r="H319" s="1">
        <v>4</v>
      </c>
      <c r="I319" s="33">
        <v>3</v>
      </c>
      <c r="J319" s="1">
        <v>2</v>
      </c>
      <c r="K319" s="1">
        <v>1</v>
      </c>
      <c r="L319" s="1">
        <v>2</v>
      </c>
      <c r="M319" s="1">
        <v>3</v>
      </c>
      <c r="N319" s="1">
        <v>4</v>
      </c>
      <c r="O319" s="1">
        <v>5</v>
      </c>
      <c r="P319" s="1">
        <v>6</v>
      </c>
      <c r="Q319" s="1">
        <v>7</v>
      </c>
      <c r="R319" s="1">
        <v>8</v>
      </c>
      <c r="S319" s="12">
        <v>9</v>
      </c>
      <c r="T319" s="15" t="s">
        <v>18</v>
      </c>
    </row>
    <row r="320" spans="2:20" x14ac:dyDescent="0.5">
      <c r="B320" s="4" t="s">
        <v>14</v>
      </c>
      <c r="C320" s="4">
        <v>9</v>
      </c>
      <c r="D320" s="5">
        <v>8</v>
      </c>
      <c r="E320" s="5">
        <v>7</v>
      </c>
      <c r="F320" s="6">
        <v>6</v>
      </c>
      <c r="G320" s="5">
        <v>5</v>
      </c>
      <c r="H320" s="5">
        <v>4</v>
      </c>
      <c r="I320" s="5">
        <v>3</v>
      </c>
      <c r="J320" s="5">
        <v>2</v>
      </c>
      <c r="K320" s="5">
        <v>1</v>
      </c>
      <c r="L320" s="5">
        <v>2</v>
      </c>
      <c r="M320" s="5">
        <v>3</v>
      </c>
      <c r="N320" s="5">
        <v>4</v>
      </c>
      <c r="O320" s="5">
        <v>5</v>
      </c>
      <c r="P320" s="5">
        <v>6</v>
      </c>
      <c r="Q320" s="5">
        <v>7</v>
      </c>
      <c r="R320" s="5">
        <v>8</v>
      </c>
      <c r="S320" s="7">
        <v>9</v>
      </c>
      <c r="T320" s="12" t="s">
        <v>15</v>
      </c>
    </row>
    <row r="321" spans="2:20" x14ac:dyDescent="0.5">
      <c r="B321" s="11" t="s">
        <v>14</v>
      </c>
      <c r="C321" s="11">
        <v>9</v>
      </c>
      <c r="D321" s="1">
        <v>8</v>
      </c>
      <c r="E321" s="33">
        <v>7</v>
      </c>
      <c r="F321" s="1">
        <v>6</v>
      </c>
      <c r="G321" s="1">
        <v>5</v>
      </c>
      <c r="H321" s="1">
        <v>4</v>
      </c>
      <c r="I321" s="1">
        <v>3</v>
      </c>
      <c r="J321" s="1">
        <v>2</v>
      </c>
      <c r="K321" s="1">
        <v>1</v>
      </c>
      <c r="L321" s="1">
        <v>2</v>
      </c>
      <c r="M321" s="1">
        <v>3</v>
      </c>
      <c r="N321" s="1">
        <v>4</v>
      </c>
      <c r="O321" s="1">
        <v>5</v>
      </c>
      <c r="P321" s="1">
        <v>6</v>
      </c>
      <c r="Q321" s="1">
        <v>7</v>
      </c>
      <c r="R321" s="1">
        <v>8</v>
      </c>
      <c r="S321" s="12">
        <v>9</v>
      </c>
      <c r="T321" s="12" t="s">
        <v>16</v>
      </c>
    </row>
    <row r="322" spans="2:20" x14ac:dyDescent="0.5">
      <c r="B322" s="11" t="s">
        <v>14</v>
      </c>
      <c r="C322" s="11">
        <v>9</v>
      </c>
      <c r="D322" s="1">
        <v>8</v>
      </c>
      <c r="E322" s="33">
        <v>7</v>
      </c>
      <c r="F322" s="1">
        <v>6</v>
      </c>
      <c r="G322" s="1">
        <v>5</v>
      </c>
      <c r="H322" s="1">
        <v>4</v>
      </c>
      <c r="I322" s="1">
        <v>3</v>
      </c>
      <c r="J322" s="1">
        <v>2</v>
      </c>
      <c r="K322" s="1">
        <v>1</v>
      </c>
      <c r="L322" s="1">
        <v>2</v>
      </c>
      <c r="M322" s="1">
        <v>3</v>
      </c>
      <c r="N322" s="1">
        <v>4</v>
      </c>
      <c r="O322" s="1">
        <v>5</v>
      </c>
      <c r="P322" s="1">
        <v>6</v>
      </c>
      <c r="Q322" s="1">
        <v>7</v>
      </c>
      <c r="R322" s="1">
        <v>8</v>
      </c>
      <c r="S322" s="12">
        <v>9</v>
      </c>
      <c r="T322" s="12" t="s">
        <v>17</v>
      </c>
    </row>
    <row r="323" spans="2:20" x14ac:dyDescent="0.5">
      <c r="B323" s="13" t="s">
        <v>14</v>
      </c>
      <c r="C323" s="13">
        <v>9</v>
      </c>
      <c r="D323" s="14">
        <v>8</v>
      </c>
      <c r="E323" s="14">
        <v>7</v>
      </c>
      <c r="F323" s="34">
        <v>6</v>
      </c>
      <c r="G323" s="14">
        <v>5</v>
      </c>
      <c r="H323" s="14">
        <v>4</v>
      </c>
      <c r="I323" s="14">
        <v>3</v>
      </c>
      <c r="J323" s="14">
        <v>2</v>
      </c>
      <c r="K323" s="14">
        <v>1</v>
      </c>
      <c r="L323" s="14">
        <v>2</v>
      </c>
      <c r="M323" s="14">
        <v>3</v>
      </c>
      <c r="N323" s="14">
        <v>4</v>
      </c>
      <c r="O323" s="14">
        <v>5</v>
      </c>
      <c r="P323" s="14">
        <v>6</v>
      </c>
      <c r="Q323" s="14">
        <v>7</v>
      </c>
      <c r="R323" s="14">
        <v>8</v>
      </c>
      <c r="S323" s="15">
        <v>9</v>
      </c>
      <c r="T323" s="15" t="s">
        <v>18</v>
      </c>
    </row>
    <row r="324" spans="2:20" x14ac:dyDescent="0.5">
      <c r="B324" s="16" t="s">
        <v>15</v>
      </c>
      <c r="C324" s="11">
        <v>9</v>
      </c>
      <c r="D324" s="1">
        <v>8</v>
      </c>
      <c r="E324" s="1">
        <v>7</v>
      </c>
      <c r="F324" s="1">
        <v>6</v>
      </c>
      <c r="G324" s="1">
        <v>5</v>
      </c>
      <c r="H324" s="1">
        <v>4</v>
      </c>
      <c r="I324" s="1">
        <v>3</v>
      </c>
      <c r="J324" s="33">
        <v>2</v>
      </c>
      <c r="K324" s="1">
        <v>1</v>
      </c>
      <c r="L324" s="1">
        <v>2</v>
      </c>
      <c r="M324" s="1">
        <v>3</v>
      </c>
      <c r="N324" s="1">
        <v>4</v>
      </c>
      <c r="O324" s="1">
        <v>5</v>
      </c>
      <c r="P324" s="1">
        <v>6</v>
      </c>
      <c r="Q324" s="1">
        <v>7</v>
      </c>
      <c r="R324" s="1">
        <v>8</v>
      </c>
      <c r="S324" s="12">
        <v>9</v>
      </c>
      <c r="T324" s="12" t="s">
        <v>16</v>
      </c>
    </row>
    <row r="325" spans="2:20" x14ac:dyDescent="0.5">
      <c r="B325" s="17" t="s">
        <v>15</v>
      </c>
      <c r="C325" s="11">
        <v>9</v>
      </c>
      <c r="D325" s="1">
        <v>8</v>
      </c>
      <c r="E325" s="1">
        <v>7</v>
      </c>
      <c r="F325" s="1">
        <v>6</v>
      </c>
      <c r="G325" s="1">
        <v>5</v>
      </c>
      <c r="H325" s="1">
        <v>4</v>
      </c>
      <c r="I325" s="1">
        <v>3</v>
      </c>
      <c r="J325" s="33">
        <v>2</v>
      </c>
      <c r="K325" s="1">
        <v>1</v>
      </c>
      <c r="L325" s="1">
        <v>2</v>
      </c>
      <c r="M325" s="1">
        <v>3</v>
      </c>
      <c r="N325" s="1">
        <v>4</v>
      </c>
      <c r="O325" s="1">
        <v>5</v>
      </c>
      <c r="P325" s="1">
        <v>6</v>
      </c>
      <c r="Q325" s="1">
        <v>7</v>
      </c>
      <c r="R325" s="1">
        <v>8</v>
      </c>
      <c r="S325" s="12">
        <v>9</v>
      </c>
      <c r="T325" s="12" t="s">
        <v>17</v>
      </c>
    </row>
    <row r="326" spans="2:20" x14ac:dyDescent="0.5">
      <c r="B326" s="19" t="s">
        <v>15</v>
      </c>
      <c r="C326" s="13">
        <v>9</v>
      </c>
      <c r="D326" s="14">
        <v>8</v>
      </c>
      <c r="E326" s="14">
        <v>7</v>
      </c>
      <c r="F326" s="14">
        <v>6</v>
      </c>
      <c r="G326" s="14">
        <v>5</v>
      </c>
      <c r="H326" s="14">
        <v>4</v>
      </c>
      <c r="I326" s="14">
        <v>3</v>
      </c>
      <c r="J326" s="14">
        <v>2</v>
      </c>
      <c r="K326" s="34">
        <v>1</v>
      </c>
      <c r="L326" s="14">
        <v>2</v>
      </c>
      <c r="M326" s="14">
        <v>3</v>
      </c>
      <c r="N326" s="14">
        <v>4</v>
      </c>
      <c r="O326" s="14">
        <v>5</v>
      </c>
      <c r="P326" s="14">
        <v>6</v>
      </c>
      <c r="Q326" s="14">
        <v>7</v>
      </c>
      <c r="R326" s="14">
        <v>8</v>
      </c>
      <c r="S326" s="15">
        <v>9</v>
      </c>
      <c r="T326" s="15" t="s">
        <v>18</v>
      </c>
    </row>
    <row r="327" spans="2:20" x14ac:dyDescent="0.5">
      <c r="B327" s="16" t="s">
        <v>16</v>
      </c>
      <c r="C327" s="11">
        <v>9</v>
      </c>
      <c r="D327" s="1">
        <v>8</v>
      </c>
      <c r="E327" s="1">
        <v>7</v>
      </c>
      <c r="F327" s="1">
        <v>6</v>
      </c>
      <c r="G327" s="1">
        <v>5</v>
      </c>
      <c r="H327" s="1">
        <v>4</v>
      </c>
      <c r="I327" s="1">
        <v>3</v>
      </c>
      <c r="J327" s="1">
        <v>2</v>
      </c>
      <c r="K327" s="33">
        <v>1</v>
      </c>
      <c r="L327" s="1">
        <v>2</v>
      </c>
      <c r="M327" s="1">
        <v>3</v>
      </c>
      <c r="N327" s="1">
        <v>4</v>
      </c>
      <c r="O327" s="1">
        <v>5</v>
      </c>
      <c r="P327" s="1">
        <v>6</v>
      </c>
      <c r="Q327" s="1">
        <v>7</v>
      </c>
      <c r="R327" s="1">
        <v>8</v>
      </c>
      <c r="S327" s="12">
        <v>9</v>
      </c>
      <c r="T327" s="7" t="s">
        <v>17</v>
      </c>
    </row>
    <row r="328" spans="2:20" x14ac:dyDescent="0.5">
      <c r="B328" s="19" t="s">
        <v>16</v>
      </c>
      <c r="C328" s="13">
        <v>9</v>
      </c>
      <c r="D328" s="14">
        <v>8</v>
      </c>
      <c r="E328" s="14">
        <v>7</v>
      </c>
      <c r="F328" s="14">
        <v>6</v>
      </c>
      <c r="G328" s="14">
        <v>5</v>
      </c>
      <c r="H328" s="14">
        <v>4</v>
      </c>
      <c r="I328" s="14">
        <v>3</v>
      </c>
      <c r="J328" s="14">
        <v>2</v>
      </c>
      <c r="K328" s="14">
        <v>1</v>
      </c>
      <c r="L328" s="34">
        <v>2</v>
      </c>
      <c r="M328" s="14">
        <v>3</v>
      </c>
      <c r="N328" s="14">
        <v>4</v>
      </c>
      <c r="O328" s="14">
        <v>5</v>
      </c>
      <c r="P328" s="14">
        <v>6</v>
      </c>
      <c r="Q328" s="14">
        <v>7</v>
      </c>
      <c r="R328" s="14">
        <v>8</v>
      </c>
      <c r="S328" s="15">
        <v>9</v>
      </c>
      <c r="T328" s="15" t="s">
        <v>18</v>
      </c>
    </row>
    <row r="329" spans="2:20" x14ac:dyDescent="0.5">
      <c r="B329" s="3" t="s">
        <v>17</v>
      </c>
      <c r="C329" s="13">
        <v>9</v>
      </c>
      <c r="D329" s="14">
        <v>8</v>
      </c>
      <c r="E329" s="14">
        <v>7</v>
      </c>
      <c r="F329" s="14">
        <v>6</v>
      </c>
      <c r="G329" s="14">
        <v>5</v>
      </c>
      <c r="H329" s="14">
        <v>4</v>
      </c>
      <c r="I329" s="14">
        <v>3</v>
      </c>
      <c r="J329" s="14">
        <v>2</v>
      </c>
      <c r="K329" s="14">
        <v>1</v>
      </c>
      <c r="L329" s="34">
        <v>2</v>
      </c>
      <c r="M329" s="14">
        <v>3</v>
      </c>
      <c r="N329" s="14">
        <v>4</v>
      </c>
      <c r="O329" s="14">
        <v>5</v>
      </c>
      <c r="P329" s="14">
        <v>6</v>
      </c>
      <c r="Q329" s="14">
        <v>7</v>
      </c>
      <c r="R329" s="14">
        <v>8</v>
      </c>
      <c r="S329" s="15">
        <v>9</v>
      </c>
      <c r="T329" s="15" t="s">
        <v>18</v>
      </c>
    </row>
  </sheetData>
  <mergeCells count="15"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  <mergeCell ref="B111:T111"/>
    <mergeCell ref="B1:T1"/>
    <mergeCell ref="B2:T2"/>
    <mergeCell ref="B3:B4"/>
    <mergeCell ref="C3:S3"/>
    <mergeCell ref="T3:T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5735-DF3A-4C70-9538-8308E5AC39EA}">
  <dimension ref="A1:R124"/>
  <sheetViews>
    <sheetView topLeftCell="A20" zoomScale="56" zoomScaleNormal="90" workbookViewId="0">
      <selection activeCell="A109" sqref="A109"/>
    </sheetView>
  </sheetViews>
  <sheetFormatPr defaultRowHeight="15.75" x14ac:dyDescent="0.5"/>
  <cols>
    <col min="1" max="1" width="36.8125" bestFit="1" customWidth="1"/>
    <col min="2" max="2" width="10.625" customWidth="1"/>
  </cols>
  <sheetData>
    <row r="1" spans="1:16" x14ac:dyDescent="0.5">
      <c r="A1" s="63" t="s">
        <v>19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16" x14ac:dyDescent="0.5">
      <c r="A2" s="2" t="s">
        <v>4</v>
      </c>
      <c r="B2" s="3">
        <v>1</v>
      </c>
      <c r="C2" s="3">
        <f>GEOMEAN('NORMALISASI LOKASI GEDUNG'!X6,'NORMALISASI LOKASI GEDUNG'!X116,'NORMALISASI LOKASI GEDUNG'!X226)</f>
        <v>0.36246012433429736</v>
      </c>
      <c r="D2" s="3">
        <f>GEOMEAN('NORMALISASI LOKASI GEDUNG'!Y6,'NORMALISASI LOKASI GEDUNG'!Y116,'NORMALISASI LOKASI GEDUNG'!Y226)</f>
        <v>0.38157141418444396</v>
      </c>
      <c r="E2" s="3">
        <f>GEOMEAN('NORMALISASI LOKASI GEDUNG'!Z6,'NORMALISASI LOKASI GEDUNG'!Z116,'NORMALISASI LOKASI GEDUNG'!Z226)</f>
        <v>0.43679023236814946</v>
      </c>
      <c r="F2" s="3">
        <f>GEOMEAN('NORMALISASI LOKASI GEDUNG'!AA6,'NORMALISASI LOKASI GEDUNG'!AA116,'NORMALISASI LOKASI GEDUNG'!AA226)</f>
        <v>0.55032120814910446</v>
      </c>
      <c r="G2" s="3">
        <f>GEOMEAN('NORMALISASI LOKASI GEDUNG'!AB6,'NORMALISASI LOKASI GEDUNG'!AB116,'NORMALISASI LOKASI GEDUNG'!AB226)</f>
        <v>0.55032120814910446</v>
      </c>
      <c r="H2" s="3">
        <f>GEOMEAN('NORMALISASI LOKASI GEDUNG'!AC6,'NORMALISASI LOKASI GEDUNG'!AC116,'NORMALISASI LOKASI GEDUNG'!AC226)</f>
        <v>0.23712622029933753</v>
      </c>
      <c r="I2" s="3">
        <f>GEOMEAN('NORMALISASI LOKASI GEDUNG'!AD6,'NORMALISASI LOKASI GEDUNG'!AD116,'NORMALISASI LOKASI GEDUNG'!AD226)</f>
        <v>0.27144176165949069</v>
      </c>
      <c r="J2" s="3">
        <f>GEOMEAN('NORMALISASI LOKASI GEDUNG'!AE6,'NORMALISASI LOKASI GEDUNG'!AE116,'NORMALISASI LOKASI GEDUNG'!AE226)</f>
        <v>0.27144176165949069</v>
      </c>
      <c r="K2" s="3">
        <f>GEOMEAN('NORMALISASI LOKASI GEDUNG'!AF6,'NORMALISASI LOKASI GEDUNG'!AF116,'NORMALISASI LOKASI GEDUNG'!AF226)</f>
        <v>0.16666666666666666</v>
      </c>
      <c r="L2" s="3">
        <f>GEOMEAN('NORMALISASI LOKASI GEDUNG'!AG6,'NORMALISASI LOKASI GEDUNG'!AG116,'NORMALISASI LOKASI GEDUNG'!AG226)</f>
        <v>0.19078570709222198</v>
      </c>
      <c r="M2" s="3">
        <f>GEOMEAN('NORMALISASI LOKASI GEDUNG'!AH6,'NORMALISASI LOKASI GEDUNG'!AH116,'NORMALISASI LOKASI GEDUNG'!AH226)</f>
        <v>0.27144176165949069</v>
      </c>
      <c r="N2" s="3">
        <f>GEOMEAN('NORMALISASI LOKASI GEDUNG'!AI6,'NORMALISASI LOKASI GEDUNG'!AI116,'NORMALISASI LOKASI GEDUNG'!AI226)</f>
        <v>0.27516060407455223</v>
      </c>
      <c r="O2" s="3">
        <f>GEOMEAN('NORMALISASI LOKASI GEDUNG'!AJ6,'NORMALISASI LOKASI GEDUNG'!AJ116,'NORMALISASI LOKASI GEDUNG'!AJ226)</f>
        <v>0.27516060407455223</v>
      </c>
      <c r="P2" s="3">
        <f>GEOMEAN('NORMALISASI LOKASI GEDUNG'!AK6,'NORMALISASI LOKASI GEDUNG'!AK116,'NORMALISASI LOKASI GEDUNG'!AK226)</f>
        <v>0.38157141418444396</v>
      </c>
    </row>
    <row r="3" spans="1:16" x14ac:dyDescent="0.5">
      <c r="A3" s="2" t="s">
        <v>5</v>
      </c>
      <c r="B3" s="3">
        <f>1/C2</f>
        <v>2.7589241763811208</v>
      </c>
      <c r="C3" s="3">
        <v>1</v>
      </c>
      <c r="D3" s="3">
        <f>GEOMEAN('NORMALISASI LOKASI GEDUNG'!Y7,'NORMALISASI LOKASI GEDUNG'!Y117,'NORMALISASI LOKASI GEDUNG'!Y227)</f>
        <v>3.9148676411688634</v>
      </c>
      <c r="E3" s="3">
        <f>GEOMEAN('NORMALISASI LOKASI GEDUNG'!Z7,'NORMALISASI LOKASI GEDUNG'!Z117,'NORMALISASI LOKASI GEDUNG'!Z227)</f>
        <v>4.2171633265087465</v>
      </c>
      <c r="F3" s="3">
        <f>GEOMEAN('NORMALISASI LOKASI GEDUNG'!AA7,'NORMALISASI LOKASI GEDUNG'!AA117,'NORMALISASI LOKASI GEDUNG'!AA227)</f>
        <v>6.463304070095651</v>
      </c>
      <c r="G3" s="3">
        <f>GEOMEAN('NORMALISASI LOKASI GEDUNG'!AB7,'NORMALISASI LOKASI GEDUNG'!AB117,'NORMALISASI LOKASI GEDUNG'!AB227)</f>
        <v>6.463304070095651</v>
      </c>
      <c r="H3" s="3">
        <f>GEOMEAN('NORMALISASI LOKASI GEDUNG'!AC7,'NORMALISASI LOKASI GEDUNG'!AC117,'NORMALISASI LOKASI GEDUNG'!AC227)</f>
        <v>1.7099759466766968</v>
      </c>
      <c r="I3" s="3">
        <f>GEOMEAN('NORMALISASI LOKASI GEDUNG'!AD7,'NORMALISASI LOKASI GEDUNG'!AD117,'NORMALISASI LOKASI GEDUNG'!AD227)</f>
        <v>1.7099759466766968</v>
      </c>
      <c r="J3" s="3">
        <f>GEOMEAN('NORMALISASI LOKASI GEDUNG'!AE7,'NORMALISASI LOKASI GEDUNG'!AE117,'NORMALISASI LOKASI GEDUNG'!AE227)</f>
        <v>1.7099759466766968</v>
      </c>
      <c r="K3" s="3">
        <f>GEOMEAN('NORMALISASI LOKASI GEDUNG'!AF7,'NORMALISASI LOKASI GEDUNG'!AF117,'NORMALISASI LOKASI GEDUNG'!AF227)</f>
        <v>0.58480354764257325</v>
      </c>
      <c r="L3" s="3">
        <f>GEOMEAN('NORMALISASI LOKASI GEDUNG'!AG7,'NORMALISASI LOKASI GEDUNG'!AG117,'NORMALISASI LOKASI GEDUNG'!AG227)</f>
        <v>0.43679023236814946</v>
      </c>
      <c r="M3" s="3">
        <f>GEOMEAN('NORMALISASI LOKASI GEDUNG'!AH7,'NORMALISASI LOKASI GEDUNG'!AH117,'NORMALISASI LOKASI GEDUNG'!AH227)</f>
        <v>0.79370052598409979</v>
      </c>
      <c r="N3" s="3">
        <f>GEOMEAN('NORMALISASI LOKASI GEDUNG'!AI7,'NORMALISASI LOKASI GEDUNG'!AI117,'NORMALISASI LOKASI GEDUNG'!AI227)</f>
        <v>1.5874010519681994</v>
      </c>
      <c r="O3" s="3">
        <f>GEOMEAN('NORMALISASI LOKASI GEDUNG'!AJ7,'NORMALISASI LOKASI GEDUNG'!AJ117,'NORMALISASI LOKASI GEDUNG'!AJ227)</f>
        <v>1.8171205928321397</v>
      </c>
      <c r="P3" s="3">
        <f>GEOMEAN('NORMALISASI LOKASI GEDUNG'!AK7,'NORMALISASI LOKASI GEDUNG'!AK117,'NORMALISASI LOKASI GEDUNG'!AK227)</f>
        <v>0.69336127435063466</v>
      </c>
    </row>
    <row r="4" spans="1:16" x14ac:dyDescent="0.5">
      <c r="A4" s="2" t="s">
        <v>6</v>
      </c>
      <c r="B4" s="3">
        <f>1/D2</f>
        <v>2.6207413942088964</v>
      </c>
      <c r="C4" s="3">
        <f>1/D3</f>
        <v>0.2554364774645177</v>
      </c>
      <c r="D4" s="3">
        <v>1</v>
      </c>
      <c r="E4" s="3">
        <f>GEOMEAN('NORMALISASI LOKASI GEDUNG'!Z8,'NORMALISASI LOKASI GEDUNG'!Z118,'NORMALISASI LOKASI GEDUNG'!Z228)</f>
        <v>1.5874010519681994</v>
      </c>
      <c r="F4" s="3">
        <f>GEOMEAN('NORMALISASI LOKASI GEDUNG'!AA8,'NORMALISASI LOKASI GEDUNG'!AA118,'NORMALISASI LOKASI GEDUNG'!AA228)</f>
        <v>4.3088693800637676</v>
      </c>
      <c r="G4" s="3">
        <f>GEOMEAN('NORMALISASI LOKASI GEDUNG'!AB8,'NORMALISASI LOKASI GEDUNG'!AB118,'NORMALISASI LOKASI GEDUNG'!AB228)</f>
        <v>4.3088693800637676</v>
      </c>
      <c r="H4" s="3">
        <f>GEOMEAN('NORMALISASI LOKASI GEDUNG'!AC8,'NORMALISASI LOKASI GEDUNG'!AC118,'NORMALISASI LOKASI GEDUNG'!AC228)</f>
        <v>0.69336127435063466</v>
      </c>
      <c r="I4" s="3">
        <f>GEOMEAN('NORMALISASI LOKASI GEDUNG'!AD8,'NORMALISASI LOKASI GEDUNG'!AD118,'NORMALISASI LOKASI GEDUNG'!AD228)</f>
        <v>0.6299605249474366</v>
      </c>
      <c r="J4" s="3">
        <f>GEOMEAN('NORMALISASI LOKASI GEDUNG'!AE8,'NORMALISASI LOKASI GEDUNG'!AE118,'NORMALISASI LOKASI GEDUNG'!AE228)</f>
        <v>0.6299605249474366</v>
      </c>
      <c r="K4" s="3">
        <f>GEOMEAN('NORMALISASI LOKASI GEDUNG'!AF8,'NORMALISASI LOKASI GEDUNG'!AF118,'NORMALISASI LOKASI GEDUNG'!AF228)</f>
        <v>0.18820720577620573</v>
      </c>
      <c r="L4" s="3">
        <f>GEOMEAN('NORMALISASI LOKASI GEDUNG'!AG8,'NORMALISASI LOKASI GEDUNG'!AG118,'NORMALISASI LOKASI GEDUNG'!AG228)</f>
        <v>0.21839511618407473</v>
      </c>
      <c r="M4" s="3">
        <f>GEOMEAN('NORMALISASI LOKASI GEDUNG'!AH8,'NORMALISASI LOKASI GEDUNG'!AH118,'NORMALISASI LOKASI GEDUNG'!AH228)</f>
        <v>0.27516060407455223</v>
      </c>
      <c r="N4" s="3">
        <f>GEOMEAN('NORMALISASI LOKASI GEDUNG'!AI8,'NORMALISASI LOKASI GEDUNG'!AI118,'NORMALISASI LOKASI GEDUNG'!AI228)</f>
        <v>0.48074985676913612</v>
      </c>
      <c r="O4" s="3">
        <f>GEOMEAN('NORMALISASI LOKASI GEDUNG'!AJ8,'NORMALISASI LOKASI GEDUNG'!AJ118,'NORMALISASI LOKASI GEDUNG'!AJ228)</f>
        <v>0.48074985676913612</v>
      </c>
      <c r="P4" s="3">
        <f>GEOMEAN('NORMALISASI LOKASI GEDUNG'!AK8,'NORMALISASI LOKASI GEDUNG'!AK118,'NORMALISASI LOKASI GEDUNG'!AK228)</f>
        <v>0.2554364774645177</v>
      </c>
    </row>
    <row r="5" spans="1:16" x14ac:dyDescent="0.5">
      <c r="A5" s="2" t="s">
        <v>7</v>
      </c>
      <c r="B5" s="3">
        <f>1/E2</f>
        <v>2.2894284851066637</v>
      </c>
      <c r="C5" s="3">
        <f>1/E3</f>
        <v>0.2371262202993375</v>
      </c>
      <c r="D5" s="3">
        <f>1/E4</f>
        <v>0.6299605249474366</v>
      </c>
      <c r="E5" s="3">
        <v>1</v>
      </c>
      <c r="F5" s="3">
        <f>GEOMEAN('NORMALISASI LOKASI GEDUNG'!AA9,'NORMALISASI LOKASI GEDUNG'!AA119,'NORMALISASI LOKASI GEDUNG'!AA229)</f>
        <v>2.7144176165949068</v>
      </c>
      <c r="G5" s="3">
        <f>GEOMEAN('NORMALISASI LOKASI GEDUNG'!AB9,'NORMALISASI LOKASI GEDUNG'!AB119,'NORMALISASI LOKASI GEDUNG'!AB229)</f>
        <v>2.7144176165949068</v>
      </c>
      <c r="H5" s="3">
        <f>GEOMEAN('NORMALISASI LOKASI GEDUNG'!AC9,'NORMALISASI LOKASI GEDUNG'!AC119,'NORMALISASI LOKASI GEDUNG'!AC229)</f>
        <v>0.6299605249474366</v>
      </c>
      <c r="I5" s="3">
        <f>GEOMEAN('NORMALISASI LOKASI GEDUNG'!AD9,'NORMALISASI LOKASI GEDUNG'!AD119,'NORMALISASI LOKASI GEDUNG'!AD229)</f>
        <v>0.57235712127666594</v>
      </c>
      <c r="J5" s="3">
        <f>GEOMEAN('NORMALISASI LOKASI GEDUNG'!AE9,'NORMALISASI LOKASI GEDUNG'!AE119,'NORMALISASI LOKASI GEDUNG'!AE229)</f>
        <v>0.57235712127666594</v>
      </c>
      <c r="K5" s="3">
        <f>GEOMEAN('NORMALISASI LOKASI GEDUNG'!AF9,'NORMALISASI LOKASI GEDUNG'!AF119,'NORMALISASI LOKASI GEDUNG'!AF229)</f>
        <v>0.15831904193216609</v>
      </c>
      <c r="L5" s="3">
        <f>GEOMEAN('NORMALISASI LOKASI GEDUNG'!AG9,'NORMALISASI LOKASI GEDUNG'!AG119,'NORMALISASI LOKASI GEDUNG'!AG229)</f>
        <v>0.16091489743427162</v>
      </c>
      <c r="M5" s="3">
        <f>GEOMEAN('NORMALISASI LOKASI GEDUNG'!AH9,'NORMALISASI LOKASI GEDUNG'!AH119,'NORMALISASI LOKASI GEDUNG'!AH229)</f>
        <v>0.22314431669405652</v>
      </c>
      <c r="N5" s="3">
        <f>GEOMEAN('NORMALISASI LOKASI GEDUNG'!AI9,'NORMALISASI LOKASI GEDUNG'!AI119,'NORMALISASI LOKASI GEDUNG'!AI229)</f>
        <v>0.2554364774645177</v>
      </c>
      <c r="O5" s="3">
        <f>GEOMEAN('NORMALISASI LOKASI GEDUNG'!AJ9,'NORMALISASI LOKASI GEDUNG'!AJ119,'NORMALISASI LOKASI GEDUNG'!AJ229)</f>
        <v>0.2554364774645177</v>
      </c>
      <c r="P5" s="3">
        <f>GEOMEAN('NORMALISASI LOKASI GEDUNG'!AK9,'NORMALISASI LOKASI GEDUNG'!AK119,'NORMALISASI LOKASI GEDUNG'!AK229)</f>
        <v>0.2554364774645177</v>
      </c>
    </row>
    <row r="6" spans="1:16" x14ac:dyDescent="0.5">
      <c r="A6" s="2" t="s">
        <v>8</v>
      </c>
      <c r="B6" s="3">
        <f>1/F2</f>
        <v>1.8171205928321397</v>
      </c>
      <c r="C6" s="3">
        <f>1/F3</f>
        <v>0.15471962778709264</v>
      </c>
      <c r="D6" s="3">
        <f>1/F4</f>
        <v>0.23207944168063893</v>
      </c>
      <c r="E6" s="3">
        <f>1/F5</f>
        <v>0.36840314986403866</v>
      </c>
      <c r="F6" s="3">
        <v>1</v>
      </c>
      <c r="G6" s="3">
        <f>GEOMEAN('NORMALISASI LOKASI GEDUNG'!AB10,'NORMALISASI LOKASI GEDUNG'!AB120,'NORMALISASI LOKASI GEDUNG'!AB230)</f>
        <v>1</v>
      </c>
      <c r="H6" s="3">
        <f>GEOMEAN('NORMALISASI LOKASI GEDUNG'!AC10,'NORMALISASI LOKASI GEDUNG'!AC120,'NORMALISASI LOKASI GEDUNG'!AC230)</f>
        <v>0.2</v>
      </c>
      <c r="I6" s="3">
        <f>GEOMEAN('NORMALISASI LOKASI GEDUNG'!AD10,'NORMALISASI LOKASI GEDUNG'!AD120,'NORMALISASI LOKASI GEDUNG'!AD230)</f>
        <v>0.2</v>
      </c>
      <c r="J6" s="3">
        <f>GEOMEAN('NORMALISASI LOKASI GEDUNG'!AE10,'NORMALISASI LOKASI GEDUNG'!AE120,'NORMALISASI LOKASI GEDUNG'!AE230)</f>
        <v>0.2</v>
      </c>
      <c r="K6" s="3">
        <f>GEOMEAN('NORMALISASI LOKASI GEDUNG'!AF10,'NORMALISASI LOKASI GEDUNG'!AF120,'NORMALISASI LOKASI GEDUNG'!AF230)</f>
        <v>0.14285714285714285</v>
      </c>
      <c r="L6" s="3">
        <f>GEOMEAN('NORMALISASI LOKASI GEDUNG'!AG10,'NORMALISASI LOKASI GEDUNG'!AG120,'NORMALISASI LOKASI GEDUNG'!AG230)</f>
        <v>0.16441413828869803</v>
      </c>
      <c r="M6" s="3">
        <f>GEOMEAN('NORMALISASI LOKASI GEDUNG'!AH10,'NORMALISASI LOKASI GEDUNG'!AH120,'NORMALISASI LOKASI GEDUNG'!AH230)</f>
        <v>0.16666666666666666</v>
      </c>
      <c r="N6" s="3">
        <f>GEOMEAN('NORMALISASI LOKASI GEDUNG'!AI10,'NORMALISASI LOKASI GEDUNG'!AI120,'NORMALISASI LOKASI GEDUNG'!AI230)</f>
        <v>0.19078570709222198</v>
      </c>
      <c r="O6" s="3">
        <f>GEOMEAN('NORMALISASI LOKASI GEDUNG'!AJ10,'NORMALISASI LOKASI GEDUNG'!AJ120,'NORMALISASI LOKASI GEDUNG'!AJ230)</f>
        <v>0.19078570709222198</v>
      </c>
      <c r="P6" s="3">
        <f>GEOMEAN('NORMALISASI LOKASI GEDUNG'!AK10,'NORMALISASI LOKASI GEDUNG'!AK120,'NORMALISASI LOKASI GEDUNG'!AK230)</f>
        <v>0.16666666666666666</v>
      </c>
    </row>
    <row r="7" spans="1:16" x14ac:dyDescent="0.5">
      <c r="A7" s="2" t="s">
        <v>9</v>
      </c>
      <c r="B7" s="3">
        <f>1/G2</f>
        <v>1.8171205928321397</v>
      </c>
      <c r="C7" s="3">
        <f>1/G3</f>
        <v>0.15471962778709264</v>
      </c>
      <c r="D7" s="3">
        <f>1/G4</f>
        <v>0.23207944168063893</v>
      </c>
      <c r="E7" s="3">
        <f>1/G5</f>
        <v>0.36840314986403866</v>
      </c>
      <c r="F7" s="3">
        <f>1/G6</f>
        <v>1</v>
      </c>
      <c r="G7" s="3">
        <v>1</v>
      </c>
      <c r="H7" s="3">
        <f>GEOMEAN('NORMALISASI LOKASI GEDUNG'!AC11,'NORMALISASI LOKASI GEDUNG'!AC121,'NORMALISASI LOKASI GEDUNG'!AC231)</f>
        <v>0.2</v>
      </c>
      <c r="I7" s="3">
        <f>GEOMEAN('NORMALISASI LOKASI GEDUNG'!AD11,'NORMALISASI LOKASI GEDUNG'!AD121,'NORMALISASI LOKASI GEDUNG'!AD231)</f>
        <v>0.2</v>
      </c>
      <c r="J7" s="3">
        <f>GEOMEAN('NORMALISASI LOKASI GEDUNG'!AE11,'NORMALISASI LOKASI GEDUNG'!AE121,'NORMALISASI LOKASI GEDUNG'!AE231)</f>
        <v>0.2</v>
      </c>
      <c r="K7" s="3">
        <f>GEOMEAN('NORMALISASI LOKASI GEDUNG'!AF11,'NORMALISASI LOKASI GEDUNG'!AF121,'NORMALISASI LOKASI GEDUNG'!AF231)</f>
        <v>0.14285714285714285</v>
      </c>
      <c r="L7" s="3">
        <f>GEOMEAN('NORMALISASI LOKASI GEDUNG'!AG11,'NORMALISASI LOKASI GEDUNG'!AG121,'NORMALISASI LOKASI GEDUNG'!AG231)</f>
        <v>0.16441413828869803</v>
      </c>
      <c r="M7" s="3">
        <f>GEOMEAN('NORMALISASI LOKASI GEDUNG'!AH11,'NORMALISASI LOKASI GEDUNG'!AH121,'NORMALISASI LOKASI GEDUNG'!AH231)</f>
        <v>0.16666666666666666</v>
      </c>
      <c r="N7" s="3">
        <f>GEOMEAN('NORMALISASI LOKASI GEDUNG'!AI11,'NORMALISASI LOKASI GEDUNG'!AI121,'NORMALISASI LOKASI GEDUNG'!AI231)</f>
        <v>0.19078570709222198</v>
      </c>
      <c r="O7" s="3">
        <f>GEOMEAN('NORMALISASI LOKASI GEDUNG'!AJ11,'NORMALISASI LOKASI GEDUNG'!AJ121,'NORMALISASI LOKASI GEDUNG'!AJ231)</f>
        <v>0.19078570709222198</v>
      </c>
      <c r="P7" s="3">
        <f>GEOMEAN('NORMALISASI LOKASI GEDUNG'!AK11,'NORMALISASI LOKASI GEDUNG'!AK121,'NORMALISASI LOKASI GEDUNG'!AK231)</f>
        <v>0.16666666666666666</v>
      </c>
    </row>
    <row r="8" spans="1:16" x14ac:dyDescent="0.5">
      <c r="A8" s="2" t="s">
        <v>10</v>
      </c>
      <c r="B8" s="3">
        <f>1/H2</f>
        <v>4.2171633265087465</v>
      </c>
      <c r="C8" s="3">
        <f>1/H3</f>
        <v>0.58480354764257325</v>
      </c>
      <c r="D8" s="3">
        <f>1/H4</f>
        <v>1.4422495703074085</v>
      </c>
      <c r="E8" s="3">
        <f>1/H5</f>
        <v>1.5874010519681994</v>
      </c>
      <c r="F8" s="3">
        <f>1/H6</f>
        <v>5</v>
      </c>
      <c r="G8" s="3">
        <f>1/H7</f>
        <v>5</v>
      </c>
      <c r="H8" s="3">
        <v>1</v>
      </c>
      <c r="I8" s="3">
        <f>GEOMEAN('NORMALISASI LOKASI GEDUNG'!AD12,'NORMALISASI LOKASI GEDUNG'!AD122,'NORMALISASI LOKASI GEDUNG'!AD232)</f>
        <v>1</v>
      </c>
      <c r="J8" s="3">
        <f>GEOMEAN('NORMALISASI LOKASI GEDUNG'!AE12,'NORMALISASI LOKASI GEDUNG'!AE122,'NORMALISASI LOKASI GEDUNG'!AE232)</f>
        <v>1</v>
      </c>
      <c r="K8" s="3">
        <f>GEOMEAN('NORMALISASI LOKASI GEDUNG'!AF12,'NORMALISASI LOKASI GEDUNG'!AF122,'NORMALISASI LOKASI GEDUNG'!AF232)</f>
        <v>0.30285343213868993</v>
      </c>
      <c r="L8" s="3">
        <f>GEOMEAN('NORMALISASI LOKASI GEDUNG'!AG12,'NORMALISASI LOKASI GEDUNG'!AG122,'NORMALISASI LOKASI GEDUNG'!AG232)</f>
        <v>0.26456684199469993</v>
      </c>
      <c r="M8" s="3">
        <f>GEOMEAN('NORMALISASI LOKASI GEDUNG'!AH12,'NORMALISASI LOKASI GEDUNG'!AH122,'NORMALISASI LOKASI GEDUNG'!AH232)</f>
        <v>0.28114422176724974</v>
      </c>
      <c r="N8" s="3">
        <f>GEOMEAN('NORMALISASI LOKASI GEDUNG'!AI12,'NORMALISASI LOKASI GEDUNG'!AI122,'NORMALISASI LOKASI GEDUNG'!AI232)</f>
        <v>0.3968502629920499</v>
      </c>
      <c r="O8" s="3">
        <f>GEOMEAN('NORMALISASI LOKASI GEDUNG'!AJ12,'NORMALISASI LOKASI GEDUNG'!AJ122,'NORMALISASI LOKASI GEDUNG'!AJ232)</f>
        <v>0.3968502629920499</v>
      </c>
      <c r="P8" s="3">
        <f>GEOMEAN('NORMALISASI LOKASI GEDUNG'!AK12,'NORMALISASI LOKASI GEDUNG'!AK122,'NORMALISASI LOKASI GEDUNG'!AK232)</f>
        <v>0.28114422176724974</v>
      </c>
    </row>
    <row r="9" spans="1:16" x14ac:dyDescent="0.5">
      <c r="A9" s="2" t="s">
        <v>11</v>
      </c>
      <c r="B9" s="3">
        <f>1/I2</f>
        <v>3.6840314986403864</v>
      </c>
      <c r="C9" s="3">
        <f>1/I3</f>
        <v>0.58480354764257325</v>
      </c>
      <c r="D9" s="3">
        <f>1/I4</f>
        <v>1.5874010519681994</v>
      </c>
      <c r="E9" s="3">
        <f>1/I5</f>
        <v>1.7471609294725978</v>
      </c>
      <c r="F9" s="3">
        <f>1/I6</f>
        <v>5</v>
      </c>
      <c r="G9" s="3">
        <f>1/I7</f>
        <v>5</v>
      </c>
      <c r="H9" s="3">
        <f>1/I8</f>
        <v>1</v>
      </c>
      <c r="I9" s="3">
        <v>1</v>
      </c>
      <c r="J9" s="3">
        <f>GEOMEAN('NORMALISASI LOKASI GEDUNG'!AE13,'NORMALISASI LOKASI GEDUNG'!AE123,'NORMALISASI LOKASI GEDUNG'!AE233)</f>
        <v>0.79370052598409979</v>
      </c>
      <c r="K9" s="3">
        <f>GEOMEAN('NORMALISASI LOKASI GEDUNG'!AF13,'NORMALISASI LOKASI GEDUNG'!AF123,'NORMALISASI LOKASI GEDUNG'!AF233)</f>
        <v>0.27516060407455223</v>
      </c>
      <c r="L9" s="3">
        <f>GEOMEAN('NORMALISASI LOKASI GEDUNG'!AG13,'NORMALISASI LOKASI GEDUNG'!AG123,'NORMALISASI LOKASI GEDUNG'!AG233)</f>
        <v>0.26456684199469993</v>
      </c>
      <c r="M9" s="3">
        <f>GEOMEAN('NORMALISASI LOKASI GEDUNG'!AH13,'NORMALISASI LOKASI GEDUNG'!AH123,'NORMALISASI LOKASI GEDUNG'!AH233)</f>
        <v>0.2554364774645177</v>
      </c>
      <c r="N9" s="3">
        <f>GEOMEAN('NORMALISASI LOKASI GEDUNG'!AI13,'NORMALISASI LOKASI GEDUNG'!AI123,'NORMALISASI LOKASI GEDUNG'!AI233)</f>
        <v>0.3968502629920499</v>
      </c>
      <c r="O9" s="3">
        <f>GEOMEAN('NORMALISASI LOKASI GEDUNG'!AJ13,'NORMALISASI LOKASI GEDUNG'!AJ123,'NORMALISASI LOKASI GEDUNG'!AJ233)</f>
        <v>0.3968502629920499</v>
      </c>
      <c r="P9" s="3">
        <f>GEOMEAN('NORMALISASI LOKASI GEDUNG'!AK13,'NORMALISASI LOKASI GEDUNG'!AK123,'NORMALISASI LOKASI GEDUNG'!AK233)</f>
        <v>0.28114422176724974</v>
      </c>
    </row>
    <row r="10" spans="1:16" x14ac:dyDescent="0.5">
      <c r="A10" s="2" t="s">
        <v>12</v>
      </c>
      <c r="B10" s="3">
        <f>1/J2</f>
        <v>3.6840314986403864</v>
      </c>
      <c r="C10" s="3">
        <f>1/J3</f>
        <v>0.58480354764257325</v>
      </c>
      <c r="D10" s="3">
        <f>1/J4</f>
        <v>1.5874010519681994</v>
      </c>
      <c r="E10" s="3">
        <f>1/J5</f>
        <v>1.7471609294725978</v>
      </c>
      <c r="F10" s="3">
        <f>1/J6</f>
        <v>5</v>
      </c>
      <c r="G10" s="3">
        <f>1/J7</f>
        <v>5</v>
      </c>
      <c r="H10" s="3">
        <f>1/J8</f>
        <v>1</v>
      </c>
      <c r="I10" s="3">
        <f>1/J9</f>
        <v>1.259921049894873</v>
      </c>
      <c r="J10" s="3">
        <v>1</v>
      </c>
      <c r="K10" s="3">
        <f>GEOMEAN('NORMALISASI LOKASI GEDUNG'!AF14,'NORMALISASI LOKASI GEDUNG'!AF124,'NORMALISASI LOKASI GEDUNG'!AF234)</f>
        <v>0.30285343213868993</v>
      </c>
      <c r="L10" s="3">
        <f>GEOMEAN('NORMALISASI LOKASI GEDUNG'!AG14,'NORMALISASI LOKASI GEDUNG'!AG124,'NORMALISASI LOKASI GEDUNG'!AG234)</f>
        <v>0.30285343213868993</v>
      </c>
      <c r="M10" s="3">
        <f>GEOMEAN('NORMALISASI LOKASI GEDUNG'!AH14,'NORMALISASI LOKASI GEDUNG'!AH124,'NORMALISASI LOKASI GEDUNG'!AH234)</f>
        <v>0.28114422176724974</v>
      </c>
      <c r="N10" s="3">
        <f>GEOMEAN('NORMALISASI LOKASI GEDUNG'!AI14,'NORMALISASI LOKASI GEDUNG'!AI124,'NORMALISASI LOKASI GEDUNG'!AI234)</f>
        <v>0.3968502629920499</v>
      </c>
      <c r="O10" s="3">
        <f>GEOMEAN('NORMALISASI LOKASI GEDUNG'!AJ14,'NORMALISASI LOKASI GEDUNG'!AJ124,'NORMALISASI LOKASI GEDUNG'!AJ234)</f>
        <v>0.3968502629920499</v>
      </c>
      <c r="P10" s="3">
        <f>GEOMEAN('NORMALISASI LOKASI GEDUNG'!AK14,'NORMALISASI LOKASI GEDUNG'!AK124,'NORMALISASI LOKASI GEDUNG'!AK234)</f>
        <v>0.28114422176724974</v>
      </c>
    </row>
    <row r="11" spans="1:16" x14ac:dyDescent="0.5">
      <c r="A11" s="2" t="s">
        <v>13</v>
      </c>
      <c r="B11" s="3">
        <f>1/K2</f>
        <v>6</v>
      </c>
      <c r="C11" s="3">
        <f>1/K3</f>
        <v>1.7099759466766968</v>
      </c>
      <c r="D11" s="3">
        <f>1/K4</f>
        <v>5.3132928459130548</v>
      </c>
      <c r="E11" s="3">
        <f>1/K5</f>
        <v>6.3163595976563789</v>
      </c>
      <c r="F11" s="3">
        <f>1/K6</f>
        <v>7</v>
      </c>
      <c r="G11" s="3">
        <f>1/K7</f>
        <v>7</v>
      </c>
      <c r="H11" s="3">
        <f>1/K8</f>
        <v>3.3019272488946267</v>
      </c>
      <c r="I11" s="3">
        <f>1/K9</f>
        <v>3.6342411856642793</v>
      </c>
      <c r="J11" s="3">
        <f>1/K10</f>
        <v>3.3019272488946267</v>
      </c>
      <c r="K11" s="3">
        <v>1</v>
      </c>
      <c r="L11" s="3">
        <f>GEOMEAN('NORMALISASI LOKASI GEDUNG'!AG15,'NORMALISASI LOKASI GEDUNG'!AG125,'NORMALISASI LOKASI GEDUNG'!AG235)</f>
        <v>1.1006424162982089</v>
      </c>
      <c r="M11" s="3">
        <f>GEOMEAN('NORMALISASI LOKASI GEDUNG'!AH15,'NORMALISASI LOKASI GEDUNG'!AH125,'NORMALISASI LOKASI GEDUNG'!AH235)</f>
        <v>1.8171205928321397</v>
      </c>
      <c r="N11" s="3">
        <f>GEOMEAN('NORMALISASI LOKASI GEDUNG'!AI15,'NORMALISASI LOKASI GEDUNG'!AI125,'NORMALISASI LOKASI GEDUNG'!AI235)</f>
        <v>2.5198420997897464</v>
      </c>
      <c r="O11" s="3">
        <f>GEOMEAN('NORMALISASI LOKASI GEDUNG'!AJ15,'NORMALISASI LOKASI GEDUNG'!AJ125,'NORMALISASI LOKASI GEDUNG'!AJ235)</f>
        <v>2.5198420997897464</v>
      </c>
      <c r="P11" s="3">
        <f>GEOMEAN('NORMALISASI LOKASI GEDUNG'!AK15,'NORMALISASI LOKASI GEDUNG'!AK125,'NORMALISASI LOKASI GEDUNG'!AK235)</f>
        <v>3</v>
      </c>
    </row>
    <row r="12" spans="1:16" x14ac:dyDescent="0.5">
      <c r="A12" s="2" t="s">
        <v>14</v>
      </c>
      <c r="B12" s="3">
        <f>1/L2</f>
        <v>5.2414827884177928</v>
      </c>
      <c r="C12" s="3">
        <f>1/L3</f>
        <v>2.2894284851066637</v>
      </c>
      <c r="D12" s="3">
        <f>1/L4</f>
        <v>4.5788569702133275</v>
      </c>
      <c r="E12" s="3">
        <f>1/L5</f>
        <v>6.2144650119077181</v>
      </c>
      <c r="F12" s="3">
        <f>1/L6</f>
        <v>6.0822019955733992</v>
      </c>
      <c r="G12" s="3">
        <f>1/L7</f>
        <v>6.0822019955733992</v>
      </c>
      <c r="H12" s="3">
        <f>1/L8</f>
        <v>3.7797631496846193</v>
      </c>
      <c r="I12" s="3">
        <f>1/L9</f>
        <v>3.7797631496846193</v>
      </c>
      <c r="J12" s="3">
        <f>1/L10</f>
        <v>3.3019272488946267</v>
      </c>
      <c r="K12" s="3">
        <f>1/L11</f>
        <v>0.90856029641606983</v>
      </c>
      <c r="L12" s="3">
        <v>1</v>
      </c>
      <c r="M12" s="3">
        <f>GEOMEAN('NORMALISASI LOKASI GEDUNG'!AH16,'NORMALISASI LOKASI GEDUNG'!AH126,'NORMALISASI LOKASI GEDUNG'!AH236)</f>
        <v>1.2599210498948732</v>
      </c>
      <c r="N12" s="3">
        <f>GEOMEAN('NORMALISASI LOKASI GEDUNG'!AI16,'NORMALISASI LOKASI GEDUNG'!AI126,'NORMALISASI LOKASI GEDUNG'!AI236)</f>
        <v>1.9129311827723889</v>
      </c>
      <c r="O12" s="3">
        <f>GEOMEAN('NORMALISASI LOKASI GEDUNG'!AJ16,'NORMALISASI LOKASI GEDUNG'!AJ126,'NORMALISASI LOKASI GEDUNG'!AJ236)</f>
        <v>1.9129311827723889</v>
      </c>
      <c r="P12" s="3">
        <f>GEOMEAN('NORMALISASI LOKASI GEDUNG'!AK16,'NORMALISASI LOKASI GEDUNG'!AK126,'NORMALISASI LOKASI GEDUNG'!AK236)</f>
        <v>2.0800838230519041</v>
      </c>
    </row>
    <row r="13" spans="1:16" x14ac:dyDescent="0.5">
      <c r="A13" s="2" t="s">
        <v>15</v>
      </c>
      <c r="B13" s="3">
        <f>1/M2</f>
        <v>3.6840314986403864</v>
      </c>
      <c r="C13" s="3">
        <f>1/M3</f>
        <v>1.259921049894873</v>
      </c>
      <c r="D13" s="3">
        <f>1/M4</f>
        <v>3.6342411856642793</v>
      </c>
      <c r="E13" s="3">
        <f>1/M5</f>
        <v>4.4814047465571649</v>
      </c>
      <c r="F13" s="3">
        <f>1/M6</f>
        <v>6</v>
      </c>
      <c r="G13" s="3">
        <f>1/M7</f>
        <v>6</v>
      </c>
      <c r="H13" s="3">
        <f>1/M8</f>
        <v>3.556893304490063</v>
      </c>
      <c r="I13" s="3">
        <f>1/M9</f>
        <v>3.9148676411688639</v>
      </c>
      <c r="J13" s="3">
        <f>1/M10</f>
        <v>3.556893304490063</v>
      </c>
      <c r="K13" s="3">
        <f>1/M11</f>
        <v>0.55032120814910446</v>
      </c>
      <c r="L13" s="3">
        <f>1/M12</f>
        <v>0.79370052598409968</v>
      </c>
      <c r="M13" s="3">
        <v>1</v>
      </c>
      <c r="N13" s="3">
        <f>GEOMEAN('NORMALISASI LOKASI GEDUNG'!AI17,'NORMALISASI LOKASI GEDUNG'!AI127,'NORMALISASI LOKASI GEDUNG'!AI237)</f>
        <v>2.2894284851066637</v>
      </c>
      <c r="O13" s="3">
        <f>GEOMEAN('NORMALISASI LOKASI GEDUNG'!AJ17,'NORMALISASI LOKASI GEDUNG'!AJ127,'NORMALISASI LOKASI GEDUNG'!AJ237)</f>
        <v>2</v>
      </c>
      <c r="P13" s="3">
        <f>GEOMEAN('NORMALISASI LOKASI GEDUNG'!AK17,'NORMALISASI LOKASI GEDUNG'!AK127,'NORMALISASI LOKASI GEDUNG'!AK237)</f>
        <v>2.0800838230519041</v>
      </c>
    </row>
    <row r="14" spans="1:16" x14ac:dyDescent="0.5">
      <c r="A14" s="2" t="s">
        <v>16</v>
      </c>
      <c r="B14" s="3">
        <f>1/N2</f>
        <v>3.6342411856642793</v>
      </c>
      <c r="C14" s="3">
        <f>1/N3</f>
        <v>0.6299605249474366</v>
      </c>
      <c r="D14" s="3">
        <f>1/N4</f>
        <v>2.0800838230519041</v>
      </c>
      <c r="E14" s="3">
        <f>1/N5</f>
        <v>3.9148676411688639</v>
      </c>
      <c r="F14" s="3">
        <f>1/N6</f>
        <v>5.2414827884177928</v>
      </c>
      <c r="G14" s="3">
        <f>1/N7</f>
        <v>5.2414827884177928</v>
      </c>
      <c r="H14" s="3">
        <f>1/N8</f>
        <v>2.5198420997897459</v>
      </c>
      <c r="I14" s="3">
        <f>1/N9</f>
        <v>2.5198420997897459</v>
      </c>
      <c r="J14" s="3">
        <f>1/N10</f>
        <v>2.5198420997897459</v>
      </c>
      <c r="K14" s="3">
        <f>1/N11</f>
        <v>0.39685026299204984</v>
      </c>
      <c r="L14" s="3">
        <f>1/N12</f>
        <v>0.5227579585747103</v>
      </c>
      <c r="M14" s="3">
        <f>1/N13</f>
        <v>0.43679023236814946</v>
      </c>
      <c r="N14" s="3">
        <v>1</v>
      </c>
      <c r="O14" s="3">
        <f>GEOMEAN('NORMALISASI LOKASI GEDUNG'!AJ18,'NORMALISASI LOKASI GEDUNG'!AJ128,'NORMALISASI LOKASI GEDUNG'!AJ238)</f>
        <v>0.79370052598409979</v>
      </c>
      <c r="P14" s="3">
        <f>GEOMEAN('NORMALISASI LOKASI GEDUNG'!AK18,'NORMALISASI LOKASI GEDUNG'!AK128,'NORMALISASI LOKASI GEDUNG'!AK238)</f>
        <v>0.69336127435063466</v>
      </c>
    </row>
    <row r="15" spans="1:16" x14ac:dyDescent="0.5">
      <c r="A15" s="2" t="s">
        <v>17</v>
      </c>
      <c r="B15" s="3">
        <f>1/O2</f>
        <v>3.6342411856642793</v>
      </c>
      <c r="C15" s="3">
        <f>1/O3</f>
        <v>0.55032120814910446</v>
      </c>
      <c r="D15" s="3">
        <f>1/O4</f>
        <v>2.0800838230519041</v>
      </c>
      <c r="E15" s="3">
        <f>1/O5</f>
        <v>3.9148676411688639</v>
      </c>
      <c r="F15" s="3">
        <f>1/O6</f>
        <v>5.2414827884177928</v>
      </c>
      <c r="G15" s="3">
        <f>1/O7</f>
        <v>5.2414827884177928</v>
      </c>
      <c r="H15" s="3">
        <f>1/O8</f>
        <v>2.5198420997897459</v>
      </c>
      <c r="I15" s="3">
        <f>1/O9</f>
        <v>2.5198420997897459</v>
      </c>
      <c r="J15" s="3">
        <f>1/O10</f>
        <v>2.5198420997897459</v>
      </c>
      <c r="K15" s="3">
        <f>1/O11</f>
        <v>0.39685026299204984</v>
      </c>
      <c r="L15" s="3">
        <f>1/O12</f>
        <v>0.5227579585747103</v>
      </c>
      <c r="M15" s="3">
        <f>1/O13</f>
        <v>0.5</v>
      </c>
      <c r="N15" s="3">
        <f>1/O14</f>
        <v>1.259921049894873</v>
      </c>
      <c r="O15" s="3">
        <v>1</v>
      </c>
      <c r="P15" s="3">
        <f>GEOMEAN('NORMALISASI LOKASI GEDUNG'!AK19,'NORMALISASI LOKASI GEDUNG'!AK129,'NORMALISASI LOKASI GEDUNG'!AK239)</f>
        <v>1.2599210498948732</v>
      </c>
    </row>
    <row r="16" spans="1:16" x14ac:dyDescent="0.5">
      <c r="A16" s="2" t="s">
        <v>18</v>
      </c>
      <c r="B16" s="3">
        <f>1/P2</f>
        <v>2.6207413942088964</v>
      </c>
      <c r="C16" s="3">
        <f>1/P3</f>
        <v>1.4422495703074085</v>
      </c>
      <c r="D16" s="3">
        <f>1/P4</f>
        <v>3.9148676411688639</v>
      </c>
      <c r="E16" s="3">
        <f>1/P5</f>
        <v>3.9148676411688639</v>
      </c>
      <c r="F16" s="3">
        <f>1/P6</f>
        <v>6</v>
      </c>
      <c r="G16" s="3">
        <f>1/P7</f>
        <v>6</v>
      </c>
      <c r="H16" s="3">
        <f>1/P8</f>
        <v>3.556893304490063</v>
      </c>
      <c r="I16" s="3">
        <f>1/P9</f>
        <v>3.556893304490063</v>
      </c>
      <c r="J16" s="3">
        <f>1/P10</f>
        <v>3.556893304490063</v>
      </c>
      <c r="K16" s="3">
        <f>1/P11</f>
        <v>0.33333333333333331</v>
      </c>
      <c r="L16" s="3">
        <f>1/P12</f>
        <v>0.48074985676913612</v>
      </c>
      <c r="M16" s="3">
        <f>1/P13</f>
        <v>0.48074985676913612</v>
      </c>
      <c r="N16" s="3">
        <f>1/P14</f>
        <v>1.4422495703074085</v>
      </c>
      <c r="O16" s="3">
        <f>1/P15</f>
        <v>0.79370052598409968</v>
      </c>
      <c r="P16" s="3">
        <v>1</v>
      </c>
    </row>
    <row r="17" spans="1:17" x14ac:dyDescent="0.5">
      <c r="A17" s="75" t="s">
        <v>67</v>
      </c>
      <c r="B17">
        <f>SUM(B2:B16)</f>
        <v>48.703299617746119</v>
      </c>
      <c r="C17">
        <f t="shared" ref="C17:P17" si="0">SUM(C2:C16)</f>
        <v>11.80072950568224</v>
      </c>
      <c r="D17">
        <f t="shared" si="0"/>
        <v>32.609036426969162</v>
      </c>
      <c r="E17">
        <f t="shared" si="0"/>
        <v>41.816716101114416</v>
      </c>
      <c r="F17">
        <f t="shared" si="0"/>
        <v>66.60207984731241</v>
      </c>
      <c r="G17">
        <f t="shared" si="0"/>
        <v>66.60207984731241</v>
      </c>
      <c r="H17">
        <f t="shared" si="0"/>
        <v>25.90558517341297</v>
      </c>
      <c r="I17">
        <f t="shared" si="0"/>
        <v>26.769105885042482</v>
      </c>
      <c r="J17">
        <f t="shared" si="0"/>
        <v>25.134761186893261</v>
      </c>
      <c r="K17">
        <f t="shared" si="0"/>
        <v>5.8504935799664368</v>
      </c>
      <c r="L17">
        <f t="shared" si="0"/>
        <v>6.5883100619850703</v>
      </c>
      <c r="M17">
        <f t="shared" si="0"/>
        <v>8.2090871946088502</v>
      </c>
      <c r="N17">
        <f t="shared" si="0"/>
        <v>14.59524258130808</v>
      </c>
      <c r="O17">
        <f t="shared" si="0"/>
        <v>13.420764068831275</v>
      </c>
      <c r="P17">
        <f t="shared" si="0"/>
        <v>12.876021612448511</v>
      </c>
    </row>
    <row r="20" spans="1:17" x14ac:dyDescent="0.5">
      <c r="A20" s="63" t="s">
        <v>19</v>
      </c>
      <c r="B20" s="2" t="s">
        <v>4</v>
      </c>
      <c r="C20" s="2" t="s">
        <v>5</v>
      </c>
      <c r="D20" s="2" t="s">
        <v>6</v>
      </c>
      <c r="E20" s="2" t="s">
        <v>7</v>
      </c>
      <c r="F20" s="2" t="s">
        <v>8</v>
      </c>
      <c r="G20" s="2" t="s">
        <v>9</v>
      </c>
      <c r="H20" s="2" t="s">
        <v>10</v>
      </c>
      <c r="I20" s="2" t="s">
        <v>11</v>
      </c>
      <c r="J20" s="2" t="s">
        <v>12</v>
      </c>
      <c r="K20" s="2" t="s">
        <v>13</v>
      </c>
      <c r="L20" s="2" t="s">
        <v>14</v>
      </c>
      <c r="M20" s="2" t="s">
        <v>15</v>
      </c>
      <c r="N20" s="2" t="s">
        <v>16</v>
      </c>
      <c r="O20" s="2" t="s">
        <v>17</v>
      </c>
      <c r="P20" s="2" t="s">
        <v>18</v>
      </c>
      <c r="Q20" s="75" t="s">
        <v>68</v>
      </c>
    </row>
    <row r="21" spans="1:17" x14ac:dyDescent="0.5">
      <c r="A21" s="2" t="s">
        <v>4</v>
      </c>
      <c r="B21" s="3">
        <f t="shared" ref="B21:B35" si="1">B2/$B$17</f>
        <v>2.0532489746046448E-2</v>
      </c>
      <c r="C21" s="3">
        <f t="shared" ref="C21:C35" si="2">C2/$C$17</f>
        <v>3.0715060807026129E-2</v>
      </c>
      <c r="D21" s="3">
        <f t="shared" ref="D21:D35" si="3">D2/$D$17</f>
        <v>1.170140108368449E-2</v>
      </c>
      <c r="E21" s="3">
        <f t="shared" ref="E21:E35" si="4">E2/$E$17</f>
        <v>1.0445349924464992E-2</v>
      </c>
      <c r="F21" s="3">
        <f t="shared" ref="F21:F35" si="5">F2/$F$17</f>
        <v>8.2628231642425439E-3</v>
      </c>
      <c r="G21" s="3">
        <f t="shared" ref="G21:G35" si="6">G2/$G$17</f>
        <v>8.2628231642425439E-3</v>
      </c>
      <c r="H21" s="3">
        <f t="shared" ref="H21:H35" si="7">H2/$H$17</f>
        <v>9.1534786306507118E-3</v>
      </c>
      <c r="I21" s="3">
        <f t="shared" ref="I21:I35" si="8">I2/$I$17</f>
        <v>1.0140113114915862E-2</v>
      </c>
      <c r="J21" s="3">
        <f t="shared" ref="J21:J35" si="9">J2/$J$17</f>
        <v>1.0799456563010288E-2</v>
      </c>
      <c r="K21" s="3">
        <f t="shared" ref="K21:K35" si="10">K2/$K$17</f>
        <v>2.8487624913797922E-2</v>
      </c>
      <c r="L21" s="3">
        <f t="shared" ref="L21:L35" si="11">L2/$L$17</f>
        <v>2.8958216188558965E-2</v>
      </c>
      <c r="M21" s="3">
        <f t="shared" ref="M21:M35" si="12">M2/$M$17</f>
        <v>3.3066010291345732E-2</v>
      </c>
      <c r="N21" s="3">
        <f t="shared" ref="N21:N35" si="13">N2/$N$17</f>
        <v>1.8852759900472398E-2</v>
      </c>
      <c r="O21" s="3">
        <f t="shared" ref="O21:O35" si="14">O2/$O$17</f>
        <v>2.050260347796384E-2</v>
      </c>
      <c r="P21" s="3">
        <f t="shared" ref="P21:P35" si="15">P2/$P$17</f>
        <v>2.9634263258423044E-2</v>
      </c>
      <c r="Q21">
        <f>AVERAGE(B21:P21)</f>
        <v>1.8634298281923058E-2</v>
      </c>
    </row>
    <row r="22" spans="1:17" x14ac:dyDescent="0.5">
      <c r="A22" s="2" t="s">
        <v>5</v>
      </c>
      <c r="B22" s="3">
        <f t="shared" si="1"/>
        <v>5.6647582361664998E-2</v>
      </c>
      <c r="C22" s="3">
        <f t="shared" si="2"/>
        <v>8.4740523839520604E-2</v>
      </c>
      <c r="D22" s="3">
        <f t="shared" si="3"/>
        <v>0.12005468637310268</v>
      </c>
      <c r="E22" s="3">
        <f t="shared" si="4"/>
        <v>0.10084874470562166</v>
      </c>
      <c r="F22" s="3">
        <f t="shared" si="5"/>
        <v>9.7043577091180944E-2</v>
      </c>
      <c r="G22" s="3">
        <f t="shared" si="6"/>
        <v>9.7043577091180944E-2</v>
      </c>
      <c r="H22" s="3">
        <f t="shared" si="7"/>
        <v>6.6008003109370161E-2</v>
      </c>
      <c r="I22" s="3">
        <f t="shared" si="8"/>
        <v>6.3878709808987827E-2</v>
      </c>
      <c r="J22" s="3">
        <f t="shared" si="9"/>
        <v>6.8032313255809995E-2</v>
      </c>
      <c r="K22" s="3">
        <f t="shared" si="10"/>
        <v>9.9957984680999881E-2</v>
      </c>
      <c r="L22" s="3">
        <f t="shared" si="11"/>
        <v>6.6297765019963817E-2</v>
      </c>
      <c r="M22" s="3">
        <f t="shared" si="12"/>
        <v>9.6685600623824086E-2</v>
      </c>
      <c r="N22" s="3">
        <f t="shared" si="13"/>
        <v>0.10876153946226022</v>
      </c>
      <c r="O22" s="3">
        <f t="shared" si="14"/>
        <v>0.13539621019434109</v>
      </c>
      <c r="P22" s="3">
        <f t="shared" si="15"/>
        <v>5.3849030020289373E-2</v>
      </c>
      <c r="Q22">
        <f t="shared" ref="Q22:Q35" si="16">AVERAGE(B22:P22)</f>
        <v>8.7683056509207907E-2</v>
      </c>
    </row>
    <row r="23" spans="1:17" x14ac:dyDescent="0.5">
      <c r="A23" s="2" t="s">
        <v>6</v>
      </c>
      <c r="B23" s="3">
        <f t="shared" si="1"/>
        <v>5.3810345803633634E-2</v>
      </c>
      <c r="C23" s="3">
        <f t="shared" si="2"/>
        <v>2.164582090806513E-2</v>
      </c>
      <c r="D23" s="3">
        <f t="shared" si="3"/>
        <v>3.0666346190252783E-2</v>
      </c>
      <c r="E23" s="3">
        <f t="shared" si="4"/>
        <v>3.7960920894165938E-2</v>
      </c>
      <c r="F23" s="3">
        <f t="shared" si="5"/>
        <v>6.4695718060787305E-2</v>
      </c>
      <c r="G23" s="3">
        <f t="shared" si="6"/>
        <v>6.4695718060787305E-2</v>
      </c>
      <c r="H23" s="3">
        <f t="shared" si="7"/>
        <v>2.6764933882375094E-2</v>
      </c>
      <c r="I23" s="3">
        <f t="shared" si="8"/>
        <v>2.353311790288198E-2</v>
      </c>
      <c r="J23" s="3">
        <f t="shared" si="9"/>
        <v>2.5063318495977396E-2</v>
      </c>
      <c r="K23" s="3">
        <f t="shared" si="10"/>
        <v>3.2169457705359186E-2</v>
      </c>
      <c r="L23" s="3">
        <f t="shared" si="11"/>
        <v>3.3148882509981908E-2</v>
      </c>
      <c r="M23" s="3">
        <f t="shared" si="12"/>
        <v>3.3519025629945597E-2</v>
      </c>
      <c r="N23" s="3">
        <f t="shared" si="13"/>
        <v>3.2938805510833072E-2</v>
      </c>
      <c r="O23" s="3">
        <f t="shared" si="14"/>
        <v>3.5821347749167412E-2</v>
      </c>
      <c r="P23" s="3">
        <f t="shared" si="15"/>
        <v>1.9838152276597784E-2</v>
      </c>
      <c r="Q23">
        <f t="shared" si="16"/>
        <v>3.5751460772054107E-2</v>
      </c>
    </row>
    <row r="24" spans="1:17" x14ac:dyDescent="0.5">
      <c r="A24" s="2" t="s">
        <v>7</v>
      </c>
      <c r="B24" s="3">
        <f t="shared" si="1"/>
        <v>4.7007666894759222E-2</v>
      </c>
      <c r="C24" s="3">
        <f t="shared" si="2"/>
        <v>2.0094200124251425E-2</v>
      </c>
      <c r="D24" s="3">
        <f t="shared" si="3"/>
        <v>1.9318587544231467E-2</v>
      </c>
      <c r="E24" s="3">
        <f t="shared" si="4"/>
        <v>2.3913881653976888E-2</v>
      </c>
      <c r="F24" s="3">
        <f t="shared" si="5"/>
        <v>4.0755748511424925E-2</v>
      </c>
      <c r="G24" s="3">
        <f t="shared" si="6"/>
        <v>4.0755748511424925E-2</v>
      </c>
      <c r="H24" s="3">
        <f t="shared" si="7"/>
        <v>2.4317556261727227E-2</v>
      </c>
      <c r="I24" s="3">
        <f t="shared" si="8"/>
        <v>2.138125657743677E-2</v>
      </c>
      <c r="J24" s="3">
        <f t="shared" si="9"/>
        <v>2.2771536081875588E-2</v>
      </c>
      <c r="K24" s="3">
        <f t="shared" si="10"/>
        <v>2.7060800899652356E-2</v>
      </c>
      <c r="L24" s="3">
        <f t="shared" si="11"/>
        <v>2.4424305462300549E-2</v>
      </c>
      <c r="M24" s="3">
        <f t="shared" si="12"/>
        <v>2.7182597943484141E-2</v>
      </c>
      <c r="N24" s="3">
        <f t="shared" si="13"/>
        <v>1.7501351967363091E-2</v>
      </c>
      <c r="O24" s="3">
        <f t="shared" si="14"/>
        <v>1.9032931072661494E-2</v>
      </c>
      <c r="P24" s="3">
        <f t="shared" si="15"/>
        <v>1.9838152276597784E-2</v>
      </c>
      <c r="Q24">
        <f t="shared" si="16"/>
        <v>2.6357088118877863E-2</v>
      </c>
    </row>
    <row r="25" spans="1:17" x14ac:dyDescent="0.5">
      <c r="A25" s="2" t="s">
        <v>8</v>
      </c>
      <c r="B25" s="3">
        <f t="shared" si="1"/>
        <v>3.7310009939655747E-2</v>
      </c>
      <c r="C25" s="3">
        <f t="shared" si="2"/>
        <v>1.3111022306933878E-2</v>
      </c>
      <c r="D25" s="3">
        <f t="shared" si="3"/>
        <v>7.1170285022190546E-3</v>
      </c>
      <c r="E25" s="3">
        <f t="shared" si="4"/>
        <v>8.8099493268009327E-3</v>
      </c>
      <c r="F25" s="3">
        <f t="shared" si="5"/>
        <v>1.5014546126675547E-2</v>
      </c>
      <c r="G25" s="3">
        <f t="shared" si="6"/>
        <v>1.5014546126675547E-2</v>
      </c>
      <c r="H25" s="3">
        <f t="shared" si="7"/>
        <v>7.7203428782323356E-3</v>
      </c>
      <c r="I25" s="3">
        <f t="shared" si="8"/>
        <v>7.4712992230253046E-3</v>
      </c>
      <c r="J25" s="3">
        <f t="shared" si="9"/>
        <v>7.9571076292657104E-3</v>
      </c>
      <c r="K25" s="3">
        <f t="shared" si="10"/>
        <v>2.4417964211826789E-2</v>
      </c>
      <c r="L25" s="3">
        <f t="shared" si="11"/>
        <v>2.4955434207229728E-2</v>
      </c>
      <c r="M25" s="3">
        <f t="shared" si="12"/>
        <v>2.0302703907947472E-2</v>
      </c>
      <c r="N25" s="3">
        <f t="shared" si="13"/>
        <v>1.3071773629618087E-2</v>
      </c>
      <c r="O25" s="3">
        <f t="shared" si="14"/>
        <v>1.4215711274986763E-2</v>
      </c>
      <c r="P25" s="3">
        <f t="shared" si="15"/>
        <v>1.2943956734705515E-2</v>
      </c>
      <c r="Q25">
        <f t="shared" si="16"/>
        <v>1.529555973505323E-2</v>
      </c>
    </row>
    <row r="26" spans="1:17" x14ac:dyDescent="0.5">
      <c r="A26" s="2" t="s">
        <v>9</v>
      </c>
      <c r="B26" s="3">
        <f t="shared" si="1"/>
        <v>3.7310009939655747E-2</v>
      </c>
      <c r="C26" s="3">
        <f t="shared" si="2"/>
        <v>1.3111022306933878E-2</v>
      </c>
      <c r="D26" s="3">
        <f t="shared" si="3"/>
        <v>7.1170285022190546E-3</v>
      </c>
      <c r="E26" s="3">
        <f t="shared" si="4"/>
        <v>8.8099493268009327E-3</v>
      </c>
      <c r="F26" s="3">
        <f t="shared" si="5"/>
        <v>1.5014546126675547E-2</v>
      </c>
      <c r="G26" s="3">
        <f t="shared" si="6"/>
        <v>1.5014546126675547E-2</v>
      </c>
      <c r="H26" s="3">
        <f t="shared" si="7"/>
        <v>7.7203428782323356E-3</v>
      </c>
      <c r="I26" s="3">
        <f t="shared" si="8"/>
        <v>7.4712992230253046E-3</v>
      </c>
      <c r="J26" s="3">
        <f t="shared" si="9"/>
        <v>7.9571076292657104E-3</v>
      </c>
      <c r="K26" s="3">
        <f t="shared" si="10"/>
        <v>2.4417964211826789E-2</v>
      </c>
      <c r="L26" s="3">
        <f t="shared" si="11"/>
        <v>2.4955434207229728E-2</v>
      </c>
      <c r="M26" s="3">
        <f t="shared" si="12"/>
        <v>2.0302703907947472E-2</v>
      </c>
      <c r="N26" s="3">
        <f t="shared" si="13"/>
        <v>1.3071773629618087E-2</v>
      </c>
      <c r="O26" s="3">
        <f t="shared" si="14"/>
        <v>1.4215711274986763E-2</v>
      </c>
      <c r="P26" s="3">
        <f t="shared" si="15"/>
        <v>1.2943956734705515E-2</v>
      </c>
      <c r="Q26">
        <f t="shared" si="16"/>
        <v>1.529555973505323E-2</v>
      </c>
    </row>
    <row r="27" spans="1:17" x14ac:dyDescent="0.5">
      <c r="A27" s="2" t="s">
        <v>10</v>
      </c>
      <c r="B27" s="3">
        <f t="shared" si="1"/>
        <v>8.6588862758943966E-2</v>
      </c>
      <c r="C27" s="3">
        <f t="shared" si="2"/>
        <v>4.95565589704417E-2</v>
      </c>
      <c r="D27" s="3">
        <f t="shared" si="3"/>
        <v>4.4228524615790313E-2</v>
      </c>
      <c r="E27" s="3">
        <f t="shared" si="4"/>
        <v>3.7960920894165938E-2</v>
      </c>
      <c r="F27" s="3">
        <f t="shared" si="5"/>
        <v>7.5072730633377729E-2</v>
      </c>
      <c r="G27" s="3">
        <f t="shared" si="6"/>
        <v>7.5072730633377729E-2</v>
      </c>
      <c r="H27" s="3">
        <f t="shared" si="7"/>
        <v>3.8601714391161675E-2</v>
      </c>
      <c r="I27" s="3">
        <f t="shared" si="8"/>
        <v>3.7356496115126522E-2</v>
      </c>
      <c r="J27" s="3">
        <f t="shared" si="9"/>
        <v>3.9785538146328549E-2</v>
      </c>
      <c r="K27" s="3">
        <f t="shared" si="10"/>
        <v>5.1765449871740109E-2</v>
      </c>
      <c r="L27" s="3">
        <f t="shared" si="11"/>
        <v>4.0157011358840852E-2</v>
      </c>
      <c r="M27" s="3">
        <f t="shared" si="12"/>
        <v>3.4247927339824756E-2</v>
      </c>
      <c r="N27" s="3">
        <f t="shared" si="13"/>
        <v>2.7190384865565059E-2</v>
      </c>
      <c r="O27" s="3">
        <f t="shared" si="14"/>
        <v>2.9569871056276526E-2</v>
      </c>
      <c r="P27" s="3">
        <f t="shared" si="15"/>
        <v>2.1834711856606397E-2</v>
      </c>
      <c r="Q27">
        <f t="shared" si="16"/>
        <v>4.5932628900504514E-2</v>
      </c>
    </row>
    <row r="28" spans="1:17" x14ac:dyDescent="0.5">
      <c r="A28" s="2" t="s">
        <v>11</v>
      </c>
      <c r="B28" s="3">
        <f t="shared" si="1"/>
        <v>7.5642338969945863E-2</v>
      </c>
      <c r="C28" s="3">
        <f t="shared" si="2"/>
        <v>4.95565589704417E-2</v>
      </c>
      <c r="D28" s="3">
        <f t="shared" si="3"/>
        <v>4.8679790202428248E-2</v>
      </c>
      <c r="E28" s="3">
        <f t="shared" si="4"/>
        <v>4.1781399697859968E-2</v>
      </c>
      <c r="F28" s="3">
        <f t="shared" si="5"/>
        <v>7.5072730633377729E-2</v>
      </c>
      <c r="G28" s="3">
        <f t="shared" si="6"/>
        <v>7.5072730633377729E-2</v>
      </c>
      <c r="H28" s="3">
        <f t="shared" si="7"/>
        <v>3.8601714391161675E-2</v>
      </c>
      <c r="I28" s="3">
        <f t="shared" si="8"/>
        <v>3.7356496115126522E-2</v>
      </c>
      <c r="J28" s="3">
        <f t="shared" si="9"/>
        <v>3.1577802553301434E-2</v>
      </c>
      <c r="K28" s="3">
        <f t="shared" si="10"/>
        <v>4.7032032479579405E-2</v>
      </c>
      <c r="L28" s="3">
        <f t="shared" si="11"/>
        <v>4.0157011358840852E-2</v>
      </c>
      <c r="M28" s="3">
        <f t="shared" si="12"/>
        <v>3.1116307015507202E-2</v>
      </c>
      <c r="N28" s="3">
        <f t="shared" si="13"/>
        <v>2.7190384865565059E-2</v>
      </c>
      <c r="O28" s="3">
        <f t="shared" si="14"/>
        <v>2.9569871056276526E-2</v>
      </c>
      <c r="P28" s="3">
        <f t="shared" si="15"/>
        <v>2.1834711856606397E-2</v>
      </c>
      <c r="Q28">
        <f t="shared" si="16"/>
        <v>4.4682792053293077E-2</v>
      </c>
    </row>
    <row r="29" spans="1:17" x14ac:dyDescent="0.5">
      <c r="A29" s="2" t="s">
        <v>12</v>
      </c>
      <c r="B29" s="3">
        <f t="shared" si="1"/>
        <v>7.5642338969945863E-2</v>
      </c>
      <c r="C29" s="3">
        <f t="shared" si="2"/>
        <v>4.95565589704417E-2</v>
      </c>
      <c r="D29" s="3">
        <f t="shared" si="3"/>
        <v>4.8679790202428248E-2</v>
      </c>
      <c r="E29" s="3">
        <f t="shared" si="4"/>
        <v>4.1781399697859968E-2</v>
      </c>
      <c r="F29" s="3">
        <f t="shared" si="5"/>
        <v>7.5072730633377729E-2</v>
      </c>
      <c r="G29" s="3">
        <f t="shared" si="6"/>
        <v>7.5072730633377729E-2</v>
      </c>
      <c r="H29" s="3">
        <f t="shared" si="7"/>
        <v>3.8601714391161675E-2</v>
      </c>
      <c r="I29" s="3">
        <f t="shared" si="8"/>
        <v>4.7066235805763953E-2</v>
      </c>
      <c r="J29" s="3">
        <f t="shared" si="9"/>
        <v>3.9785538146328549E-2</v>
      </c>
      <c r="K29" s="3">
        <f t="shared" si="10"/>
        <v>5.1765449871740109E-2</v>
      </c>
      <c r="L29" s="3">
        <f t="shared" si="11"/>
        <v>4.5968302840841038E-2</v>
      </c>
      <c r="M29" s="3">
        <f t="shared" si="12"/>
        <v>3.4247927339824756E-2</v>
      </c>
      <c r="N29" s="3">
        <f t="shared" si="13"/>
        <v>2.7190384865565059E-2</v>
      </c>
      <c r="O29" s="3">
        <f t="shared" si="14"/>
        <v>2.9569871056276526E-2</v>
      </c>
      <c r="P29" s="3">
        <f t="shared" si="15"/>
        <v>2.1834711856606397E-2</v>
      </c>
      <c r="Q29">
        <f t="shared" si="16"/>
        <v>4.6789045685435952E-2</v>
      </c>
    </row>
    <row r="30" spans="1:17" x14ac:dyDescent="0.5">
      <c r="A30" s="2" t="s">
        <v>13</v>
      </c>
      <c r="B30" s="3">
        <f t="shared" si="1"/>
        <v>0.12319493847627867</v>
      </c>
      <c r="C30" s="3">
        <f t="shared" si="2"/>
        <v>0.14490425747436345</v>
      </c>
      <c r="D30" s="3">
        <f t="shared" si="3"/>
        <v>0.16293927782296319</v>
      </c>
      <c r="E30" s="3">
        <f t="shared" si="4"/>
        <v>0.15104867590231572</v>
      </c>
      <c r="F30" s="3">
        <f t="shared" si="5"/>
        <v>0.10510182288672883</v>
      </c>
      <c r="G30" s="3">
        <f t="shared" si="6"/>
        <v>0.10510182288672883</v>
      </c>
      <c r="H30" s="3">
        <f t="shared" si="7"/>
        <v>0.12746005260222459</v>
      </c>
      <c r="I30" s="3">
        <f t="shared" si="8"/>
        <v>0.13576251673370046</v>
      </c>
      <c r="J30" s="3">
        <f t="shared" si="9"/>
        <v>0.13136895251729885</v>
      </c>
      <c r="K30" s="3">
        <f t="shared" si="10"/>
        <v>0.17092574948278755</v>
      </c>
      <c r="L30" s="3">
        <f t="shared" si="11"/>
        <v>0.16705989941927282</v>
      </c>
      <c r="M30" s="3">
        <f t="shared" si="12"/>
        <v>0.22135476816782948</v>
      </c>
      <c r="N30" s="3">
        <f t="shared" si="13"/>
        <v>0.17264818215607272</v>
      </c>
      <c r="O30" s="3">
        <f t="shared" si="14"/>
        <v>0.18775697768518948</v>
      </c>
      <c r="P30" s="3">
        <f t="shared" si="15"/>
        <v>0.23299122122469926</v>
      </c>
      <c r="Q30">
        <f t="shared" si="16"/>
        <v>0.15597460769589691</v>
      </c>
    </row>
    <row r="31" spans="1:17" x14ac:dyDescent="0.5">
      <c r="A31" s="2" t="s">
        <v>14</v>
      </c>
      <c r="B31" s="3">
        <f t="shared" si="1"/>
        <v>0.10762069160726727</v>
      </c>
      <c r="C31" s="3">
        <f t="shared" si="2"/>
        <v>0.19400736912105879</v>
      </c>
      <c r="D31" s="3">
        <f t="shared" si="3"/>
        <v>0.14041681300421388</v>
      </c>
      <c r="E31" s="3">
        <f t="shared" si="4"/>
        <v>0.14861198083754124</v>
      </c>
      <c r="F31" s="3">
        <f t="shared" si="5"/>
        <v>9.1321502414294861E-2</v>
      </c>
      <c r="G31" s="3">
        <f t="shared" si="6"/>
        <v>9.1321502414294861E-2</v>
      </c>
      <c r="H31" s="3">
        <f t="shared" si="7"/>
        <v>0.14590533757036336</v>
      </c>
      <c r="I31" s="3">
        <f t="shared" si="8"/>
        <v>0.14119870741729187</v>
      </c>
      <c r="J31" s="3">
        <f t="shared" si="9"/>
        <v>0.13136895251729885</v>
      </c>
      <c r="K31" s="3">
        <f t="shared" si="10"/>
        <v>0.15529634961522035</v>
      </c>
      <c r="L31" s="3">
        <f t="shared" si="11"/>
        <v>0.15178399173561333</v>
      </c>
      <c r="M31" s="3">
        <f t="shared" si="12"/>
        <v>0.15347882414043557</v>
      </c>
      <c r="N31" s="3">
        <f t="shared" si="13"/>
        <v>0.13106539148737772</v>
      </c>
      <c r="O31" s="3">
        <f t="shared" si="14"/>
        <v>0.14253519195788777</v>
      </c>
      <c r="P31" s="3">
        <f t="shared" si="15"/>
        <v>0.16154709006086812</v>
      </c>
      <c r="Q31">
        <f t="shared" si="16"/>
        <v>0.13916531306006855</v>
      </c>
    </row>
    <row r="32" spans="1:17" x14ac:dyDescent="0.5">
      <c r="A32" s="2" t="s">
        <v>15</v>
      </c>
      <c r="B32" s="3">
        <f t="shared" si="1"/>
        <v>7.5642338969945863E-2</v>
      </c>
      <c r="C32" s="3">
        <f t="shared" si="2"/>
        <v>0.10676636976453031</v>
      </c>
      <c r="D32" s="3">
        <f t="shared" si="3"/>
        <v>0.11144889833845553</v>
      </c>
      <c r="E32" s="3">
        <f t="shared" si="4"/>
        <v>0.10716778275273833</v>
      </c>
      <c r="F32" s="3">
        <f t="shared" si="5"/>
        <v>9.0087276760053278E-2</v>
      </c>
      <c r="G32" s="3">
        <f t="shared" si="6"/>
        <v>9.0087276760053278E-2</v>
      </c>
      <c r="H32" s="3">
        <f t="shared" si="7"/>
        <v>0.13730217945976067</v>
      </c>
      <c r="I32" s="3">
        <f t="shared" si="8"/>
        <v>0.14624573782855921</v>
      </c>
      <c r="J32" s="3">
        <f t="shared" si="9"/>
        <v>0.14151291424821</v>
      </c>
      <c r="K32" s="3">
        <f t="shared" si="10"/>
        <v>9.4064064959158811E-2</v>
      </c>
      <c r="L32" s="3">
        <f t="shared" si="11"/>
        <v>0.12047103407652253</v>
      </c>
      <c r="M32" s="3">
        <f t="shared" si="12"/>
        <v>0.12181622344768485</v>
      </c>
      <c r="N32" s="3">
        <f t="shared" si="13"/>
        <v>0.15686128355541704</v>
      </c>
      <c r="O32" s="3">
        <f t="shared" si="14"/>
        <v>0.14902281194591976</v>
      </c>
      <c r="P32" s="3">
        <f t="shared" si="15"/>
        <v>0.16154709006086812</v>
      </c>
      <c r="Q32">
        <f t="shared" si="16"/>
        <v>0.12066955219519186</v>
      </c>
    </row>
    <row r="33" spans="1:17" x14ac:dyDescent="0.5">
      <c r="A33" s="2" t="s">
        <v>16</v>
      </c>
      <c r="B33" s="3">
        <f t="shared" si="1"/>
        <v>7.4620019879311494E-2</v>
      </c>
      <c r="C33" s="3">
        <f t="shared" si="2"/>
        <v>5.3383184882265164E-2</v>
      </c>
      <c r="D33" s="3">
        <f t="shared" si="3"/>
        <v>6.3788570622454202E-2</v>
      </c>
      <c r="E33" s="3">
        <f t="shared" si="4"/>
        <v>9.3619681461895865E-2</v>
      </c>
      <c r="F33" s="3">
        <f t="shared" si="5"/>
        <v>7.8698485098874907E-2</v>
      </c>
      <c r="G33" s="3">
        <f t="shared" si="6"/>
        <v>7.8698485098874907E-2</v>
      </c>
      <c r="H33" s="3">
        <f t="shared" si="7"/>
        <v>9.7270225046908895E-2</v>
      </c>
      <c r="I33" s="3">
        <f t="shared" si="8"/>
        <v>9.4132471611527907E-2</v>
      </c>
      <c r="J33" s="3">
        <f t="shared" si="9"/>
        <v>0.10025327398390955</v>
      </c>
      <c r="K33" s="3">
        <f t="shared" si="10"/>
        <v>6.7831928634357455E-2</v>
      </c>
      <c r="L33" s="3">
        <f t="shared" si="11"/>
        <v>7.9346289664029915E-2</v>
      </c>
      <c r="M33" s="3">
        <f t="shared" si="12"/>
        <v>5.3208136545924677E-2</v>
      </c>
      <c r="N33" s="3">
        <f t="shared" si="13"/>
        <v>6.8515476493736793E-2</v>
      </c>
      <c r="O33" s="3">
        <f t="shared" si="14"/>
        <v>5.9139742112553052E-2</v>
      </c>
      <c r="P33" s="3">
        <f t="shared" si="15"/>
        <v>5.3849030020289373E-2</v>
      </c>
      <c r="Q33">
        <f t="shared" si="16"/>
        <v>7.4423666743794289E-2</v>
      </c>
    </row>
    <row r="34" spans="1:17" x14ac:dyDescent="0.5">
      <c r="A34" s="2" t="s">
        <v>17</v>
      </c>
      <c r="B34" s="3">
        <f t="shared" si="1"/>
        <v>7.4620019879311494E-2</v>
      </c>
      <c r="C34" s="3">
        <f t="shared" si="2"/>
        <v>4.6634507458552965E-2</v>
      </c>
      <c r="D34" s="3">
        <f t="shared" si="3"/>
        <v>6.3788570622454202E-2</v>
      </c>
      <c r="E34" s="3">
        <f t="shared" si="4"/>
        <v>9.3619681461895865E-2</v>
      </c>
      <c r="F34" s="3">
        <f t="shared" si="5"/>
        <v>7.8698485098874907E-2</v>
      </c>
      <c r="G34" s="3">
        <f t="shared" si="6"/>
        <v>7.8698485098874907E-2</v>
      </c>
      <c r="H34" s="3">
        <f t="shared" si="7"/>
        <v>9.7270225046908895E-2</v>
      </c>
      <c r="I34" s="3">
        <f t="shared" si="8"/>
        <v>9.4132471611527907E-2</v>
      </c>
      <c r="J34" s="3">
        <f t="shared" si="9"/>
        <v>0.10025327398390955</v>
      </c>
      <c r="K34" s="3">
        <f t="shared" si="10"/>
        <v>6.7831928634357455E-2</v>
      </c>
      <c r="L34" s="3">
        <f t="shared" si="11"/>
        <v>7.9346289664029915E-2</v>
      </c>
      <c r="M34" s="3">
        <f t="shared" si="12"/>
        <v>6.0908111723842424E-2</v>
      </c>
      <c r="N34" s="3">
        <f t="shared" si="13"/>
        <v>8.6324091078036347E-2</v>
      </c>
      <c r="O34" s="3">
        <f t="shared" si="14"/>
        <v>7.4511405972959882E-2</v>
      </c>
      <c r="P34" s="3">
        <f t="shared" si="15"/>
        <v>9.7850181353903914E-2</v>
      </c>
      <c r="Q34">
        <f t="shared" si="16"/>
        <v>7.9632515245962709E-2</v>
      </c>
    </row>
    <row r="35" spans="1:17" x14ac:dyDescent="0.5">
      <c r="A35" s="2" t="s">
        <v>18</v>
      </c>
      <c r="B35" s="3">
        <f t="shared" si="1"/>
        <v>5.3810345803633634E-2</v>
      </c>
      <c r="C35" s="3">
        <f t="shared" si="2"/>
        <v>0.1222169840951733</v>
      </c>
      <c r="D35" s="3">
        <f t="shared" si="3"/>
        <v>0.1200546863731027</v>
      </c>
      <c r="E35" s="3">
        <f t="shared" si="4"/>
        <v>9.3619681461895865E-2</v>
      </c>
      <c r="F35" s="3">
        <f t="shared" si="5"/>
        <v>9.0087276760053278E-2</v>
      </c>
      <c r="G35" s="3">
        <f t="shared" si="6"/>
        <v>9.0087276760053278E-2</v>
      </c>
      <c r="H35" s="3">
        <f t="shared" si="7"/>
        <v>0.13730217945976067</v>
      </c>
      <c r="I35" s="3">
        <f t="shared" si="8"/>
        <v>0.13287307091110259</v>
      </c>
      <c r="J35" s="3">
        <f t="shared" si="9"/>
        <v>0.14151291424821</v>
      </c>
      <c r="K35" s="3">
        <f t="shared" si="10"/>
        <v>5.6975249827595845E-2</v>
      </c>
      <c r="L35" s="3">
        <f t="shared" si="11"/>
        <v>7.2970132286743844E-2</v>
      </c>
      <c r="M35" s="3">
        <f t="shared" si="12"/>
        <v>5.8563131974631567E-2</v>
      </c>
      <c r="N35" s="3">
        <f t="shared" si="13"/>
        <v>9.8816416532499229E-2</v>
      </c>
      <c r="O35" s="3">
        <f t="shared" si="14"/>
        <v>5.9139742112553045E-2</v>
      </c>
      <c r="P35" s="3">
        <f t="shared" si="15"/>
        <v>7.7663740408233081E-2</v>
      </c>
      <c r="Q35">
        <f t="shared" si="16"/>
        <v>9.3712855267682776E-2</v>
      </c>
    </row>
    <row r="36" spans="1:17" x14ac:dyDescent="0.5">
      <c r="A36" s="75" t="s">
        <v>67</v>
      </c>
      <c r="B36">
        <f>SUM(B21:B35)</f>
        <v>1</v>
      </c>
      <c r="C36">
        <f t="shared" ref="C36:Q36" si="17">SUM(C21:C35)</f>
        <v>1</v>
      </c>
      <c r="D36">
        <f t="shared" si="17"/>
        <v>1.0000000000000002</v>
      </c>
      <c r="E36">
        <f t="shared" si="17"/>
        <v>1.0000000000000002</v>
      </c>
      <c r="F36">
        <f t="shared" si="17"/>
        <v>0.99999999999999989</v>
      </c>
      <c r="G36">
        <f t="shared" si="17"/>
        <v>0.99999999999999989</v>
      </c>
      <c r="H36">
        <f t="shared" si="17"/>
        <v>0.99999999999999989</v>
      </c>
      <c r="I36">
        <f t="shared" si="17"/>
        <v>1.0000000000000002</v>
      </c>
      <c r="J36">
        <f t="shared" si="17"/>
        <v>1.0000000000000002</v>
      </c>
      <c r="K36">
        <f t="shared" si="17"/>
        <v>1.0000000000000002</v>
      </c>
      <c r="L36">
        <f t="shared" si="17"/>
        <v>0.99999999999999967</v>
      </c>
      <c r="M36">
        <f t="shared" si="17"/>
        <v>0.99999999999999989</v>
      </c>
      <c r="N36">
        <f t="shared" si="17"/>
        <v>1</v>
      </c>
      <c r="O36">
        <f t="shared" si="17"/>
        <v>1</v>
      </c>
      <c r="P36">
        <f t="shared" si="17"/>
        <v>1</v>
      </c>
      <c r="Q36">
        <f t="shared" si="17"/>
        <v>1</v>
      </c>
    </row>
    <row r="39" spans="1:17" x14ac:dyDescent="0.5">
      <c r="A39" s="70" t="s">
        <v>69</v>
      </c>
      <c r="B39" s="70" t="s">
        <v>70</v>
      </c>
      <c r="C39" s="70" t="s">
        <v>71</v>
      </c>
    </row>
    <row r="40" spans="1:17" x14ac:dyDescent="0.5">
      <c r="A40" s="70" t="s">
        <v>72</v>
      </c>
      <c r="B40" s="70">
        <f>MMULT(B17:P17,Q21:Q35)</f>
        <v>15.991346063218549</v>
      </c>
      <c r="C40" s="78" t="str">
        <f>IF(B44&lt;=0.1,"Konsistensi Baik/Acceptable","Konsistensi Buruk")</f>
        <v>Konsistensi Baik/Acceptable</v>
      </c>
    </row>
    <row r="41" spans="1:17" x14ac:dyDescent="0.5">
      <c r="A41" s="70" t="s">
        <v>90</v>
      </c>
      <c r="B41" s="70">
        <v>15</v>
      </c>
      <c r="C41" s="78"/>
    </row>
    <row r="42" spans="1:17" x14ac:dyDescent="0.5">
      <c r="A42" s="70" t="s">
        <v>73</v>
      </c>
      <c r="B42" s="70">
        <f>(B40-B41)/(B41-1)</f>
        <v>7.0810433087039187E-2</v>
      </c>
      <c r="C42" s="78"/>
    </row>
    <row r="43" spans="1:17" x14ac:dyDescent="0.5">
      <c r="A43" s="70" t="s">
        <v>74</v>
      </c>
      <c r="B43" s="70">
        <f>INDEX(B49:P49, MATCH(B41, B48:P48, 0))</f>
        <v>1.59</v>
      </c>
      <c r="C43" s="78"/>
    </row>
    <row r="44" spans="1:17" x14ac:dyDescent="0.5">
      <c r="A44" s="70" t="s">
        <v>75</v>
      </c>
      <c r="B44" s="71">
        <f>B42/B43</f>
        <v>4.4534863576754201E-2</v>
      </c>
      <c r="C44" s="78"/>
    </row>
    <row r="47" spans="1:17" x14ac:dyDescent="0.5">
      <c r="A47" s="79" t="s">
        <v>76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</row>
    <row r="48" spans="1:17" x14ac:dyDescent="0.5">
      <c r="A48" s="69" t="s">
        <v>77</v>
      </c>
      <c r="B48" s="69">
        <v>1</v>
      </c>
      <c r="C48" s="69">
        <v>2</v>
      </c>
      <c r="D48" s="69">
        <v>3</v>
      </c>
      <c r="E48" s="69">
        <v>4</v>
      </c>
      <c r="F48" s="69">
        <v>5</v>
      </c>
      <c r="G48" s="69">
        <v>6</v>
      </c>
      <c r="H48" s="69">
        <v>7</v>
      </c>
      <c r="I48" s="69">
        <v>8</v>
      </c>
      <c r="J48" s="69">
        <v>9</v>
      </c>
      <c r="K48" s="69">
        <v>10</v>
      </c>
      <c r="L48" s="69">
        <v>11</v>
      </c>
      <c r="M48" s="69">
        <v>12</v>
      </c>
      <c r="N48" s="69">
        <v>13</v>
      </c>
      <c r="O48" s="69">
        <v>14</v>
      </c>
      <c r="P48" s="69">
        <v>15</v>
      </c>
    </row>
    <row r="49" spans="1:18" x14ac:dyDescent="0.5">
      <c r="A49" s="69" t="s">
        <v>74</v>
      </c>
      <c r="B49" s="69">
        <v>0</v>
      </c>
      <c r="C49" s="69">
        <v>0</v>
      </c>
      <c r="D49" s="69">
        <v>0.57999999999999996</v>
      </c>
      <c r="E49" s="69">
        <v>0.9</v>
      </c>
      <c r="F49" s="69">
        <v>1.1200000000000001</v>
      </c>
      <c r="G49" s="69">
        <v>1.24</v>
      </c>
      <c r="H49" s="69">
        <v>1.32</v>
      </c>
      <c r="I49" s="69">
        <v>1.41</v>
      </c>
      <c r="J49" s="69">
        <v>1.45</v>
      </c>
      <c r="K49" s="69">
        <v>1.49</v>
      </c>
      <c r="L49" s="69">
        <v>1.51</v>
      </c>
      <c r="M49" s="69">
        <v>1.48</v>
      </c>
      <c r="N49" s="69">
        <v>1.56</v>
      </c>
      <c r="O49" s="69">
        <v>1.57</v>
      </c>
      <c r="P49" s="69">
        <v>1.59</v>
      </c>
    </row>
    <row r="52" spans="1:18" x14ac:dyDescent="0.5">
      <c r="A52" s="72" t="s">
        <v>78</v>
      </c>
    </row>
    <row r="53" spans="1:18" x14ac:dyDescent="0.5">
      <c r="A53" s="63" t="s">
        <v>19</v>
      </c>
      <c r="B53" s="2" t="s">
        <v>4</v>
      </c>
      <c r="C53" s="2" t="s">
        <v>5</v>
      </c>
      <c r="D53" s="2" t="s">
        <v>6</v>
      </c>
      <c r="E53" s="2" t="s">
        <v>7</v>
      </c>
      <c r="F53" s="2" t="s">
        <v>8</v>
      </c>
      <c r="G53" s="2" t="s">
        <v>9</v>
      </c>
      <c r="H53" s="2" t="s">
        <v>10</v>
      </c>
      <c r="I53" s="2" t="s">
        <v>11</v>
      </c>
      <c r="J53" s="2" t="s">
        <v>12</v>
      </c>
      <c r="K53" s="2" t="s">
        <v>13</v>
      </c>
      <c r="L53" s="2" t="s">
        <v>14</v>
      </c>
      <c r="M53" s="2" t="s">
        <v>15</v>
      </c>
      <c r="N53" s="2" t="s">
        <v>16</v>
      </c>
      <c r="O53" s="2" t="s">
        <v>17</v>
      </c>
      <c r="P53" s="2" t="s">
        <v>18</v>
      </c>
      <c r="Q53" s="75" t="s">
        <v>80</v>
      </c>
      <c r="R53" s="75" t="s">
        <v>81</v>
      </c>
    </row>
    <row r="54" spans="1:18" x14ac:dyDescent="0.5">
      <c r="A54" s="2" t="s">
        <v>4</v>
      </c>
      <c r="B54" s="3">
        <f t="array" ref="B54:P68">MMULT(B2:P16,B2:P16)</f>
        <v>15</v>
      </c>
      <c r="C54" s="3">
        <v>3.4912750293366437</v>
      </c>
      <c r="D54" s="3">
        <v>9.3006223140861515</v>
      </c>
      <c r="E54" s="3">
        <v>11.841274670904435</v>
      </c>
      <c r="F54" s="3">
        <v>19.8531168945281</v>
      </c>
      <c r="G54" s="3">
        <v>19.8531168945281</v>
      </c>
      <c r="H54" s="3">
        <v>7.3776567223948053</v>
      </c>
      <c r="I54" s="3">
        <v>7.5857280144513801</v>
      </c>
      <c r="J54" s="3">
        <v>7.2154571932077047</v>
      </c>
      <c r="K54" s="3">
        <v>1.7405203339108108</v>
      </c>
      <c r="L54" s="3">
        <v>1.9612373791705482</v>
      </c>
      <c r="M54" s="3">
        <v>2.4132230025405508</v>
      </c>
      <c r="N54" s="3">
        <v>4.2436192235552017</v>
      </c>
      <c r="O54" s="3">
        <v>3.8725671220253153</v>
      </c>
      <c r="P54" s="3">
        <v>3.6251719180110822</v>
      </c>
      <c r="Q54">
        <f>SUM(B54:P54)</f>
        <v>119.37458671265081</v>
      </c>
      <c r="R54">
        <f>Q54/$Q$69</f>
        <v>1.7456403750333277E-2</v>
      </c>
    </row>
    <row r="55" spans="1:18" x14ac:dyDescent="0.5">
      <c r="A55" s="2" t="s">
        <v>5</v>
      </c>
      <c r="B55" s="3">
        <v>91.644502957403674</v>
      </c>
      <c r="C55" s="3">
        <v>15</v>
      </c>
      <c r="D55" s="3">
        <v>40.221995274166765</v>
      </c>
      <c r="E55" s="3">
        <v>55.313499557718607</v>
      </c>
      <c r="F55" s="3">
        <v>108.39102529042333</v>
      </c>
      <c r="G55" s="3">
        <v>108.39102529042333</v>
      </c>
      <c r="H55" s="3">
        <v>32.900622241179654</v>
      </c>
      <c r="I55" s="3">
        <v>33.427089245976823</v>
      </c>
      <c r="J55" s="3">
        <v>31.94268652163775</v>
      </c>
      <c r="K55" s="3">
        <v>8.8026580676793742</v>
      </c>
      <c r="L55" s="3">
        <v>9.8682254698943375</v>
      </c>
      <c r="M55" s="3">
        <v>11.45550098195708</v>
      </c>
      <c r="N55" s="3">
        <v>18.810975369682353</v>
      </c>
      <c r="O55" s="3">
        <v>17.561508683483606</v>
      </c>
      <c r="P55" s="3">
        <v>15.817356218861873</v>
      </c>
      <c r="Q55">
        <f t="shared" ref="Q55:Q68" si="18">SUM(B55:P55)</f>
        <v>599.54867117048843</v>
      </c>
      <c r="R55">
        <f t="shared" ref="R55:R68" si="19">Q55/$Q$69</f>
        <v>8.7673297643498432E-2</v>
      </c>
    </row>
    <row r="56" spans="1:18" x14ac:dyDescent="0.5">
      <c r="A56" s="2" t="s">
        <v>6</v>
      </c>
      <c r="B56" s="3">
        <v>40.256943602623167</v>
      </c>
      <c r="C56" s="3">
        <v>6.4171552402153695</v>
      </c>
      <c r="D56" s="3">
        <v>15</v>
      </c>
      <c r="E56" s="3">
        <v>20.416706395876126</v>
      </c>
      <c r="F56" s="3">
        <v>40.964142676962958</v>
      </c>
      <c r="G56" s="3">
        <v>40.964142676962958</v>
      </c>
      <c r="H56" s="3">
        <v>12.185461061412804</v>
      </c>
      <c r="I56" s="3">
        <v>12.445337081373214</v>
      </c>
      <c r="J56" s="3">
        <v>11.886235216115528</v>
      </c>
      <c r="K56" s="3">
        <v>3.8356877745769404</v>
      </c>
      <c r="L56" s="3">
        <v>4.3125463641868809</v>
      </c>
      <c r="M56" s="3">
        <v>4.9782270402255389</v>
      </c>
      <c r="N56" s="3">
        <v>7.4089845593312065</v>
      </c>
      <c r="O56" s="3">
        <v>6.9982254594180651</v>
      </c>
      <c r="P56" s="3">
        <v>6.6092057662180466</v>
      </c>
      <c r="Q56">
        <f t="shared" si="18"/>
        <v>234.67900091549879</v>
      </c>
      <c r="R56">
        <f t="shared" si="19"/>
        <v>3.4317617380045212E-2</v>
      </c>
    </row>
    <row r="57" spans="1:18" x14ac:dyDescent="0.5">
      <c r="A57" s="2" t="s">
        <v>7</v>
      </c>
      <c r="B57" s="3">
        <v>28.76417799535103</v>
      </c>
      <c r="C57" s="3">
        <v>4.9329366213601071</v>
      </c>
      <c r="D57" s="3">
        <v>11.499041788353937</v>
      </c>
      <c r="E57" s="3">
        <v>15</v>
      </c>
      <c r="F57" s="3">
        <v>30.159750987662957</v>
      </c>
      <c r="G57" s="3">
        <v>30.159750987662957</v>
      </c>
      <c r="H57" s="3">
        <v>8.9961143878179186</v>
      </c>
      <c r="I57" s="3">
        <v>9.2583932193621532</v>
      </c>
      <c r="J57" s="3">
        <v>8.7821661046081729</v>
      </c>
      <c r="K57" s="3">
        <v>2.8094964063136083</v>
      </c>
      <c r="L57" s="3">
        <v>3.1250120815920788</v>
      </c>
      <c r="M57" s="3">
        <v>3.6708303819018759</v>
      </c>
      <c r="N57" s="3">
        <v>5.4679896522222009</v>
      </c>
      <c r="O57" s="3">
        <v>5.1731250454408881</v>
      </c>
      <c r="P57" s="3">
        <v>4.8862999245834242</v>
      </c>
      <c r="Q57">
        <f t="shared" si="18"/>
        <v>172.68508558423329</v>
      </c>
      <c r="R57">
        <f t="shared" si="19"/>
        <v>2.5252113189513339E-2</v>
      </c>
    </row>
    <row r="58" spans="1:18" x14ac:dyDescent="0.5">
      <c r="A58" s="2" t="s">
        <v>8</v>
      </c>
      <c r="B58" s="3">
        <v>13.803354393774335</v>
      </c>
      <c r="C58" s="3">
        <v>2.9165537142032885</v>
      </c>
      <c r="D58" s="3">
        <v>6.7145522288908808</v>
      </c>
      <c r="E58" s="3">
        <v>8.7533989565286898</v>
      </c>
      <c r="F58" s="3">
        <v>15</v>
      </c>
      <c r="G58" s="3">
        <v>15</v>
      </c>
      <c r="H58" s="3">
        <v>5.3287293280409509</v>
      </c>
      <c r="I58" s="3">
        <v>5.5142695379858013</v>
      </c>
      <c r="J58" s="3">
        <v>5.2353266463468682</v>
      </c>
      <c r="K58" s="3">
        <v>1.5481658297700736</v>
      </c>
      <c r="L58" s="3">
        <v>1.7529795906994885</v>
      </c>
      <c r="M58" s="3">
        <v>2.151243290387824</v>
      </c>
      <c r="N58" s="3">
        <v>3.2985567860181755</v>
      </c>
      <c r="O58" s="3">
        <v>3.0888211073225142</v>
      </c>
      <c r="P58" s="3">
        <v>3.1126151681274394</v>
      </c>
      <c r="Q58">
        <f t="shared" si="18"/>
        <v>93.218566578096315</v>
      </c>
      <c r="R58">
        <f t="shared" si="19"/>
        <v>1.3631552410159026E-2</v>
      </c>
    </row>
    <row r="59" spans="1:18" x14ac:dyDescent="0.5">
      <c r="A59" s="2" t="s">
        <v>9</v>
      </c>
      <c r="B59" s="3">
        <v>13.803354393774335</v>
      </c>
      <c r="C59" s="3">
        <v>2.9165537142032885</v>
      </c>
      <c r="D59" s="3">
        <v>6.7145522288908808</v>
      </c>
      <c r="E59" s="3">
        <v>8.7533989565286898</v>
      </c>
      <c r="F59" s="3">
        <v>15</v>
      </c>
      <c r="G59" s="3">
        <v>15</v>
      </c>
      <c r="H59" s="3">
        <v>5.3287293280409509</v>
      </c>
      <c r="I59" s="3">
        <v>5.5142695379858013</v>
      </c>
      <c r="J59" s="3">
        <v>5.2353266463468682</v>
      </c>
      <c r="K59" s="3">
        <v>1.5481658297700736</v>
      </c>
      <c r="L59" s="3">
        <v>1.7529795906994885</v>
      </c>
      <c r="M59" s="3">
        <v>2.151243290387824</v>
      </c>
      <c r="N59" s="3">
        <v>3.2985567860181755</v>
      </c>
      <c r="O59" s="3">
        <v>3.0888211073225142</v>
      </c>
      <c r="P59" s="3">
        <v>3.1126151681274394</v>
      </c>
      <c r="Q59">
        <f t="shared" si="18"/>
        <v>93.218566578096315</v>
      </c>
      <c r="R59">
        <f t="shared" si="19"/>
        <v>1.3631552410159026E-2</v>
      </c>
    </row>
    <row r="60" spans="1:18" x14ac:dyDescent="0.5">
      <c r="A60" s="2" t="s">
        <v>10</v>
      </c>
      <c r="B60" s="3">
        <v>50.861921310520707</v>
      </c>
      <c r="C60" s="3">
        <v>8.5114552944082629</v>
      </c>
      <c r="D60" s="3">
        <v>19.872587774308052</v>
      </c>
      <c r="E60" s="3">
        <v>25.975680308085622</v>
      </c>
      <c r="F60" s="3">
        <v>52.886913265086847</v>
      </c>
      <c r="G60" s="3">
        <v>52.886913265086847</v>
      </c>
      <c r="H60" s="3">
        <v>15</v>
      </c>
      <c r="I60" s="3">
        <v>15.423040717876763</v>
      </c>
      <c r="J60" s="3">
        <v>14.62911582610587</v>
      </c>
      <c r="K60" s="3">
        <v>4.9836952074191849</v>
      </c>
      <c r="L60" s="3">
        <v>5.477674006640469</v>
      </c>
      <c r="M60" s="3">
        <v>6.5160587573126589</v>
      </c>
      <c r="N60" s="3">
        <v>9.5011952185285082</v>
      </c>
      <c r="O60" s="3">
        <v>9.1868093209155255</v>
      </c>
      <c r="P60" s="3">
        <v>8.3986016003011716</v>
      </c>
      <c r="Q60">
        <f t="shared" si="18"/>
        <v>300.11166187259647</v>
      </c>
      <c r="R60">
        <f t="shared" si="19"/>
        <v>4.3885976773617198E-2</v>
      </c>
    </row>
    <row r="61" spans="1:18" x14ac:dyDescent="0.5">
      <c r="A61" s="2" t="s">
        <v>11</v>
      </c>
      <c r="B61" s="3">
        <v>50.05407392482465</v>
      </c>
      <c r="C61" s="3">
        <v>8.1927880425160655</v>
      </c>
      <c r="D61" s="3">
        <v>19.346905556315463</v>
      </c>
      <c r="E61" s="3">
        <v>25.482423976853589</v>
      </c>
      <c r="F61" s="3">
        <v>52.27301968184878</v>
      </c>
      <c r="G61" s="3">
        <v>52.27301968184878</v>
      </c>
      <c r="H61" s="3">
        <v>14.685686416148958</v>
      </c>
      <c r="I61" s="3">
        <v>15</v>
      </c>
      <c r="J61" s="3">
        <v>14.27810210953664</v>
      </c>
      <c r="K61" s="3">
        <v>4.8431326395760816</v>
      </c>
      <c r="L61" s="3">
        <v>5.3200055377678579</v>
      </c>
      <c r="M61" s="3">
        <v>6.3129051353112411</v>
      </c>
      <c r="N61" s="3">
        <v>9.2545808004579229</v>
      </c>
      <c r="O61" s="3">
        <v>8.9476354563339893</v>
      </c>
      <c r="P61" s="3">
        <v>8.078506566001904</v>
      </c>
      <c r="Q61">
        <f t="shared" si="18"/>
        <v>294.34278552534198</v>
      </c>
      <c r="R61">
        <f t="shared" si="19"/>
        <v>4.3042381520417887E-2</v>
      </c>
    </row>
    <row r="62" spans="1:18" x14ac:dyDescent="0.5">
      <c r="A62" s="2" t="s">
        <v>12</v>
      </c>
      <c r="B62" s="3">
        <v>52.23318863164657</v>
      </c>
      <c r="C62" s="3">
        <v>8.6328336670335766</v>
      </c>
      <c r="D62" s="3">
        <v>20.502861574938898</v>
      </c>
      <c r="E62" s="3">
        <v>26.825041603294522</v>
      </c>
      <c r="F62" s="3">
        <v>55.185085338645479</v>
      </c>
      <c r="G62" s="3">
        <v>55.185085338645479</v>
      </c>
      <c r="H62" s="3">
        <v>15.479500589780923</v>
      </c>
      <c r="I62" s="3">
        <v>15.865841174939495</v>
      </c>
      <c r="J62" s="3">
        <v>15</v>
      </c>
      <c r="K62" s="3">
        <v>5.0537571970885562</v>
      </c>
      <c r="L62" s="3">
        <v>5.5404212743741894</v>
      </c>
      <c r="M62" s="3">
        <v>6.5615653910914089</v>
      </c>
      <c r="N62" s="3">
        <v>9.6414777462654353</v>
      </c>
      <c r="O62" s="3">
        <v>9.3270918486524526</v>
      </c>
      <c r="P62" s="3">
        <v>8.4257738364107322</v>
      </c>
      <c r="Q62">
        <f t="shared" si="18"/>
        <v>309.45952521280765</v>
      </c>
      <c r="R62">
        <f t="shared" si="19"/>
        <v>4.52529350279939E-2</v>
      </c>
    </row>
    <row r="63" spans="1:18" x14ac:dyDescent="0.5">
      <c r="A63" s="2" t="s">
        <v>13</v>
      </c>
      <c r="B63" s="3">
        <v>148.66181170501602</v>
      </c>
      <c r="C63" s="3">
        <v>28.713188287395472</v>
      </c>
      <c r="D63" s="3">
        <v>76.482304492442751</v>
      </c>
      <c r="E63" s="3">
        <v>99.874220624334825</v>
      </c>
      <c r="F63" s="3">
        <v>188.59649382674846</v>
      </c>
      <c r="G63" s="3">
        <v>188.59649382674846</v>
      </c>
      <c r="H63" s="3">
        <v>62.343246744309077</v>
      </c>
      <c r="I63" s="3">
        <v>63.689466305470226</v>
      </c>
      <c r="J63" s="3">
        <v>60.572760927117919</v>
      </c>
      <c r="K63" s="3">
        <v>15</v>
      </c>
      <c r="L63" s="3">
        <v>16.925605710425216</v>
      </c>
      <c r="M63" s="3">
        <v>19.799391398140848</v>
      </c>
      <c r="N63" s="3">
        <v>34.074021385280069</v>
      </c>
      <c r="O63" s="3">
        <v>30.820460577293169</v>
      </c>
      <c r="P63" s="3">
        <v>28.648566485762146</v>
      </c>
      <c r="Q63">
        <f t="shared" si="18"/>
        <v>1062.7980322964845</v>
      </c>
      <c r="R63">
        <f t="shared" si="19"/>
        <v>0.15541525267421974</v>
      </c>
    </row>
    <row r="64" spans="1:18" x14ac:dyDescent="0.5">
      <c r="A64" s="2" t="s">
        <v>14</v>
      </c>
      <c r="B64" s="3">
        <v>136.60855538417024</v>
      </c>
      <c r="C64" s="3">
        <v>25.754608830124543</v>
      </c>
      <c r="D64" s="3">
        <v>69.059014887086121</v>
      </c>
      <c r="E64" s="3">
        <v>89.001999597708078</v>
      </c>
      <c r="F64" s="3">
        <v>173.28713826776738</v>
      </c>
      <c r="G64" s="3">
        <v>173.28713826776738</v>
      </c>
      <c r="H64" s="3">
        <v>53.842137911083007</v>
      </c>
      <c r="I64" s="3">
        <v>54.984911978704687</v>
      </c>
      <c r="J64" s="3">
        <v>52.116125880022494</v>
      </c>
      <c r="K64" s="3">
        <v>13.702754168005367</v>
      </c>
      <c r="L64" s="3">
        <v>15</v>
      </c>
      <c r="M64" s="3">
        <v>17.833208870376918</v>
      </c>
      <c r="N64" s="3">
        <v>29.90627400988863</v>
      </c>
      <c r="O64" s="3">
        <v>27.826659275713006</v>
      </c>
      <c r="P64" s="3">
        <v>24.668529365868732</v>
      </c>
      <c r="Q64">
        <f t="shared" si="18"/>
        <v>956.87905669428665</v>
      </c>
      <c r="R64">
        <f t="shared" si="19"/>
        <v>0.13992649201040822</v>
      </c>
    </row>
    <row r="65" spans="1:18" x14ac:dyDescent="0.5">
      <c r="A65" s="2" t="s">
        <v>15</v>
      </c>
      <c r="B65" s="3">
        <v>123.46227575917187</v>
      </c>
      <c r="C65" s="3">
        <v>22.453413223717945</v>
      </c>
      <c r="D65" s="3">
        <v>59.829180616530763</v>
      </c>
      <c r="E65" s="3">
        <v>78.119920783653043</v>
      </c>
      <c r="F65" s="3">
        <v>154.78096321676196</v>
      </c>
      <c r="G65" s="3">
        <v>154.78096321676196</v>
      </c>
      <c r="H65" s="3">
        <v>48.380952192472748</v>
      </c>
      <c r="I65" s="3">
        <v>49.484179132339086</v>
      </c>
      <c r="J65" s="3">
        <v>46.831920205419216</v>
      </c>
      <c r="K65" s="3">
        <v>11.907620681693603</v>
      </c>
      <c r="L65" s="3">
        <v>13.230415070289817</v>
      </c>
      <c r="M65" s="3">
        <v>15</v>
      </c>
      <c r="N65" s="3">
        <v>25.575444433990349</v>
      </c>
      <c r="O65" s="3">
        <v>23.234258066373393</v>
      </c>
      <c r="P65" s="3">
        <v>21.022314045903023</v>
      </c>
      <c r="Q65">
        <f t="shared" si="18"/>
        <v>848.09382064507895</v>
      </c>
      <c r="R65">
        <f t="shared" si="19"/>
        <v>0.12401859188823729</v>
      </c>
    </row>
    <row r="66" spans="1:18" x14ac:dyDescent="0.5">
      <c r="A66" s="2" t="s">
        <v>16</v>
      </c>
      <c r="B66" s="3">
        <v>83.094317743397866</v>
      </c>
      <c r="C66" s="3">
        <v>13.942126749589933</v>
      </c>
      <c r="D66" s="3">
        <v>35.001434205978754</v>
      </c>
      <c r="E66" s="3">
        <v>45.577200828839601</v>
      </c>
      <c r="F66" s="3">
        <v>96.081649498138233</v>
      </c>
      <c r="G66" s="3">
        <v>96.081649498138233</v>
      </c>
      <c r="H66" s="3">
        <v>27.329514672629571</v>
      </c>
      <c r="I66" s="3">
        <v>28.040035623143535</v>
      </c>
      <c r="J66" s="3">
        <v>26.327202432273729</v>
      </c>
      <c r="K66" s="3">
        <v>7.7577415819867506</v>
      </c>
      <c r="L66" s="3">
        <v>8.4500198520177303</v>
      </c>
      <c r="M66" s="3">
        <v>9.723643629422055</v>
      </c>
      <c r="N66" s="3">
        <v>15</v>
      </c>
      <c r="O66" s="3">
        <v>14.156016967406934</v>
      </c>
      <c r="P66" s="3">
        <v>12.800534140594923</v>
      </c>
      <c r="Q66">
        <f t="shared" si="18"/>
        <v>519.36308742355777</v>
      </c>
      <c r="R66">
        <f t="shared" si="19"/>
        <v>7.5947586473398582E-2</v>
      </c>
    </row>
    <row r="67" spans="1:18" x14ac:dyDescent="0.5">
      <c r="A67" s="2" t="s">
        <v>17</v>
      </c>
      <c r="B67" s="3">
        <v>86.286630167530944</v>
      </c>
      <c r="C67" s="3">
        <v>15.036518319239693</v>
      </c>
      <c r="D67" s="3">
        <v>38.107160664371719</v>
      </c>
      <c r="E67" s="3">
        <v>49.56781555015673</v>
      </c>
      <c r="F67" s="3">
        <v>101.78922048847791</v>
      </c>
      <c r="G67" s="3">
        <v>101.78922048847791</v>
      </c>
      <c r="H67" s="3">
        <v>30.608158531925849</v>
      </c>
      <c r="I67" s="3">
        <v>31.341306957079443</v>
      </c>
      <c r="J67" s="3">
        <v>29.605846291570003</v>
      </c>
      <c r="K67" s="3">
        <v>8.1198268987222679</v>
      </c>
      <c r="L67" s="3">
        <v>8.9814978224137523</v>
      </c>
      <c r="M67" s="3">
        <v>10.212697873155005</v>
      </c>
      <c r="N67" s="3">
        <v>16.355257399911515</v>
      </c>
      <c r="O67" s="3">
        <v>15</v>
      </c>
      <c r="P67" s="3">
        <v>13.883496953345874</v>
      </c>
      <c r="Q67">
        <f t="shared" si="18"/>
        <v>556.68465440637863</v>
      </c>
      <c r="R67">
        <f t="shared" si="19"/>
        <v>8.1405199854841889E-2</v>
      </c>
    </row>
    <row r="68" spans="1:18" x14ac:dyDescent="0.5">
      <c r="A68" s="2" t="s">
        <v>18</v>
      </c>
      <c r="B68" s="3">
        <v>105.87298786969006</v>
      </c>
      <c r="C68" s="3">
        <v>17.481309953116565</v>
      </c>
      <c r="D68" s="3">
        <v>46.519984018545152</v>
      </c>
      <c r="E68" s="3">
        <v>59.768040260704403</v>
      </c>
      <c r="F68" s="3">
        <v>129.47412981101508</v>
      </c>
      <c r="G68" s="3">
        <v>129.47412981101508</v>
      </c>
      <c r="H68" s="3">
        <v>35.157841625878198</v>
      </c>
      <c r="I68" s="3">
        <v>35.981437407678122</v>
      </c>
      <c r="J68" s="3">
        <v>33.810553783558198</v>
      </c>
      <c r="K68" s="3">
        <v>9.7396257310287844</v>
      </c>
      <c r="L68" s="3">
        <v>10.425980726443328</v>
      </c>
      <c r="M68" s="3">
        <v>11.915175239652177</v>
      </c>
      <c r="N68" s="3">
        <v>19.161446258730365</v>
      </c>
      <c r="O68" s="3">
        <v>18.201232618979375</v>
      </c>
      <c r="P68" s="3">
        <v>15</v>
      </c>
      <c r="Q68">
        <f t="shared" si="18"/>
        <v>677.98387511603494</v>
      </c>
      <c r="R68">
        <f t="shared" si="19"/>
        <v>9.9143046993157055E-2</v>
      </c>
    </row>
    <row r="69" spans="1:18" x14ac:dyDescent="0.5">
      <c r="A69" s="115" t="s">
        <v>67</v>
      </c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>
        <f>SUM(Q54:Q68)</f>
        <v>6838.4409767316311</v>
      </c>
      <c r="R69">
        <f>SUM(R54:R68)</f>
        <v>1</v>
      </c>
    </row>
    <row r="72" spans="1:18" x14ac:dyDescent="0.5">
      <c r="A72" s="72" t="s">
        <v>82</v>
      </c>
    </row>
    <row r="73" spans="1:18" x14ac:dyDescent="0.5">
      <c r="A73" s="63" t="s">
        <v>19</v>
      </c>
      <c r="B73" s="2" t="s">
        <v>4</v>
      </c>
      <c r="C73" s="2" t="s">
        <v>5</v>
      </c>
      <c r="D73" s="2" t="s">
        <v>6</v>
      </c>
      <c r="E73" s="2" t="s">
        <v>7</v>
      </c>
      <c r="F73" s="2" t="s">
        <v>8</v>
      </c>
      <c r="G73" s="2" t="s">
        <v>9</v>
      </c>
      <c r="H73" s="2" t="s">
        <v>10</v>
      </c>
      <c r="I73" s="2" t="s">
        <v>11</v>
      </c>
      <c r="J73" s="2" t="s">
        <v>12</v>
      </c>
      <c r="K73" s="2" t="s">
        <v>13</v>
      </c>
      <c r="L73" s="2" t="s">
        <v>14</v>
      </c>
      <c r="M73" s="2" t="s">
        <v>15</v>
      </c>
      <c r="N73" s="2" t="s">
        <v>16</v>
      </c>
      <c r="O73" s="2" t="s">
        <v>17</v>
      </c>
      <c r="P73" s="2" t="s">
        <v>18</v>
      </c>
      <c r="Q73" s="75" t="s">
        <v>80</v>
      </c>
      <c r="R73" s="75" t="s">
        <v>81</v>
      </c>
    </row>
    <row r="74" spans="1:18" x14ac:dyDescent="0.5">
      <c r="A74" s="2" t="s">
        <v>4</v>
      </c>
      <c r="B74" s="3">
        <f t="array" ref="B74:P88">MMULT(B54:P68,B54:P68)</f>
        <v>4835.0711735855011</v>
      </c>
      <c r="C74" s="3">
        <v>861.31174848658884</v>
      </c>
      <c r="D74" s="3">
        <v>2141.218142945982</v>
      </c>
      <c r="E74" s="3">
        <v>2803.247139301086</v>
      </c>
      <c r="F74" s="3">
        <v>5507.7508061874678</v>
      </c>
      <c r="G74" s="3">
        <v>5507.7508061874678</v>
      </c>
      <c r="H74" s="3">
        <v>1683.5520754719096</v>
      </c>
      <c r="I74" s="3">
        <v>1725.7807133340896</v>
      </c>
      <c r="J74" s="3">
        <v>1636.2377455375417</v>
      </c>
      <c r="K74" s="3">
        <v>478.61748624538643</v>
      </c>
      <c r="L74" s="3">
        <v>530.57610067956796</v>
      </c>
      <c r="M74" s="3">
        <v>624.32636104862036</v>
      </c>
      <c r="N74" s="3">
        <v>979.95867557570648</v>
      </c>
      <c r="O74" s="3">
        <v>919.77256807311994</v>
      </c>
      <c r="P74" s="3">
        <v>847.99818642222988</v>
      </c>
      <c r="Q74">
        <f>SUM(B74:P74)</f>
        <v>31083.169729082274</v>
      </c>
      <c r="R74">
        <f>Q74/$Q$89</f>
        <v>1.842893731829261E-2</v>
      </c>
    </row>
    <row r="75" spans="1:18" x14ac:dyDescent="0.5">
      <c r="A75" s="2" t="s">
        <v>5</v>
      </c>
      <c r="B75" s="3">
        <v>22791.000402933649</v>
      </c>
      <c r="C75" s="3">
        <v>4104.7873861738053</v>
      </c>
      <c r="D75" s="3">
        <v>10209.669383037477</v>
      </c>
      <c r="E75" s="3">
        <v>13352.219213665974</v>
      </c>
      <c r="F75" s="3">
        <v>26049.213954170493</v>
      </c>
      <c r="G75" s="3">
        <v>26049.213954170493</v>
      </c>
      <c r="H75" s="3">
        <v>8033.4649930866171</v>
      </c>
      <c r="I75" s="3">
        <v>8237.4116871573879</v>
      </c>
      <c r="J75" s="3">
        <v>7810.8406219630479</v>
      </c>
      <c r="K75" s="3">
        <v>2270.3864563064667</v>
      </c>
      <c r="L75" s="3">
        <v>2519.2841670579965</v>
      </c>
      <c r="M75" s="3">
        <v>2970.4513132300735</v>
      </c>
      <c r="N75" s="3">
        <v>4677.0327180345512</v>
      </c>
      <c r="O75" s="3">
        <v>4384.4951437671361</v>
      </c>
      <c r="P75" s="3">
        <v>4054.1676553084003</v>
      </c>
      <c r="Q75">
        <f t="shared" ref="Q75:Q88" si="20">SUM(B75:P75)</f>
        <v>147513.63905006356</v>
      </c>
      <c r="R75">
        <f t="shared" ref="R75:R88" si="21">Q75/$Q$89</f>
        <v>8.7459536184411088E-2</v>
      </c>
    </row>
    <row r="76" spans="1:18" x14ac:dyDescent="0.5">
      <c r="A76" s="2" t="s">
        <v>6</v>
      </c>
      <c r="B76" s="3">
        <v>9070.740428289133</v>
      </c>
      <c r="C76" s="3">
        <v>1638.0596707060836</v>
      </c>
      <c r="D76" s="3">
        <v>4091.5403904708437</v>
      </c>
      <c r="E76" s="3">
        <v>5349.2098318298304</v>
      </c>
      <c r="F76" s="3">
        <v>10426.060119054458</v>
      </c>
      <c r="G76" s="3">
        <v>10426.060119054458</v>
      </c>
      <c r="H76" s="3">
        <v>3221.9295947550863</v>
      </c>
      <c r="I76" s="3">
        <v>3303.2194997119259</v>
      </c>
      <c r="J76" s="3">
        <v>3132.1615150082553</v>
      </c>
      <c r="K76" s="3">
        <v>903.94426891737658</v>
      </c>
      <c r="L76" s="3">
        <v>1003.0422247537286</v>
      </c>
      <c r="M76" s="3">
        <v>1182.2749405115792</v>
      </c>
      <c r="N76" s="3">
        <v>1869.3443503173437</v>
      </c>
      <c r="O76" s="3">
        <v>1750.4494905712995</v>
      </c>
      <c r="P76" s="3">
        <v>1616.4454059259565</v>
      </c>
      <c r="Q76">
        <f t="shared" si="20"/>
        <v>58984.481849877353</v>
      </c>
      <c r="R76">
        <f t="shared" si="21"/>
        <v>3.4971379310338183E-2</v>
      </c>
    </row>
    <row r="77" spans="1:18" x14ac:dyDescent="0.5">
      <c r="A77" s="2" t="s">
        <v>7</v>
      </c>
      <c r="B77" s="3">
        <v>6706.0649579519586</v>
      </c>
      <c r="C77" s="3">
        <v>1209.3808690359597</v>
      </c>
      <c r="D77" s="3">
        <v>3020.0248483661248</v>
      </c>
      <c r="E77" s="3">
        <v>3949.5985172603419</v>
      </c>
      <c r="F77" s="3">
        <v>7702.518803837429</v>
      </c>
      <c r="G77" s="3">
        <v>7702.518803837429</v>
      </c>
      <c r="H77" s="3">
        <v>2378.4269994042074</v>
      </c>
      <c r="I77" s="3">
        <v>2438.3371632811295</v>
      </c>
      <c r="J77" s="3">
        <v>2312.1276553670959</v>
      </c>
      <c r="K77" s="3">
        <v>667.86725393264214</v>
      </c>
      <c r="L77" s="3">
        <v>741.09200542660301</v>
      </c>
      <c r="M77" s="3">
        <v>873.32341555991729</v>
      </c>
      <c r="N77" s="3">
        <v>1380.1980211434291</v>
      </c>
      <c r="O77" s="3">
        <v>1292.5814693326984</v>
      </c>
      <c r="P77" s="3">
        <v>1193.5474503905552</v>
      </c>
      <c r="Q77">
        <f t="shared" si="20"/>
        <v>43567.608234127525</v>
      </c>
      <c r="R77">
        <f t="shared" si="21"/>
        <v>2.5830850851206635E-2</v>
      </c>
    </row>
    <row r="78" spans="1:18" x14ac:dyDescent="0.5">
      <c r="A78" s="2" t="s">
        <v>8</v>
      </c>
      <c r="B78" s="3">
        <v>3836.4073074535145</v>
      </c>
      <c r="C78" s="3">
        <v>686.18213471181173</v>
      </c>
      <c r="D78" s="3">
        <v>1714.5515028917714</v>
      </c>
      <c r="E78" s="3">
        <v>2243.3137852609971</v>
      </c>
      <c r="F78" s="3">
        <v>4401.2651603912209</v>
      </c>
      <c r="G78" s="3">
        <v>4401.2651603912209</v>
      </c>
      <c r="H78" s="3">
        <v>1349.2781956035494</v>
      </c>
      <c r="I78" s="3">
        <v>1382.9353688537635</v>
      </c>
      <c r="J78" s="3">
        <v>1311.1324412302297</v>
      </c>
      <c r="K78" s="3">
        <v>380.05723466573727</v>
      </c>
      <c r="L78" s="3">
        <v>421.31180504035945</v>
      </c>
      <c r="M78" s="3">
        <v>495.59175967711428</v>
      </c>
      <c r="N78" s="3">
        <v>781.98079951593434</v>
      </c>
      <c r="O78" s="3">
        <v>732.89204376234647</v>
      </c>
      <c r="P78" s="3">
        <v>674.72878934334949</v>
      </c>
      <c r="Q78">
        <f t="shared" si="20"/>
        <v>24812.893488792924</v>
      </c>
      <c r="R78">
        <f t="shared" si="21"/>
        <v>1.4711345811125444E-2</v>
      </c>
    </row>
    <row r="79" spans="1:18" x14ac:dyDescent="0.5">
      <c r="A79" s="2" t="s">
        <v>9</v>
      </c>
      <c r="B79" s="3">
        <v>3836.4073074535145</v>
      </c>
      <c r="C79" s="3">
        <v>686.18213471181173</v>
      </c>
      <c r="D79" s="3">
        <v>1714.5515028917714</v>
      </c>
      <c r="E79" s="3">
        <v>2243.3137852609971</v>
      </c>
      <c r="F79" s="3">
        <v>4401.2651603912209</v>
      </c>
      <c r="G79" s="3">
        <v>4401.2651603912209</v>
      </c>
      <c r="H79" s="3">
        <v>1349.2781956035494</v>
      </c>
      <c r="I79" s="3">
        <v>1382.9353688537635</v>
      </c>
      <c r="J79" s="3">
        <v>1311.1324412302297</v>
      </c>
      <c r="K79" s="3">
        <v>380.05723466573727</v>
      </c>
      <c r="L79" s="3">
        <v>421.31180504035945</v>
      </c>
      <c r="M79" s="3">
        <v>495.59175967711428</v>
      </c>
      <c r="N79" s="3">
        <v>781.98079951593434</v>
      </c>
      <c r="O79" s="3">
        <v>732.89204376234647</v>
      </c>
      <c r="P79" s="3">
        <v>674.72878934334949</v>
      </c>
      <c r="Q79">
        <f t="shared" si="20"/>
        <v>24812.893488792924</v>
      </c>
      <c r="R79">
        <f t="shared" si="21"/>
        <v>1.4711345811125444E-2</v>
      </c>
    </row>
    <row r="80" spans="1:18" x14ac:dyDescent="0.5">
      <c r="A80" s="2" t="s">
        <v>10</v>
      </c>
      <c r="B80" s="3">
        <v>11614.258398961798</v>
      </c>
      <c r="C80" s="3">
        <v>2097.6258963758523</v>
      </c>
      <c r="D80" s="3">
        <v>5241.4582448220317</v>
      </c>
      <c r="E80" s="3">
        <v>6854.0716837960863</v>
      </c>
      <c r="F80" s="3">
        <v>13356.335667737285</v>
      </c>
      <c r="G80" s="3">
        <v>13356.335667737285</v>
      </c>
      <c r="H80" s="3">
        <v>4129.7138668002544</v>
      </c>
      <c r="I80" s="3">
        <v>4233.7861833138713</v>
      </c>
      <c r="J80" s="3">
        <v>4014.6449094028803</v>
      </c>
      <c r="K80" s="3">
        <v>1157.2997040269704</v>
      </c>
      <c r="L80" s="3">
        <v>1284.3952146119175</v>
      </c>
      <c r="M80" s="3">
        <v>1513.5455945355757</v>
      </c>
      <c r="N80" s="3">
        <v>2394.3991909398987</v>
      </c>
      <c r="O80" s="3">
        <v>2241.4409756794844</v>
      </c>
      <c r="P80" s="3">
        <v>2070.3768696547409</v>
      </c>
      <c r="Q80">
        <f t="shared" si="20"/>
        <v>75559.688068395932</v>
      </c>
      <c r="R80">
        <f t="shared" si="21"/>
        <v>4.4798672958355448E-2</v>
      </c>
    </row>
    <row r="81" spans="1:18" x14ac:dyDescent="0.5">
      <c r="A81" s="2" t="s">
        <v>11</v>
      </c>
      <c r="B81" s="3">
        <v>11322.606325218585</v>
      </c>
      <c r="C81" s="3">
        <v>2046.1780507491148</v>
      </c>
      <c r="D81" s="3">
        <v>5111.268136380123</v>
      </c>
      <c r="E81" s="3">
        <v>6683.4712105532853</v>
      </c>
      <c r="F81" s="3">
        <v>13018.061573216612</v>
      </c>
      <c r="G81" s="3">
        <v>13018.061573216612</v>
      </c>
      <c r="H81" s="3">
        <v>4027.1275406448717</v>
      </c>
      <c r="I81" s="3">
        <v>4128.7609313596058</v>
      </c>
      <c r="J81" s="3">
        <v>3915.083560952979</v>
      </c>
      <c r="K81" s="3">
        <v>1128.7354797841217</v>
      </c>
      <c r="L81" s="3">
        <v>1252.7870755743047</v>
      </c>
      <c r="M81" s="3">
        <v>1476.5581078820121</v>
      </c>
      <c r="N81" s="3">
        <v>2335.6040218807457</v>
      </c>
      <c r="O81" s="3">
        <v>2186.4021066438986</v>
      </c>
      <c r="P81" s="3">
        <v>2020.2208313280835</v>
      </c>
      <c r="Q81">
        <f t="shared" si="20"/>
        <v>73670.926525384959</v>
      </c>
      <c r="R81">
        <f t="shared" si="21"/>
        <v>4.3678842889905783E-2</v>
      </c>
    </row>
    <row r="82" spans="1:18" x14ac:dyDescent="0.5">
      <c r="A82" s="2" t="s">
        <v>12</v>
      </c>
      <c r="B82" s="3">
        <v>11876.368565834355</v>
      </c>
      <c r="C82" s="3">
        <v>2145.974455234475</v>
      </c>
      <c r="D82" s="3">
        <v>5358.811530543534</v>
      </c>
      <c r="E82" s="3">
        <v>7007.6614426236956</v>
      </c>
      <c r="F82" s="3">
        <v>13648.475563677597</v>
      </c>
      <c r="G82" s="3">
        <v>13648.475563677597</v>
      </c>
      <c r="H82" s="3">
        <v>4222.1052253787666</v>
      </c>
      <c r="I82" s="3">
        <v>4328.6925776818753</v>
      </c>
      <c r="J82" s="3">
        <v>4104.741134898185</v>
      </c>
      <c r="K82" s="3">
        <v>1184.0277824769366</v>
      </c>
      <c r="L82" s="3">
        <v>1314.2068914867232</v>
      </c>
      <c r="M82" s="3">
        <v>1549.0512240603969</v>
      </c>
      <c r="N82" s="3">
        <v>2449.5534327261562</v>
      </c>
      <c r="O82" s="3">
        <v>2293.258541697382</v>
      </c>
      <c r="P82" s="3">
        <v>2119.2822151721443</v>
      </c>
      <c r="Q82">
        <f t="shared" si="20"/>
        <v>77250.686147169836</v>
      </c>
      <c r="R82">
        <f t="shared" si="21"/>
        <v>4.5801250812245307E-2</v>
      </c>
    </row>
    <row r="83" spans="1:18" x14ac:dyDescent="0.5">
      <c r="A83" s="2" t="s">
        <v>13</v>
      </c>
      <c r="B83" s="3">
        <v>41052.776434524094</v>
      </c>
      <c r="C83" s="3">
        <v>7359.1186621269853</v>
      </c>
      <c r="D83" s="3">
        <v>18279.486475663558</v>
      </c>
      <c r="E83" s="3">
        <v>23921.383149766625</v>
      </c>
      <c r="F83" s="3">
        <v>46782.689414860732</v>
      </c>
      <c r="G83" s="3">
        <v>46782.689414860732</v>
      </c>
      <c r="H83" s="3">
        <v>14376.155968381643</v>
      </c>
      <c r="I83" s="3">
        <v>14739.833734314787</v>
      </c>
      <c r="J83" s="3">
        <v>13976.844466023758</v>
      </c>
      <c r="K83" s="3">
        <v>4081.0050125751768</v>
      </c>
      <c r="L83" s="3">
        <v>4527.137262602495</v>
      </c>
      <c r="M83" s="3">
        <v>5335.4854804503566</v>
      </c>
      <c r="N83" s="3">
        <v>8381.5179143513014</v>
      </c>
      <c r="O83" s="3">
        <v>7863.9197034820609</v>
      </c>
      <c r="P83" s="3">
        <v>7266.4121640136273</v>
      </c>
      <c r="Q83">
        <f t="shared" si="20"/>
        <v>264726.45525799796</v>
      </c>
      <c r="R83">
        <f t="shared" si="21"/>
        <v>0.15695398162301508</v>
      </c>
    </row>
    <row r="84" spans="1:18" x14ac:dyDescent="0.5">
      <c r="A84" s="2" t="s">
        <v>14</v>
      </c>
      <c r="B84" s="3">
        <v>36532.157454065957</v>
      </c>
      <c r="C84" s="3">
        <v>6561.7244754016783</v>
      </c>
      <c r="D84" s="3">
        <v>16300.747339662101</v>
      </c>
      <c r="E84" s="3">
        <v>21332.091130543286</v>
      </c>
      <c r="F84" s="3">
        <v>41656.988605265942</v>
      </c>
      <c r="G84" s="3">
        <v>41656.988605265942</v>
      </c>
      <c r="H84" s="3">
        <v>12827.070025754283</v>
      </c>
      <c r="I84" s="3">
        <v>13152.070984111846</v>
      </c>
      <c r="J84" s="3">
        <v>12471.917032776495</v>
      </c>
      <c r="K84" s="3">
        <v>3635.6360830968397</v>
      </c>
      <c r="L84" s="3">
        <v>4034.4547311389588</v>
      </c>
      <c r="M84" s="3">
        <v>4755.8991009220663</v>
      </c>
      <c r="N84" s="3">
        <v>7476.5868416651065</v>
      </c>
      <c r="O84" s="3">
        <v>7012.0625657017608</v>
      </c>
      <c r="P84" s="3">
        <v>6484.8437850755317</v>
      </c>
      <c r="Q84">
        <f t="shared" si="20"/>
        <v>235891.2387604478</v>
      </c>
      <c r="R84">
        <f t="shared" si="21"/>
        <v>0.13985783595883738</v>
      </c>
    </row>
    <row r="85" spans="1:18" x14ac:dyDescent="0.5">
      <c r="A85" s="2" t="s">
        <v>15</v>
      </c>
      <c r="B85" s="3">
        <v>32007.273359542211</v>
      </c>
      <c r="C85" s="3">
        <v>5754.3747239470758</v>
      </c>
      <c r="D85" s="3">
        <v>14285.083545371161</v>
      </c>
      <c r="E85" s="3">
        <v>18693.32108052793</v>
      </c>
      <c r="F85" s="3">
        <v>36469.331470994191</v>
      </c>
      <c r="G85" s="3">
        <v>36469.331470994191</v>
      </c>
      <c r="H85" s="3">
        <v>11237.994698187451</v>
      </c>
      <c r="I85" s="3">
        <v>11523.309913428282</v>
      </c>
      <c r="J85" s="3">
        <v>10927.962357468145</v>
      </c>
      <c r="K85" s="3">
        <v>3188.5437859011195</v>
      </c>
      <c r="L85" s="3">
        <v>3538.6773205814793</v>
      </c>
      <c r="M85" s="3">
        <v>4173.8010231913913</v>
      </c>
      <c r="N85" s="3">
        <v>6558.4950842724511</v>
      </c>
      <c r="O85" s="3">
        <v>6152.3367883759074</v>
      </c>
      <c r="P85" s="3">
        <v>5692.2319306301215</v>
      </c>
      <c r="Q85">
        <f t="shared" si="20"/>
        <v>206672.06855341315</v>
      </c>
      <c r="R85">
        <f t="shared" si="21"/>
        <v>0.1225340475250552</v>
      </c>
    </row>
    <row r="86" spans="1:18" x14ac:dyDescent="0.5">
      <c r="A86" s="2" t="s">
        <v>16</v>
      </c>
      <c r="B86" s="3">
        <v>19396.625668362816</v>
      </c>
      <c r="C86" s="3">
        <v>3503.2137053695737</v>
      </c>
      <c r="D86" s="3">
        <v>8716.9796681399621</v>
      </c>
      <c r="E86" s="3">
        <v>11403.02463159258</v>
      </c>
      <c r="F86" s="3">
        <v>22187.603034498887</v>
      </c>
      <c r="G86" s="3">
        <v>22187.603034498887</v>
      </c>
      <c r="H86" s="3">
        <v>6863.8409191934143</v>
      </c>
      <c r="I86" s="3">
        <v>7038.1268609374019</v>
      </c>
      <c r="J86" s="3">
        <v>6674.7941825640528</v>
      </c>
      <c r="K86" s="3">
        <v>1936.1372756694027</v>
      </c>
      <c r="L86" s="3">
        <v>2149.5770637128758</v>
      </c>
      <c r="M86" s="3">
        <v>2536.1134732400801</v>
      </c>
      <c r="N86" s="3">
        <v>3997.8175321491476</v>
      </c>
      <c r="O86" s="3">
        <v>3746.2555821353358</v>
      </c>
      <c r="P86" s="3">
        <v>3467.4653674967262</v>
      </c>
      <c r="Q86">
        <f t="shared" si="20"/>
        <v>125805.17799956114</v>
      </c>
      <c r="R86">
        <f t="shared" si="21"/>
        <v>7.4588780998784229E-2</v>
      </c>
    </row>
    <row r="87" spans="1:18" x14ac:dyDescent="0.5">
      <c r="A87" s="2" t="s">
        <v>17</v>
      </c>
      <c r="B87" s="3">
        <v>20932.348208330364</v>
      </c>
      <c r="C87" s="3">
        <v>3772.5226201655773</v>
      </c>
      <c r="D87" s="3">
        <v>9379.6899276577878</v>
      </c>
      <c r="E87" s="3">
        <v>12271.788952536092</v>
      </c>
      <c r="F87" s="3">
        <v>23907.728138195402</v>
      </c>
      <c r="G87" s="3">
        <v>23907.728138195402</v>
      </c>
      <c r="H87" s="3">
        <v>7382.1809911686314</v>
      </c>
      <c r="I87" s="3">
        <v>7569.4783260419799</v>
      </c>
      <c r="J87" s="3">
        <v>7178.6057941617391</v>
      </c>
      <c r="K87" s="3">
        <v>2087.473438701446</v>
      </c>
      <c r="L87" s="3">
        <v>2317.0938672330949</v>
      </c>
      <c r="M87" s="3">
        <v>2733.422067984834</v>
      </c>
      <c r="N87" s="3">
        <v>4303.3729290226293</v>
      </c>
      <c r="O87" s="3">
        <v>4034.5818640131974</v>
      </c>
      <c r="P87" s="3">
        <v>3732.8105309711018</v>
      </c>
      <c r="Q87">
        <f t="shared" si="20"/>
        <v>135510.82579437929</v>
      </c>
      <c r="R87">
        <f t="shared" si="21"/>
        <v>8.0343174016069635E-2</v>
      </c>
    </row>
    <row r="88" spans="1:18" x14ac:dyDescent="0.5">
      <c r="A88" s="2" t="s">
        <v>18</v>
      </c>
      <c r="B88" s="3">
        <v>24805.780606785633</v>
      </c>
      <c r="C88" s="3">
        <v>4485.122610201458</v>
      </c>
      <c r="D88" s="3">
        <v>11139.501582374736</v>
      </c>
      <c r="E88" s="3">
        <v>14574.24329105602</v>
      </c>
      <c r="F88" s="3">
        <v>28318.931202964588</v>
      </c>
      <c r="G88" s="3">
        <v>28318.931202964588</v>
      </c>
      <c r="H88" s="3">
        <v>8772.9748906238256</v>
      </c>
      <c r="I88" s="3">
        <v>8996.7471378111113</v>
      </c>
      <c r="J88" s="3">
        <v>8532.8909078757497</v>
      </c>
      <c r="K88" s="3">
        <v>2479.1295445955539</v>
      </c>
      <c r="L88" s="3">
        <v>2753.4675054965751</v>
      </c>
      <c r="M88" s="3">
        <v>3250.3118774306813</v>
      </c>
      <c r="N88" s="3">
        <v>5117.7114703367497</v>
      </c>
      <c r="O88" s="3">
        <v>4796.3064314064632</v>
      </c>
      <c r="P88" s="3">
        <v>4446.3379373089692</v>
      </c>
      <c r="Q88">
        <f t="shared" si="20"/>
        <v>160788.38819923269</v>
      </c>
      <c r="R88">
        <f t="shared" si="21"/>
        <v>9.5330017931232566E-2</v>
      </c>
    </row>
    <row r="89" spans="1:18" x14ac:dyDescent="0.5">
      <c r="A89" s="115" t="s">
        <v>67</v>
      </c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>
        <f>SUM(Q74:Q88)</f>
        <v>1686650.1411467192</v>
      </c>
      <c r="R89">
        <f>SUM(R74:R88)</f>
        <v>0.99999999999999989</v>
      </c>
    </row>
    <row r="91" spans="1:18" x14ac:dyDescent="0.5">
      <c r="A91" s="72" t="s">
        <v>83</v>
      </c>
      <c r="B91" s="72"/>
      <c r="C91" s="72"/>
      <c r="D91" s="72"/>
      <c r="E91" s="72"/>
      <c r="F91" s="72"/>
      <c r="G91" s="72"/>
      <c r="H91" s="72"/>
    </row>
    <row r="92" spans="1:18" x14ac:dyDescent="0.5">
      <c r="A92" s="63" t="s">
        <v>19</v>
      </c>
      <c r="B92" s="73" t="s">
        <v>70</v>
      </c>
      <c r="C92" s="72"/>
      <c r="D92" s="76" t="s">
        <v>85</v>
      </c>
      <c r="E92" s="76"/>
      <c r="F92" s="76"/>
      <c r="G92" s="76"/>
      <c r="H92" s="76"/>
    </row>
    <row r="93" spans="1:18" x14ac:dyDescent="0.5">
      <c r="A93" s="2" t="s">
        <v>4</v>
      </c>
      <c r="B93" s="73">
        <f>R54-R74</f>
        <v>-9.7253356795933346E-4</v>
      </c>
      <c r="C93" s="72"/>
      <c r="D93" s="77" t="s">
        <v>86</v>
      </c>
      <c r="E93" s="77"/>
      <c r="F93" s="77"/>
      <c r="G93" s="77"/>
      <c r="H93" s="77"/>
    </row>
    <row r="94" spans="1:18" x14ac:dyDescent="0.5">
      <c r="A94" s="2" t="s">
        <v>5</v>
      </c>
      <c r="B94" s="73">
        <f t="shared" ref="B94:B107" si="22">R55-R75</f>
        <v>2.1376145908734434E-4</v>
      </c>
      <c r="C94" s="72"/>
      <c r="D94" s="77"/>
      <c r="E94" s="77"/>
      <c r="F94" s="77"/>
      <c r="G94" s="77"/>
      <c r="H94" s="77"/>
    </row>
    <row r="95" spans="1:18" x14ac:dyDescent="0.5">
      <c r="A95" s="2" t="s">
        <v>6</v>
      </c>
      <c r="B95" s="73">
        <f t="shared" si="22"/>
        <v>-6.5376193029297036E-4</v>
      </c>
      <c r="C95" s="72"/>
      <c r="D95" s="77"/>
      <c r="E95" s="77"/>
      <c r="F95" s="77"/>
      <c r="G95" s="77"/>
      <c r="H95" s="77"/>
    </row>
    <row r="96" spans="1:18" x14ac:dyDescent="0.5">
      <c r="A96" s="2" t="s">
        <v>7</v>
      </c>
      <c r="B96" s="73">
        <f t="shared" si="22"/>
        <v>-5.7873766169329668E-4</v>
      </c>
      <c r="C96" s="72"/>
      <c r="D96" s="77"/>
      <c r="E96" s="77"/>
      <c r="F96" s="77"/>
      <c r="G96" s="77"/>
      <c r="H96" s="77"/>
    </row>
    <row r="97" spans="1:8" x14ac:dyDescent="0.5">
      <c r="A97" s="2" t="s">
        <v>8</v>
      </c>
      <c r="B97" s="73">
        <f t="shared" si="22"/>
        <v>-1.0797934009664171E-3</v>
      </c>
      <c r="C97" s="72"/>
      <c r="D97" s="72"/>
      <c r="E97" s="72"/>
      <c r="F97" s="72"/>
      <c r="G97" s="72"/>
      <c r="H97" s="72"/>
    </row>
    <row r="98" spans="1:8" x14ac:dyDescent="0.5">
      <c r="A98" s="2" t="s">
        <v>9</v>
      </c>
      <c r="B98" s="73">
        <f t="shared" si="22"/>
        <v>-1.0797934009664171E-3</v>
      </c>
      <c r="D98" s="72"/>
      <c r="E98" s="72"/>
      <c r="F98" s="72"/>
      <c r="G98" s="72"/>
      <c r="H98" s="72"/>
    </row>
    <row r="99" spans="1:8" x14ac:dyDescent="0.5">
      <c r="A99" s="2" t="s">
        <v>10</v>
      </c>
      <c r="B99" s="73">
        <f t="shared" si="22"/>
        <v>-9.1269618473825004E-4</v>
      </c>
      <c r="D99" s="72"/>
      <c r="E99" s="72"/>
      <c r="F99" s="72"/>
      <c r="G99" s="72"/>
      <c r="H99" s="72"/>
    </row>
    <row r="100" spans="1:8" x14ac:dyDescent="0.5">
      <c r="A100" s="2" t="s">
        <v>11</v>
      </c>
      <c r="B100" s="73">
        <f t="shared" si="22"/>
        <v>-6.364613694878965E-4</v>
      </c>
      <c r="D100" s="72"/>
      <c r="E100" s="72"/>
      <c r="F100" s="72"/>
      <c r="G100" s="72"/>
      <c r="H100" s="72"/>
    </row>
    <row r="101" spans="1:8" x14ac:dyDescent="0.5">
      <c r="A101" s="2" t="s">
        <v>12</v>
      </c>
      <c r="B101" s="73">
        <f t="shared" si="22"/>
        <v>-5.4831578425140748E-4</v>
      </c>
      <c r="D101" s="72"/>
      <c r="E101" s="72"/>
      <c r="F101" s="72"/>
      <c r="G101" s="72"/>
      <c r="H101" s="72"/>
    </row>
    <row r="102" spans="1:8" x14ac:dyDescent="0.5">
      <c r="A102" s="2" t="s">
        <v>13</v>
      </c>
      <c r="B102" s="73">
        <f t="shared" si="22"/>
        <v>-1.5387289487953371E-3</v>
      </c>
      <c r="D102" s="72"/>
      <c r="E102" s="72"/>
      <c r="F102" s="72"/>
      <c r="G102" s="72"/>
      <c r="H102" s="72"/>
    </row>
    <row r="103" spans="1:8" x14ac:dyDescent="0.5">
      <c r="A103" s="2" t="s">
        <v>14</v>
      </c>
      <c r="B103" s="73">
        <f t="shared" si="22"/>
        <v>6.8656051570831211E-5</v>
      </c>
    </row>
    <row r="104" spans="1:8" x14ac:dyDescent="0.5">
      <c r="A104" s="2" t="s">
        <v>15</v>
      </c>
      <c r="B104" s="73">
        <f t="shared" si="22"/>
        <v>1.4845443631820859E-3</v>
      </c>
    </row>
    <row r="105" spans="1:8" x14ac:dyDescent="0.5">
      <c r="A105" s="2" t="s">
        <v>16</v>
      </c>
      <c r="B105" s="73">
        <f t="shared" si="22"/>
        <v>1.3588054746143524E-3</v>
      </c>
    </row>
    <row r="106" spans="1:8" x14ac:dyDescent="0.5">
      <c r="A106" s="2" t="s">
        <v>17</v>
      </c>
      <c r="B106" s="73">
        <f t="shared" si="22"/>
        <v>1.0620258387722542E-3</v>
      </c>
    </row>
    <row r="107" spans="1:8" x14ac:dyDescent="0.5">
      <c r="A107" s="2" t="s">
        <v>18</v>
      </c>
      <c r="B107" s="73">
        <f t="shared" si="22"/>
        <v>3.8130290619244889E-3</v>
      </c>
    </row>
    <row r="109" spans="1:8" x14ac:dyDescent="0.5">
      <c r="A109" s="63" t="s">
        <v>19</v>
      </c>
      <c r="B109" s="73" t="s">
        <v>88</v>
      </c>
      <c r="C109" s="73" t="s">
        <v>89</v>
      </c>
    </row>
    <row r="110" spans="1:8" x14ac:dyDescent="0.5">
      <c r="A110" s="2" t="s">
        <v>4</v>
      </c>
      <c r="B110" s="73">
        <f>_xlfn.RANK.EQ(C110,$C$110:$C$124,0)</f>
        <v>13</v>
      </c>
      <c r="C110" s="74">
        <f>R74</f>
        <v>1.842893731829261E-2</v>
      </c>
    </row>
    <row r="111" spans="1:8" x14ac:dyDescent="0.5">
      <c r="A111" s="2" t="s">
        <v>5</v>
      </c>
      <c r="B111" s="73">
        <f t="shared" ref="B111:B124" si="23">_xlfn.RANK.EQ(C111,$C$110:$C$124,0)</f>
        <v>5</v>
      </c>
      <c r="C111" s="74">
        <f t="shared" ref="C111:C124" si="24">R75</f>
        <v>8.7459536184411088E-2</v>
      </c>
    </row>
    <row r="112" spans="1:8" x14ac:dyDescent="0.5">
      <c r="A112" s="2" t="s">
        <v>6</v>
      </c>
      <c r="B112" s="73">
        <f t="shared" si="23"/>
        <v>11</v>
      </c>
      <c r="C112" s="74">
        <f t="shared" si="24"/>
        <v>3.4971379310338183E-2</v>
      </c>
    </row>
    <row r="113" spans="1:3" x14ac:dyDescent="0.5">
      <c r="A113" s="2" t="s">
        <v>7</v>
      </c>
      <c r="B113" s="73">
        <f t="shared" si="23"/>
        <v>12</v>
      </c>
      <c r="C113" s="74">
        <f t="shared" si="24"/>
        <v>2.5830850851206635E-2</v>
      </c>
    </row>
    <row r="114" spans="1:3" x14ac:dyDescent="0.5">
      <c r="A114" s="2" t="s">
        <v>8</v>
      </c>
      <c r="B114" s="73">
        <f t="shared" si="23"/>
        <v>14</v>
      </c>
      <c r="C114" s="74">
        <f t="shared" si="24"/>
        <v>1.4711345811125444E-2</v>
      </c>
    </row>
    <row r="115" spans="1:3" x14ac:dyDescent="0.5">
      <c r="A115" s="2" t="s">
        <v>9</v>
      </c>
      <c r="B115" s="73">
        <f t="shared" si="23"/>
        <v>14</v>
      </c>
      <c r="C115" s="74">
        <f t="shared" si="24"/>
        <v>1.4711345811125444E-2</v>
      </c>
    </row>
    <row r="116" spans="1:3" x14ac:dyDescent="0.5">
      <c r="A116" s="2" t="s">
        <v>10</v>
      </c>
      <c r="B116" s="73">
        <f t="shared" si="23"/>
        <v>9</v>
      </c>
      <c r="C116" s="74">
        <f t="shared" si="24"/>
        <v>4.4798672958355448E-2</v>
      </c>
    </row>
    <row r="117" spans="1:3" x14ac:dyDescent="0.5">
      <c r="A117" s="2" t="s">
        <v>11</v>
      </c>
      <c r="B117" s="73">
        <f t="shared" si="23"/>
        <v>10</v>
      </c>
      <c r="C117" s="74">
        <f t="shared" si="24"/>
        <v>4.3678842889905783E-2</v>
      </c>
    </row>
    <row r="118" spans="1:3" x14ac:dyDescent="0.5">
      <c r="A118" s="2" t="s">
        <v>12</v>
      </c>
      <c r="B118" s="73">
        <f t="shared" si="23"/>
        <v>8</v>
      </c>
      <c r="C118" s="74">
        <f t="shared" si="24"/>
        <v>4.5801250812245307E-2</v>
      </c>
    </row>
    <row r="119" spans="1:3" x14ac:dyDescent="0.5">
      <c r="A119" s="2" t="s">
        <v>13</v>
      </c>
      <c r="B119" s="73">
        <f t="shared" si="23"/>
        <v>1</v>
      </c>
      <c r="C119" s="74">
        <f t="shared" si="24"/>
        <v>0.15695398162301508</v>
      </c>
    </row>
    <row r="120" spans="1:3" x14ac:dyDescent="0.5">
      <c r="A120" s="2" t="s">
        <v>14</v>
      </c>
      <c r="B120" s="73">
        <f t="shared" si="23"/>
        <v>2</v>
      </c>
      <c r="C120" s="74">
        <f t="shared" si="24"/>
        <v>0.13985783595883738</v>
      </c>
    </row>
    <row r="121" spans="1:3" x14ac:dyDescent="0.5">
      <c r="A121" s="2" t="s">
        <v>15</v>
      </c>
      <c r="B121" s="73">
        <f t="shared" si="23"/>
        <v>3</v>
      </c>
      <c r="C121" s="74">
        <f t="shared" si="24"/>
        <v>0.1225340475250552</v>
      </c>
    </row>
    <row r="122" spans="1:3" x14ac:dyDescent="0.5">
      <c r="A122" s="2" t="s">
        <v>16</v>
      </c>
      <c r="B122" s="73">
        <f t="shared" si="23"/>
        <v>7</v>
      </c>
      <c r="C122" s="74">
        <f t="shared" si="24"/>
        <v>7.4588780998784229E-2</v>
      </c>
    </row>
    <row r="123" spans="1:3" x14ac:dyDescent="0.5">
      <c r="A123" s="2" t="s">
        <v>17</v>
      </c>
      <c r="B123" s="73">
        <f t="shared" si="23"/>
        <v>6</v>
      </c>
      <c r="C123" s="74">
        <f t="shared" si="24"/>
        <v>8.0343174016069635E-2</v>
      </c>
    </row>
    <row r="124" spans="1:3" x14ac:dyDescent="0.5">
      <c r="A124" s="2" t="s">
        <v>18</v>
      </c>
      <c r="B124" s="73">
        <f t="shared" si="23"/>
        <v>4</v>
      </c>
      <c r="C124" s="74">
        <f t="shared" si="24"/>
        <v>9.5330017931232566E-2</v>
      </c>
    </row>
  </sheetData>
  <mergeCells count="6">
    <mergeCell ref="D93:H96"/>
    <mergeCell ref="C40:C44"/>
    <mergeCell ref="A47:P47"/>
    <mergeCell ref="A69:P69"/>
    <mergeCell ref="A89:P89"/>
    <mergeCell ref="D92:H9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C509-22A6-444A-A68D-0AD0756368E1}">
  <dimension ref="B1:AK329"/>
  <sheetViews>
    <sheetView topLeftCell="E101" zoomScale="36" workbookViewId="0">
      <selection activeCell="AH119" sqref="AH119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38.1875" bestFit="1" customWidth="1"/>
    <col min="23" max="24" width="26.6875" bestFit="1" customWidth="1"/>
    <col min="25" max="26" width="27.3125" bestFit="1" customWidth="1"/>
    <col min="27" max="29" width="19.6875" bestFit="1" customWidth="1"/>
    <col min="30" max="30" width="15.3125" bestFit="1" customWidth="1"/>
    <col min="31" max="31" width="15.6875" bestFit="1" customWidth="1"/>
    <col min="32" max="32" width="22.6875" bestFit="1" customWidth="1"/>
    <col min="33" max="33" width="19.3125" bestFit="1" customWidth="1"/>
    <col min="34" max="34" width="23.1875" bestFit="1" customWidth="1"/>
    <col min="35" max="36" width="17.5" bestFit="1" customWidth="1"/>
    <col min="37" max="37" width="18.6875" bestFit="1" customWidth="1"/>
  </cols>
  <sheetData>
    <row r="1" spans="2:37" x14ac:dyDescent="0.5">
      <c r="B1" s="90" t="s">
        <v>20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2:37" x14ac:dyDescent="0.5">
      <c r="B2" s="85" t="s">
        <v>22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93"/>
    </row>
    <row r="3" spans="2:37" x14ac:dyDescent="0.5">
      <c r="B3" s="94" t="s">
        <v>1</v>
      </c>
      <c r="C3" s="90" t="s">
        <v>2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6"/>
      <c r="T3" s="94" t="s">
        <v>3</v>
      </c>
    </row>
    <row r="4" spans="2:37" x14ac:dyDescent="0.5">
      <c r="B4" s="95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5"/>
    </row>
    <row r="5" spans="2:37" x14ac:dyDescent="0.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8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63" t="s">
        <v>20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59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2" t="s">
        <v>4</v>
      </c>
      <c r="W6" s="3">
        <v>1</v>
      </c>
      <c r="X6" s="3">
        <v>4</v>
      </c>
      <c r="Y6" s="3">
        <f>1/4</f>
        <v>0.25</v>
      </c>
      <c r="Z6" s="3">
        <v>3</v>
      </c>
      <c r="AA6" s="3">
        <v>4</v>
      </c>
      <c r="AB6" s="3">
        <v>4</v>
      </c>
      <c r="AC6" s="3">
        <v>3</v>
      </c>
      <c r="AD6" s="3">
        <v>4</v>
      </c>
      <c r="AE6" s="3">
        <v>1</v>
      </c>
      <c r="AF6" s="3">
        <f>1/8</f>
        <v>0.125</v>
      </c>
      <c r="AG6" s="3">
        <v>4</v>
      </c>
      <c r="AH6" s="3">
        <v>3</v>
      </c>
      <c r="AI6" s="3">
        <v>3</v>
      </c>
      <c r="AJ6" s="3">
        <f>1/8</f>
        <v>0.125</v>
      </c>
      <c r="AK6" s="3">
        <v>2</v>
      </c>
    </row>
    <row r="7" spans="2:37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59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2" t="s">
        <v>5</v>
      </c>
      <c r="W7" s="3">
        <f>1/X6</f>
        <v>0.25</v>
      </c>
      <c r="X7" s="3">
        <v>1</v>
      </c>
      <c r="Y7" s="3">
        <f>1/2</f>
        <v>0.5</v>
      </c>
      <c r="Z7" s="3">
        <f>1/2</f>
        <v>0.5</v>
      </c>
      <c r="AA7" s="3">
        <v>1</v>
      </c>
      <c r="AB7" s="3">
        <v>2</v>
      </c>
      <c r="AC7" s="3">
        <f>1/2</f>
        <v>0.5</v>
      </c>
      <c r="AD7" s="3">
        <f>1/2</f>
        <v>0.5</v>
      </c>
      <c r="AE7" s="3">
        <f>1/2</f>
        <v>0.5</v>
      </c>
      <c r="AF7" s="3">
        <f>1/8</f>
        <v>0.125</v>
      </c>
      <c r="AG7" s="3">
        <f>1/2</f>
        <v>0.5</v>
      </c>
      <c r="AH7" s="3">
        <f>1/2</f>
        <v>0.5</v>
      </c>
      <c r="AI7" s="3">
        <f>1/3</f>
        <v>0.33333333333333331</v>
      </c>
      <c r="AJ7" s="3">
        <f>1/8</f>
        <v>0.125</v>
      </c>
      <c r="AK7" s="3">
        <f>1/4</f>
        <v>0.25</v>
      </c>
    </row>
    <row r="8" spans="2:37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59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2" t="s">
        <v>6</v>
      </c>
      <c r="W8" s="3">
        <f>1/Y6</f>
        <v>4</v>
      </c>
      <c r="X8" s="3">
        <f>1/Y7</f>
        <v>2</v>
      </c>
      <c r="Y8" s="3">
        <v>1</v>
      </c>
      <c r="Z8" s="3">
        <v>3</v>
      </c>
      <c r="AA8" s="3">
        <v>8</v>
      </c>
      <c r="AB8" s="3">
        <v>5</v>
      </c>
      <c r="AC8" s="3">
        <f>1/2</f>
        <v>0.5</v>
      </c>
      <c r="AD8" s="3">
        <v>2</v>
      </c>
      <c r="AE8" s="3">
        <v>3</v>
      </c>
      <c r="AF8" s="3">
        <f>1/3</f>
        <v>0.33333333333333331</v>
      </c>
      <c r="AG8" s="3">
        <f>1/3</f>
        <v>0.33333333333333331</v>
      </c>
      <c r="AH8" s="3">
        <v>3</v>
      </c>
      <c r="AI8" s="3">
        <v>2</v>
      </c>
      <c r="AJ8" s="3">
        <f>1/3</f>
        <v>0.33333333333333331</v>
      </c>
      <c r="AK8" s="3">
        <v>3</v>
      </c>
    </row>
    <row r="9" spans="2:37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59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2" t="s">
        <v>7</v>
      </c>
      <c r="W9" s="3">
        <f>1/Z6</f>
        <v>0.33333333333333331</v>
      </c>
      <c r="X9" s="3">
        <f>1/Z7</f>
        <v>2</v>
      </c>
      <c r="Y9" s="3">
        <f>1/Z8</f>
        <v>0.33333333333333331</v>
      </c>
      <c r="Z9" s="3">
        <v>1</v>
      </c>
      <c r="AA9" s="3">
        <v>2</v>
      </c>
      <c r="AB9" s="3">
        <v>3</v>
      </c>
      <c r="AC9" s="3">
        <f>1/2</f>
        <v>0.5</v>
      </c>
      <c r="AD9" s="3">
        <v>2</v>
      </c>
      <c r="AE9" s="3">
        <v>2</v>
      </c>
      <c r="AF9" s="3">
        <f>1/4</f>
        <v>0.25</v>
      </c>
      <c r="AG9" s="3">
        <v>2</v>
      </c>
      <c r="AH9" s="3">
        <f>1/2</f>
        <v>0.5</v>
      </c>
      <c r="AI9" s="3">
        <f>1/2</f>
        <v>0.5</v>
      </c>
      <c r="AJ9" s="3">
        <f>1/8</f>
        <v>0.125</v>
      </c>
      <c r="AK9" s="3">
        <f>1/3</f>
        <v>0.33333333333333331</v>
      </c>
    </row>
    <row r="10" spans="2:37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59">
        <v>3</v>
      </c>
      <c r="J10" s="1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2" t="s">
        <v>8</v>
      </c>
      <c r="W10" s="3">
        <f>1/AA6</f>
        <v>0.25</v>
      </c>
      <c r="X10" s="3">
        <f>1/AA7</f>
        <v>1</v>
      </c>
      <c r="Y10" s="3">
        <f>1/AA8</f>
        <v>0.125</v>
      </c>
      <c r="Z10" s="3">
        <f>1/AA9</f>
        <v>0.5</v>
      </c>
      <c r="AA10" s="3">
        <v>1</v>
      </c>
      <c r="AB10" s="3">
        <v>2</v>
      </c>
      <c r="AC10" s="3">
        <f>1/2</f>
        <v>0.5</v>
      </c>
      <c r="AD10" s="3">
        <f>1/2</f>
        <v>0.5</v>
      </c>
      <c r="AE10" s="3">
        <f>1/2</f>
        <v>0.5</v>
      </c>
      <c r="AF10" s="3">
        <f>1/4</f>
        <v>0.25</v>
      </c>
      <c r="AG10" s="3">
        <f>1/2</f>
        <v>0.5</v>
      </c>
      <c r="AH10" s="3">
        <f>1/2</f>
        <v>0.5</v>
      </c>
      <c r="AI10" s="3">
        <f>1/3</f>
        <v>0.33333333333333331</v>
      </c>
      <c r="AJ10">
        <f>1/8</f>
        <v>0.125</v>
      </c>
      <c r="AK10" s="3">
        <f>1/3</f>
        <v>0.33333333333333331</v>
      </c>
    </row>
    <row r="11" spans="2:37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59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2" t="s">
        <v>9</v>
      </c>
      <c r="W11" s="3">
        <f>1/AB6</f>
        <v>0.25</v>
      </c>
      <c r="X11" s="3">
        <f>1/AB7</f>
        <v>0.5</v>
      </c>
      <c r="Y11" s="3">
        <f>1/AB8</f>
        <v>0.2</v>
      </c>
      <c r="Z11" s="3">
        <f>1/AB9</f>
        <v>0.33333333333333331</v>
      </c>
      <c r="AA11" s="3">
        <f>1/AB10</f>
        <v>0.5</v>
      </c>
      <c r="AB11" s="3">
        <v>1</v>
      </c>
      <c r="AC11" s="3">
        <f>1/3</f>
        <v>0.33333333333333331</v>
      </c>
      <c r="AD11" s="3">
        <f>1/2</f>
        <v>0.5</v>
      </c>
      <c r="AE11" s="3">
        <f>1/2</f>
        <v>0.5</v>
      </c>
      <c r="AF11" s="3">
        <f>1/9</f>
        <v>0.1111111111111111</v>
      </c>
      <c r="AG11" s="3">
        <f>1/2</f>
        <v>0.5</v>
      </c>
      <c r="AH11" s="3">
        <f>1/3</f>
        <v>0.33333333333333331</v>
      </c>
      <c r="AI11" s="3">
        <f>1/3</f>
        <v>0.33333333333333331</v>
      </c>
      <c r="AJ11" s="3">
        <f>1/9</f>
        <v>0.1111111111111111</v>
      </c>
      <c r="AK11" s="3">
        <f>1/4</f>
        <v>0.25</v>
      </c>
    </row>
    <row r="12" spans="2:37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59">
        <v>1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2" t="s">
        <v>10</v>
      </c>
      <c r="W12" s="3">
        <f>1/AC6</f>
        <v>0.33333333333333331</v>
      </c>
      <c r="X12" s="3">
        <f>1/AC7</f>
        <v>2</v>
      </c>
      <c r="Y12" s="3">
        <f>1/AC8</f>
        <v>2</v>
      </c>
      <c r="Z12" s="3">
        <f>1/AC9</f>
        <v>2</v>
      </c>
      <c r="AA12" s="3">
        <f>1/AC10</f>
        <v>2</v>
      </c>
      <c r="AB12" s="3">
        <f>1/AC11</f>
        <v>3</v>
      </c>
      <c r="AC12" s="3">
        <v>1</v>
      </c>
      <c r="AD12" s="3">
        <v>2</v>
      </c>
      <c r="AE12" s="3">
        <v>2</v>
      </c>
      <c r="AF12" s="3">
        <f>1/8</f>
        <v>0.125</v>
      </c>
      <c r="AG12" s="3">
        <v>2</v>
      </c>
      <c r="AH12" s="3">
        <v>1</v>
      </c>
      <c r="AI12" s="3">
        <f>1/2</f>
        <v>0.5</v>
      </c>
      <c r="AJ12" s="3">
        <f>1/8</f>
        <v>0.125</v>
      </c>
      <c r="AK12" s="3">
        <f>1/3</f>
        <v>0.33333333333333331</v>
      </c>
    </row>
    <row r="13" spans="2:37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59">
        <v>8</v>
      </c>
      <c r="S13" s="12">
        <v>9</v>
      </c>
      <c r="T13" s="12" t="s">
        <v>13</v>
      </c>
      <c r="V13" s="2" t="s">
        <v>11</v>
      </c>
      <c r="W13" s="3">
        <f>1/AD6</f>
        <v>0.25</v>
      </c>
      <c r="X13" s="3">
        <f>1/AD7</f>
        <v>2</v>
      </c>
      <c r="Y13" s="3">
        <f>1/AD8</f>
        <v>0.5</v>
      </c>
      <c r="Z13" s="3">
        <f>1/AD9</f>
        <v>0.5</v>
      </c>
      <c r="AA13" s="3">
        <f>1/AD10</f>
        <v>2</v>
      </c>
      <c r="AB13" s="3">
        <f>1/AD11</f>
        <v>2</v>
      </c>
      <c r="AC13" s="3">
        <f>1/AD12</f>
        <v>0.5</v>
      </c>
      <c r="AD13" s="3">
        <v>1</v>
      </c>
      <c r="AE13" s="3">
        <v>2</v>
      </c>
      <c r="AF13" s="3">
        <f>1/6</f>
        <v>0.16666666666666666</v>
      </c>
      <c r="AG13" s="3">
        <v>2</v>
      </c>
      <c r="AH13" s="3">
        <f>1/2</f>
        <v>0.5</v>
      </c>
      <c r="AI13" s="3">
        <f>1/2</f>
        <v>0.5</v>
      </c>
      <c r="AJ13" s="3">
        <f>1/8</f>
        <v>0.125</v>
      </c>
      <c r="AK13" s="3">
        <f>1/3</f>
        <v>0.33333333333333331</v>
      </c>
    </row>
    <row r="14" spans="2:37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59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2" t="s">
        <v>12</v>
      </c>
      <c r="W14" s="3">
        <f>1/AE6</f>
        <v>1</v>
      </c>
      <c r="X14" s="3">
        <f>1/AE7</f>
        <v>2</v>
      </c>
      <c r="Y14" s="3">
        <f>1/AE8</f>
        <v>0.33333333333333331</v>
      </c>
      <c r="Z14" s="3">
        <f>1/AE9</f>
        <v>0.5</v>
      </c>
      <c r="AA14" s="3">
        <f>1/AE10</f>
        <v>2</v>
      </c>
      <c r="AB14" s="3">
        <f>1/AE11</f>
        <v>2</v>
      </c>
      <c r="AC14" s="3">
        <f>1/AE12</f>
        <v>0.5</v>
      </c>
      <c r="AD14" s="3">
        <f>1/AE13</f>
        <v>0.5</v>
      </c>
      <c r="AE14" s="3">
        <v>1</v>
      </c>
      <c r="AF14" s="3">
        <f>1/8</f>
        <v>0.125</v>
      </c>
      <c r="AG14" s="3">
        <v>1</v>
      </c>
      <c r="AH14" s="3">
        <f>1/2</f>
        <v>0.5</v>
      </c>
      <c r="AI14" s="3">
        <f>1/2</f>
        <v>0.5</v>
      </c>
      <c r="AJ14" s="3">
        <f>1/8</f>
        <v>0.125</v>
      </c>
      <c r="AK14" s="3">
        <f>1/3</f>
        <v>0.33333333333333331</v>
      </c>
    </row>
    <row r="15" spans="2:37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59">
        <v>3</v>
      </c>
      <c r="J15" s="1">
        <v>2</v>
      </c>
      <c r="K15" s="1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2" t="s">
        <v>13</v>
      </c>
      <c r="W15" s="3">
        <f>1/AF6</f>
        <v>8</v>
      </c>
      <c r="X15" s="3">
        <f>1/AF7</f>
        <v>8</v>
      </c>
      <c r="Y15" s="3">
        <f>1/AF8</f>
        <v>3</v>
      </c>
      <c r="Z15" s="3">
        <f>1/AF9</f>
        <v>4</v>
      </c>
      <c r="AA15" s="3">
        <f>1/AF10</f>
        <v>4</v>
      </c>
      <c r="AB15" s="3">
        <f>1/AF11</f>
        <v>9</v>
      </c>
      <c r="AC15" s="3">
        <f>1/AF12</f>
        <v>8</v>
      </c>
      <c r="AD15" s="3">
        <f>1/AF13</f>
        <v>6</v>
      </c>
      <c r="AE15" s="3">
        <f>1/AF14</f>
        <v>8</v>
      </c>
      <c r="AF15" s="3">
        <v>1</v>
      </c>
      <c r="AG15" s="3">
        <v>8</v>
      </c>
      <c r="AH15" s="3">
        <v>8</v>
      </c>
      <c r="AI15" s="3">
        <v>5</v>
      </c>
      <c r="AJ15" s="3">
        <v>2</v>
      </c>
      <c r="AK15" s="3">
        <v>7</v>
      </c>
    </row>
    <row r="16" spans="2:37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59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2" t="s">
        <v>14</v>
      </c>
      <c r="W16" s="3">
        <f>1/AG6</f>
        <v>0.25</v>
      </c>
      <c r="X16" s="3">
        <f>1/AG7</f>
        <v>2</v>
      </c>
      <c r="Y16" s="3">
        <f>1/AG8</f>
        <v>3</v>
      </c>
      <c r="Z16" s="3">
        <f>1/AG9</f>
        <v>0.5</v>
      </c>
      <c r="AA16" s="3">
        <f>1/AG10</f>
        <v>2</v>
      </c>
      <c r="AB16" s="3">
        <f>1/AG11</f>
        <v>2</v>
      </c>
      <c r="AC16" s="3">
        <f>1/AG12</f>
        <v>0.5</v>
      </c>
      <c r="AD16" s="3">
        <f>1/AG13</f>
        <v>0.5</v>
      </c>
      <c r="AE16" s="3">
        <f>1/AG14</f>
        <v>1</v>
      </c>
      <c r="AF16" s="3">
        <f>1/AG15</f>
        <v>0.125</v>
      </c>
      <c r="AG16" s="3">
        <v>1</v>
      </c>
      <c r="AH16" s="3">
        <f>1/2</f>
        <v>0.5</v>
      </c>
      <c r="AI16" s="3">
        <f>1/3</f>
        <v>0.33333333333333331</v>
      </c>
      <c r="AJ16" s="3">
        <f>1/3</f>
        <v>0.33333333333333331</v>
      </c>
      <c r="AK16" s="3">
        <f>1/4</f>
        <v>0.25</v>
      </c>
    </row>
    <row r="17" spans="2:37" x14ac:dyDescent="0.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1">
        <v>4</v>
      </c>
      <c r="O17" s="1">
        <v>5</v>
      </c>
      <c r="P17" s="1">
        <v>6</v>
      </c>
      <c r="Q17" s="1">
        <v>7</v>
      </c>
      <c r="R17" s="62">
        <v>8</v>
      </c>
      <c r="S17" s="12">
        <v>9</v>
      </c>
      <c r="T17" s="12" t="s">
        <v>17</v>
      </c>
      <c r="V17" s="2" t="s">
        <v>15</v>
      </c>
      <c r="W17" s="3">
        <f>1/AH6</f>
        <v>0.33333333333333331</v>
      </c>
      <c r="X17" s="3">
        <f>1/AH7</f>
        <v>2</v>
      </c>
      <c r="Y17" s="3">
        <f>1/AH8</f>
        <v>0.33333333333333331</v>
      </c>
      <c r="Z17" s="3">
        <f>1/AH9</f>
        <v>2</v>
      </c>
      <c r="AA17" s="3">
        <f>1/AH10</f>
        <v>2</v>
      </c>
      <c r="AB17" s="3">
        <f>1/AH11</f>
        <v>3</v>
      </c>
      <c r="AC17" s="3">
        <f>1/AH12</f>
        <v>1</v>
      </c>
      <c r="AD17" s="3">
        <f>1/AH13</f>
        <v>2</v>
      </c>
      <c r="AE17" s="3">
        <f>1/AH14</f>
        <v>2</v>
      </c>
      <c r="AF17" s="3">
        <f>1/AH15</f>
        <v>0.125</v>
      </c>
      <c r="AG17" s="3">
        <f>1/AH16</f>
        <v>2</v>
      </c>
      <c r="AH17" s="3">
        <v>1</v>
      </c>
      <c r="AI17" s="3">
        <f>1/3</f>
        <v>0.33333333333333331</v>
      </c>
      <c r="AJ17" s="3">
        <f>1/3</f>
        <v>0.33333333333333331</v>
      </c>
      <c r="AK17" s="3">
        <f>1/3</f>
        <v>0.33333333333333331</v>
      </c>
    </row>
    <row r="18" spans="2:37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60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2" t="s">
        <v>16</v>
      </c>
      <c r="W18" s="3">
        <f>1/AI6</f>
        <v>0.33333333333333331</v>
      </c>
      <c r="X18" s="3">
        <f>1/AI7</f>
        <v>3</v>
      </c>
      <c r="Y18" s="3">
        <f>1/AI8</f>
        <v>0.5</v>
      </c>
      <c r="Z18" s="3">
        <f>1/AI9</f>
        <v>2</v>
      </c>
      <c r="AA18" s="3">
        <f>1/AI10</f>
        <v>3</v>
      </c>
      <c r="AB18" s="3">
        <f>1/AI11</f>
        <v>3</v>
      </c>
      <c r="AC18" s="3">
        <f>1/AI12</f>
        <v>2</v>
      </c>
      <c r="AD18" s="3">
        <f>1/AI13</f>
        <v>2</v>
      </c>
      <c r="AE18" s="3">
        <f>1/AI14</f>
        <v>2</v>
      </c>
      <c r="AF18" s="3">
        <f>1/AI15</f>
        <v>0.2</v>
      </c>
      <c r="AG18" s="3">
        <f>1/AI16</f>
        <v>3</v>
      </c>
      <c r="AH18" s="3">
        <f>1/AI17</f>
        <v>3</v>
      </c>
      <c r="AI18" s="3">
        <v>1</v>
      </c>
      <c r="AJ18" s="3">
        <f>1/4</f>
        <v>0.25</v>
      </c>
      <c r="AK18" s="3">
        <f>1/3</f>
        <v>0.33333333333333331</v>
      </c>
    </row>
    <row r="19" spans="2:37" x14ac:dyDescent="0.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1">
        <v>1</v>
      </c>
      <c r="L19" s="59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" t="s">
        <v>17</v>
      </c>
      <c r="W19" s="3">
        <f>1/AJ6</f>
        <v>8</v>
      </c>
      <c r="X19" s="3">
        <f>1/AJ7</f>
        <v>8</v>
      </c>
      <c r="Y19" s="3">
        <f>1/AJ8</f>
        <v>3</v>
      </c>
      <c r="Z19" s="3">
        <f>1/AJ9</f>
        <v>8</v>
      </c>
      <c r="AA19" s="3">
        <f>1/AJ11</f>
        <v>9</v>
      </c>
      <c r="AB19" s="3">
        <f>1/AJ12</f>
        <v>8</v>
      </c>
      <c r="AC19" s="3">
        <f>1/AJ13</f>
        <v>8</v>
      </c>
      <c r="AD19" s="3">
        <f>1/AJ14</f>
        <v>8</v>
      </c>
      <c r="AE19" s="3">
        <f>1/AJ15</f>
        <v>0.5</v>
      </c>
      <c r="AF19" s="3">
        <f>1/AJ16</f>
        <v>3</v>
      </c>
      <c r="AG19" s="3">
        <f>1/AJ17</f>
        <v>3</v>
      </c>
      <c r="AH19" s="3">
        <f>1/AJ17</f>
        <v>3</v>
      </c>
      <c r="AI19" s="3">
        <f>1/AJ18</f>
        <v>4</v>
      </c>
      <c r="AJ19" s="3">
        <v>1</v>
      </c>
      <c r="AK19" s="3">
        <v>2</v>
      </c>
    </row>
    <row r="20" spans="2:37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">
        <v>3</v>
      </c>
      <c r="J20" s="1">
        <v>2</v>
      </c>
      <c r="K20" s="1">
        <v>1</v>
      </c>
      <c r="L20" s="59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2" t="s">
        <v>18</v>
      </c>
      <c r="W20" s="3">
        <f>1/AK6</f>
        <v>0.5</v>
      </c>
      <c r="X20" s="3">
        <f>1/AK7</f>
        <v>4</v>
      </c>
      <c r="Y20" s="3">
        <f>1/AK8</f>
        <v>0.33333333333333331</v>
      </c>
      <c r="Z20" s="3">
        <f>1/AK9</f>
        <v>3</v>
      </c>
      <c r="AA20" s="3">
        <f>1/AK10</f>
        <v>3</v>
      </c>
      <c r="AB20" s="3">
        <f>1/AK11</f>
        <v>4</v>
      </c>
      <c r="AC20" s="3">
        <f>1/AK12</f>
        <v>3</v>
      </c>
      <c r="AD20" s="3">
        <f>1/AK13</f>
        <v>3</v>
      </c>
      <c r="AE20" s="3">
        <f>1/AK14</f>
        <v>3</v>
      </c>
      <c r="AF20" s="3">
        <f>1/AK15</f>
        <v>0.14285714285714285</v>
      </c>
      <c r="AG20" s="3">
        <f>1/AK16</f>
        <v>4</v>
      </c>
      <c r="AH20" s="3">
        <f>1/AK17</f>
        <v>3</v>
      </c>
      <c r="AI20" s="3">
        <f>1/AK18</f>
        <v>3</v>
      </c>
      <c r="AJ20" s="3">
        <f>1/AK19</f>
        <v>0.5</v>
      </c>
      <c r="AK20" s="3">
        <v>1</v>
      </c>
    </row>
    <row r="21" spans="2:37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8">
        <v>3</v>
      </c>
      <c r="J21" s="1">
        <v>2</v>
      </c>
      <c r="K21" s="59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</row>
    <row r="22" spans="2:37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59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</row>
    <row r="23" spans="2:37" x14ac:dyDescent="0.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59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</row>
    <row r="24" spans="2:37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59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</row>
    <row r="25" spans="2:37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59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</row>
    <row r="26" spans="2:37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59">
        <v>8</v>
      </c>
      <c r="S26" s="12">
        <v>9</v>
      </c>
      <c r="T26" s="12" t="s">
        <v>13</v>
      </c>
    </row>
    <row r="27" spans="2:37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59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</row>
    <row r="28" spans="2:37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59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</row>
    <row r="29" spans="2:37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59">
        <v>2</v>
      </c>
      <c r="M29" s="1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</row>
    <row r="30" spans="2:37" x14ac:dyDescent="0.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1">
        <v>2</v>
      </c>
      <c r="M30" s="1">
        <v>3</v>
      </c>
      <c r="N30" s="1">
        <v>4</v>
      </c>
      <c r="O30" s="1">
        <v>5</v>
      </c>
      <c r="P30" s="1">
        <v>6</v>
      </c>
      <c r="Q30" s="1">
        <v>7</v>
      </c>
      <c r="R30" s="59">
        <v>8</v>
      </c>
      <c r="S30" s="12">
        <v>9</v>
      </c>
      <c r="T30" s="12" t="s">
        <v>17</v>
      </c>
    </row>
    <row r="31" spans="2:37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60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</row>
    <row r="32" spans="2:37" x14ac:dyDescent="0.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1">
        <v>4</v>
      </c>
      <c r="I32" s="59">
        <v>3</v>
      </c>
      <c r="J32" s="1">
        <v>2</v>
      </c>
      <c r="K32" s="1">
        <v>1</v>
      </c>
      <c r="L32" s="1">
        <v>2</v>
      </c>
      <c r="M32" s="1">
        <v>3</v>
      </c>
      <c r="N32" s="1">
        <v>4</v>
      </c>
      <c r="O32" s="1">
        <v>5</v>
      </c>
      <c r="P32" s="1">
        <v>6</v>
      </c>
      <c r="Q32" s="1">
        <v>7</v>
      </c>
      <c r="R32" s="1">
        <v>8</v>
      </c>
      <c r="S32" s="12">
        <v>9</v>
      </c>
      <c r="T32" s="12" t="s">
        <v>7</v>
      </c>
    </row>
    <row r="33" spans="2:20" x14ac:dyDescent="0.5">
      <c r="B33" s="17" t="s">
        <v>6</v>
      </c>
      <c r="C33" s="11">
        <v>9</v>
      </c>
      <c r="D33" s="59">
        <v>8</v>
      </c>
      <c r="E33" s="1">
        <v>7</v>
      </c>
      <c r="F33" s="1">
        <v>6</v>
      </c>
      <c r="G33" s="1">
        <v>5</v>
      </c>
      <c r="H33" s="1">
        <v>4</v>
      </c>
      <c r="I33" s="1">
        <v>3</v>
      </c>
      <c r="J33" s="1">
        <v>2</v>
      </c>
      <c r="K33" s="1">
        <v>1</v>
      </c>
      <c r="L33" s="1">
        <v>2</v>
      </c>
      <c r="M33" s="1">
        <v>3</v>
      </c>
      <c r="N33" s="1">
        <v>4</v>
      </c>
      <c r="O33" s="1">
        <v>5</v>
      </c>
      <c r="P33" s="1">
        <v>6</v>
      </c>
      <c r="Q33" s="1">
        <v>7</v>
      </c>
      <c r="R33" s="1">
        <v>8</v>
      </c>
      <c r="S33" s="12">
        <v>9</v>
      </c>
      <c r="T33" s="12" t="s">
        <v>8</v>
      </c>
    </row>
    <row r="34" spans="2:20" x14ac:dyDescent="0.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59">
        <v>5</v>
      </c>
      <c r="H34" s="1">
        <v>4</v>
      </c>
      <c r="I34" s="1">
        <v>3</v>
      </c>
      <c r="J34" s="1">
        <v>2</v>
      </c>
      <c r="K34" s="1">
        <v>1</v>
      </c>
      <c r="L34" s="1">
        <v>2</v>
      </c>
      <c r="M34" s="1">
        <v>3</v>
      </c>
      <c r="N34" s="1">
        <v>4</v>
      </c>
      <c r="O34" s="1">
        <v>5</v>
      </c>
      <c r="P34" s="1">
        <v>6</v>
      </c>
      <c r="Q34" s="1">
        <v>7</v>
      </c>
      <c r="R34" s="1">
        <v>8</v>
      </c>
      <c r="S34" s="12">
        <v>9</v>
      </c>
      <c r="T34" s="12" t="s">
        <v>9</v>
      </c>
    </row>
    <row r="35" spans="2:20" x14ac:dyDescent="0.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">
        <v>2</v>
      </c>
      <c r="K35" s="1">
        <v>1</v>
      </c>
      <c r="L35" s="59">
        <v>2</v>
      </c>
      <c r="M35" s="1">
        <v>3</v>
      </c>
      <c r="N35" s="1">
        <v>4</v>
      </c>
      <c r="O35" s="1">
        <v>5</v>
      </c>
      <c r="P35" s="1">
        <v>6</v>
      </c>
      <c r="Q35" s="1">
        <v>7</v>
      </c>
      <c r="R35" s="1">
        <v>8</v>
      </c>
      <c r="S35" s="12">
        <v>9</v>
      </c>
      <c r="T35" s="12" t="s">
        <v>10</v>
      </c>
    </row>
    <row r="36" spans="2:20" x14ac:dyDescent="0.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59">
        <v>2</v>
      </c>
      <c r="K36" s="1">
        <v>1</v>
      </c>
      <c r="L36" s="1">
        <v>2</v>
      </c>
      <c r="M36" s="1">
        <v>3</v>
      </c>
      <c r="N36" s="1">
        <v>4</v>
      </c>
      <c r="O36" s="1">
        <v>5</v>
      </c>
      <c r="P36" s="1">
        <v>6</v>
      </c>
      <c r="Q36" s="1">
        <v>7</v>
      </c>
      <c r="R36" s="1">
        <v>8</v>
      </c>
      <c r="S36" s="12">
        <v>9</v>
      </c>
      <c r="T36" s="12" t="s">
        <v>11</v>
      </c>
    </row>
    <row r="37" spans="2:20" x14ac:dyDescent="0.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59">
        <v>3</v>
      </c>
      <c r="J37" s="1">
        <v>2</v>
      </c>
      <c r="K37" s="1">
        <v>1</v>
      </c>
      <c r="L37" s="1">
        <v>2</v>
      </c>
      <c r="M37" s="1">
        <v>3</v>
      </c>
      <c r="N37" s="1">
        <v>4</v>
      </c>
      <c r="O37" s="1">
        <v>5</v>
      </c>
      <c r="P37" s="1">
        <v>6</v>
      </c>
      <c r="Q37" s="1">
        <v>7</v>
      </c>
      <c r="R37" s="1">
        <v>8</v>
      </c>
      <c r="S37" s="12">
        <v>9</v>
      </c>
      <c r="T37" s="12" t="s">
        <v>12</v>
      </c>
    </row>
    <row r="38" spans="2:20" x14ac:dyDescent="0.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">
        <v>2</v>
      </c>
      <c r="K38" s="1">
        <v>1</v>
      </c>
      <c r="L38" s="1">
        <v>2</v>
      </c>
      <c r="M38" s="59">
        <v>3</v>
      </c>
      <c r="N38" s="1">
        <v>4</v>
      </c>
      <c r="O38" s="1">
        <v>5</v>
      </c>
      <c r="P38" s="1">
        <v>6</v>
      </c>
      <c r="Q38" s="1">
        <v>7</v>
      </c>
      <c r="R38" s="1">
        <v>8</v>
      </c>
      <c r="S38" s="12">
        <v>9</v>
      </c>
      <c r="T38" s="12" t="s">
        <v>13</v>
      </c>
    </row>
    <row r="39" spans="2:20" x14ac:dyDescent="0.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">
        <v>2</v>
      </c>
      <c r="K39" s="1">
        <v>1</v>
      </c>
      <c r="L39" s="1">
        <v>2</v>
      </c>
      <c r="M39" s="59">
        <v>3</v>
      </c>
      <c r="N39" s="1">
        <v>4</v>
      </c>
      <c r="O39" s="1">
        <v>5</v>
      </c>
      <c r="P39" s="1">
        <v>6</v>
      </c>
      <c r="Q39" s="1">
        <v>7</v>
      </c>
      <c r="R39" s="1">
        <v>8</v>
      </c>
      <c r="S39" s="12">
        <v>9</v>
      </c>
      <c r="T39" s="12" t="s">
        <v>14</v>
      </c>
    </row>
    <row r="40" spans="2:20" x14ac:dyDescent="0.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59">
        <v>3</v>
      </c>
      <c r="J40" s="1">
        <v>2</v>
      </c>
      <c r="K40" s="1">
        <v>1</v>
      </c>
      <c r="L40" s="1">
        <v>2</v>
      </c>
      <c r="M40" s="1">
        <v>3</v>
      </c>
      <c r="N40" s="1">
        <v>4</v>
      </c>
      <c r="O40" s="1">
        <v>5</v>
      </c>
      <c r="P40" s="1">
        <v>6</v>
      </c>
      <c r="Q40" s="1">
        <v>7</v>
      </c>
      <c r="R40" s="1">
        <v>8</v>
      </c>
      <c r="S40" s="12">
        <v>9</v>
      </c>
      <c r="T40" s="12" t="s">
        <v>15</v>
      </c>
    </row>
    <row r="41" spans="2:20" x14ac:dyDescent="0.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59">
        <v>2</v>
      </c>
      <c r="K41" s="1">
        <v>1</v>
      </c>
      <c r="L41" s="1">
        <v>2</v>
      </c>
      <c r="M41" s="1">
        <v>3</v>
      </c>
      <c r="N41" s="1">
        <v>4</v>
      </c>
      <c r="O41" s="1">
        <v>5</v>
      </c>
      <c r="P41" s="1">
        <v>6</v>
      </c>
      <c r="Q41" s="1">
        <v>7</v>
      </c>
      <c r="R41" s="1">
        <v>8</v>
      </c>
      <c r="S41" s="12">
        <v>9</v>
      </c>
      <c r="T41" s="12" t="s">
        <v>16</v>
      </c>
    </row>
    <row r="42" spans="2:20" x14ac:dyDescent="0.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">
        <v>2</v>
      </c>
      <c r="K42" s="1">
        <v>1</v>
      </c>
      <c r="L42" s="1">
        <v>2</v>
      </c>
      <c r="M42" s="59">
        <v>3</v>
      </c>
      <c r="N42" s="1">
        <v>4</v>
      </c>
      <c r="O42" s="1">
        <v>5</v>
      </c>
      <c r="P42" s="1">
        <v>6</v>
      </c>
      <c r="Q42" s="1">
        <v>7</v>
      </c>
      <c r="R42" s="1">
        <v>8</v>
      </c>
      <c r="S42" s="12">
        <v>9</v>
      </c>
      <c r="T42" s="12" t="s">
        <v>17</v>
      </c>
    </row>
    <row r="43" spans="2:20" x14ac:dyDescent="0.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60">
        <v>3</v>
      </c>
      <c r="J43" s="14">
        <v>2</v>
      </c>
      <c r="K43" s="14">
        <v>1</v>
      </c>
      <c r="L43" s="14">
        <v>2</v>
      </c>
      <c r="M43" s="14">
        <v>3</v>
      </c>
      <c r="N43" s="14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</row>
    <row r="44" spans="2:2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59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</row>
    <row r="45" spans="2:2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59">
        <v>3</v>
      </c>
      <c r="J45" s="1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</row>
    <row r="46" spans="2:2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59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</row>
    <row r="47" spans="2:2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59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</row>
    <row r="48" spans="2:2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59">
        <v>2</v>
      </c>
      <c r="K48" s="1">
        <v>1</v>
      </c>
      <c r="L48" s="1">
        <v>2</v>
      </c>
      <c r="M48" s="1">
        <v>3</v>
      </c>
      <c r="N48" s="1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</row>
    <row r="49" spans="2:2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1">
        <v>3</v>
      </c>
      <c r="N49" s="59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</row>
    <row r="50" spans="2:2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59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</row>
    <row r="51" spans="2:2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59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</row>
    <row r="52" spans="2:2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59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</row>
    <row r="53" spans="2:20" x14ac:dyDescent="0.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1">
        <v>5</v>
      </c>
      <c r="P53" s="1">
        <v>6</v>
      </c>
      <c r="Q53" s="1">
        <v>7</v>
      </c>
      <c r="R53" s="59">
        <v>8</v>
      </c>
      <c r="S53" s="12">
        <v>9</v>
      </c>
      <c r="T53" s="12" t="s">
        <v>17</v>
      </c>
    </row>
    <row r="54" spans="2:2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60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</row>
    <row r="55" spans="2:20" x14ac:dyDescent="0.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59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</row>
    <row r="56" spans="2:20" x14ac:dyDescent="0.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59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</row>
    <row r="57" spans="2:20" x14ac:dyDescent="0.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59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</row>
    <row r="58" spans="2:2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59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</row>
    <row r="59" spans="2:20" x14ac:dyDescent="0.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59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</row>
    <row r="60" spans="2:20" x14ac:dyDescent="0.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59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</row>
    <row r="61" spans="2:20" x14ac:dyDescent="0.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59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</row>
    <row r="62" spans="2:20" x14ac:dyDescent="0.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59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</row>
    <row r="63" spans="2:20" x14ac:dyDescent="0.5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1">
        <v>5</v>
      </c>
      <c r="P63" s="1">
        <v>6</v>
      </c>
      <c r="Q63" s="1">
        <v>7</v>
      </c>
      <c r="R63" s="59">
        <v>8</v>
      </c>
      <c r="S63" s="12">
        <v>9</v>
      </c>
      <c r="T63" s="12" t="s">
        <v>17</v>
      </c>
    </row>
    <row r="64" spans="2:2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60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</row>
    <row r="65" spans="2:2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59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</row>
    <row r="66" spans="2:2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59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</row>
    <row r="67" spans="2:2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59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</row>
    <row r="68" spans="2:2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17">
        <v>9</v>
      </c>
      <c r="T68" s="12" t="s">
        <v>13</v>
      </c>
    </row>
    <row r="69" spans="2:2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59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</row>
    <row r="70" spans="2:2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59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</row>
    <row r="71" spans="2:2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59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</row>
    <row r="72" spans="2:20" x14ac:dyDescent="0.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1">
        <v>7</v>
      </c>
      <c r="R72" s="1">
        <v>8</v>
      </c>
      <c r="S72" s="117">
        <v>9</v>
      </c>
      <c r="T72" s="12" t="s">
        <v>17</v>
      </c>
    </row>
    <row r="73" spans="2:2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60">
        <v>4</v>
      </c>
      <c r="O73" s="14">
        <v>5</v>
      </c>
      <c r="P73" s="14">
        <v>6</v>
      </c>
      <c r="Q73" s="14">
        <v>7</v>
      </c>
      <c r="R73" s="14">
        <v>8</v>
      </c>
      <c r="S73" s="15">
        <v>9</v>
      </c>
      <c r="T73" s="15" t="s">
        <v>18</v>
      </c>
    </row>
    <row r="74" spans="2:2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59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</row>
    <row r="75" spans="2:2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59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</row>
    <row r="76" spans="2:2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59">
        <v>8</v>
      </c>
      <c r="S76" s="12">
        <v>9</v>
      </c>
      <c r="T76" s="12" t="s">
        <v>13</v>
      </c>
    </row>
    <row r="77" spans="2:2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59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</row>
    <row r="78" spans="2:2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59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</row>
    <row r="79" spans="2:2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59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</row>
    <row r="80" spans="2:20" x14ac:dyDescent="0.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1">
        <v>2</v>
      </c>
      <c r="M80" s="1">
        <v>3</v>
      </c>
      <c r="N80" s="1">
        <v>4</v>
      </c>
      <c r="O80" s="1">
        <v>5</v>
      </c>
      <c r="P80" s="1">
        <v>6</v>
      </c>
      <c r="Q80" s="1">
        <v>7</v>
      </c>
      <c r="R80" s="59">
        <v>8</v>
      </c>
      <c r="S80" s="12">
        <v>9</v>
      </c>
      <c r="T80" s="12" t="s">
        <v>17</v>
      </c>
    </row>
    <row r="81" spans="2:2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60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</row>
    <row r="82" spans="2:2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59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</row>
    <row r="83" spans="2:2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59">
        <v>6</v>
      </c>
      <c r="Q83" s="1">
        <v>7</v>
      </c>
      <c r="R83" s="1">
        <v>8</v>
      </c>
      <c r="S83" s="12">
        <v>9</v>
      </c>
      <c r="T83" s="12" t="s">
        <v>13</v>
      </c>
    </row>
    <row r="84" spans="2:2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59">
        <v>2</v>
      </c>
      <c r="K84" s="1">
        <v>1</v>
      </c>
      <c r="L84" s="1">
        <v>2</v>
      </c>
      <c r="M84" s="1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</row>
    <row r="85" spans="2:2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59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</row>
    <row r="86" spans="2:2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59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</row>
    <row r="87" spans="2:20" x14ac:dyDescent="0.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1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59">
        <v>8</v>
      </c>
      <c r="S87" s="12">
        <v>9</v>
      </c>
      <c r="T87" s="12" t="s">
        <v>17</v>
      </c>
    </row>
    <row r="88" spans="2:2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60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</row>
    <row r="89" spans="2:20" x14ac:dyDescent="0.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59">
        <v>8</v>
      </c>
      <c r="S89" s="12">
        <v>9</v>
      </c>
      <c r="T89" s="12" t="s">
        <v>13</v>
      </c>
    </row>
    <row r="90" spans="2:2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59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</row>
    <row r="91" spans="2:20" x14ac:dyDescent="0.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59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</row>
    <row r="92" spans="2:20" x14ac:dyDescent="0.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59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</row>
    <row r="93" spans="2:20" x14ac:dyDescent="0.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1">
        <v>3</v>
      </c>
      <c r="N93" s="1">
        <v>4</v>
      </c>
      <c r="O93" s="1">
        <v>5</v>
      </c>
      <c r="P93" s="1">
        <v>6</v>
      </c>
      <c r="Q93" s="1">
        <v>7</v>
      </c>
      <c r="R93" s="59">
        <v>8</v>
      </c>
      <c r="S93" s="12">
        <v>9</v>
      </c>
      <c r="T93" s="12" t="s">
        <v>17</v>
      </c>
    </row>
    <row r="94" spans="2:2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14">
        <v>1</v>
      </c>
      <c r="L94" s="14">
        <v>2</v>
      </c>
      <c r="M94" s="60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</row>
    <row r="95" spans="2:20" x14ac:dyDescent="0.5">
      <c r="B95" s="16" t="s">
        <v>13</v>
      </c>
      <c r="C95" s="11">
        <v>9</v>
      </c>
      <c r="D95" s="59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</row>
    <row r="96" spans="2:20" x14ac:dyDescent="0.5">
      <c r="B96" s="17" t="s">
        <v>13</v>
      </c>
      <c r="C96" s="11">
        <v>9</v>
      </c>
      <c r="D96" s="59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</row>
    <row r="97" spans="2:2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59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</row>
    <row r="98" spans="2:20" x14ac:dyDescent="0.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59">
        <v>2</v>
      </c>
      <c r="K98" s="1">
        <v>1</v>
      </c>
      <c r="L98" s="1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</row>
    <row r="99" spans="2:20" x14ac:dyDescent="0.5">
      <c r="B99" s="17" t="s">
        <v>13</v>
      </c>
      <c r="C99" s="11">
        <v>9</v>
      </c>
      <c r="D99" s="1">
        <v>8</v>
      </c>
      <c r="E99" s="59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</row>
    <row r="100" spans="2:2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5">
        <v>1</v>
      </c>
      <c r="L100" s="58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</row>
    <row r="101" spans="2:2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1">
        <v>2</v>
      </c>
      <c r="K101" s="1">
        <v>1</v>
      </c>
      <c r="L101" s="1">
        <v>2</v>
      </c>
      <c r="M101" s="1">
        <v>3</v>
      </c>
      <c r="N101" s="59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</row>
    <row r="102" spans="2:20" x14ac:dyDescent="0.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59">
        <v>3</v>
      </c>
      <c r="N102" s="1">
        <v>4</v>
      </c>
      <c r="O102" s="1">
        <v>5</v>
      </c>
      <c r="P102" s="1">
        <v>6</v>
      </c>
      <c r="Q102" s="1">
        <v>7</v>
      </c>
      <c r="R102" s="1">
        <v>8</v>
      </c>
      <c r="S102" s="12">
        <v>9</v>
      </c>
      <c r="T102" s="12" t="s">
        <v>17</v>
      </c>
    </row>
    <row r="103" spans="2:2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60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</row>
    <row r="104" spans="2:20" x14ac:dyDescent="0.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59">
        <v>3</v>
      </c>
      <c r="N104" s="1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</row>
    <row r="105" spans="2:20" x14ac:dyDescent="0.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59">
        <v>3</v>
      </c>
      <c r="N105" s="1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</row>
    <row r="106" spans="2:2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14">
        <v>1</v>
      </c>
      <c r="L106" s="14">
        <v>2</v>
      </c>
      <c r="M106" s="60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</row>
    <row r="107" spans="2:20" x14ac:dyDescent="0.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59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</row>
    <row r="108" spans="2:2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60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</row>
    <row r="109" spans="2:20" x14ac:dyDescent="0.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60">
        <v>2</v>
      </c>
      <c r="K109" s="1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</row>
    <row r="111" spans="2:20" x14ac:dyDescent="0.5">
      <c r="B111" s="90" t="s">
        <v>20</v>
      </c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2"/>
    </row>
    <row r="112" spans="2:20" x14ac:dyDescent="0.5">
      <c r="B112" s="85" t="s">
        <v>23</v>
      </c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93"/>
    </row>
    <row r="113" spans="2:37" x14ac:dyDescent="0.5">
      <c r="B113" s="94" t="s">
        <v>1</v>
      </c>
      <c r="C113" s="90" t="s">
        <v>2</v>
      </c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6"/>
      <c r="T113" s="94" t="s">
        <v>3</v>
      </c>
    </row>
    <row r="114" spans="2:37" x14ac:dyDescent="0.5">
      <c r="B114" s="95"/>
      <c r="C114" s="24">
        <v>9</v>
      </c>
      <c r="D114" s="24">
        <v>8</v>
      </c>
      <c r="E114" s="24">
        <v>7</v>
      </c>
      <c r="F114" s="24">
        <v>6</v>
      </c>
      <c r="G114" s="24">
        <v>5</v>
      </c>
      <c r="H114" s="24">
        <v>4</v>
      </c>
      <c r="I114" s="24">
        <v>3</v>
      </c>
      <c r="J114" s="24">
        <v>2</v>
      </c>
      <c r="K114" s="24">
        <v>1</v>
      </c>
      <c r="L114" s="24">
        <v>2</v>
      </c>
      <c r="M114" s="24">
        <v>3</v>
      </c>
      <c r="N114" s="24">
        <v>4</v>
      </c>
      <c r="O114" s="24">
        <v>5</v>
      </c>
      <c r="P114" s="24">
        <v>6</v>
      </c>
      <c r="Q114" s="24">
        <v>7</v>
      </c>
      <c r="R114" s="24">
        <v>8</v>
      </c>
      <c r="S114" s="24">
        <v>9</v>
      </c>
      <c r="T114" s="95"/>
    </row>
    <row r="115" spans="2:37" x14ac:dyDescent="0.5">
      <c r="B115" s="16" t="s">
        <v>4</v>
      </c>
      <c r="C115" s="4">
        <v>9</v>
      </c>
      <c r="D115" s="5">
        <v>8</v>
      </c>
      <c r="E115" s="5">
        <v>7</v>
      </c>
      <c r="F115" s="5">
        <v>6</v>
      </c>
      <c r="G115" s="5">
        <v>5</v>
      </c>
      <c r="H115" s="120">
        <v>4</v>
      </c>
      <c r="I115" s="5">
        <v>3</v>
      </c>
      <c r="J115" s="5">
        <v>2</v>
      </c>
      <c r="K115" s="5">
        <v>1</v>
      </c>
      <c r="L115" s="5">
        <v>2</v>
      </c>
      <c r="M115" s="5">
        <v>3</v>
      </c>
      <c r="N115" s="5">
        <v>4</v>
      </c>
      <c r="O115" s="5">
        <v>5</v>
      </c>
      <c r="P115" s="5">
        <v>6</v>
      </c>
      <c r="Q115" s="5">
        <v>7</v>
      </c>
      <c r="R115" s="5">
        <v>8</v>
      </c>
      <c r="S115" s="7">
        <v>9</v>
      </c>
      <c r="T115" s="7" t="s">
        <v>5</v>
      </c>
      <c r="V115" s="63" t="s">
        <v>20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5">
      <c r="B116" s="17" t="s">
        <v>4</v>
      </c>
      <c r="C116" s="11">
        <v>9</v>
      </c>
      <c r="D116" s="1">
        <v>8</v>
      </c>
      <c r="E116" s="1">
        <v>7</v>
      </c>
      <c r="F116" s="1">
        <v>6</v>
      </c>
      <c r="G116" s="1">
        <v>5</v>
      </c>
      <c r="H116" s="1">
        <v>4</v>
      </c>
      <c r="I116" s="1">
        <v>3</v>
      </c>
      <c r="J116" s="1">
        <v>2</v>
      </c>
      <c r="K116" s="1">
        <v>1</v>
      </c>
      <c r="L116" s="1">
        <v>2</v>
      </c>
      <c r="M116" s="1">
        <v>3</v>
      </c>
      <c r="N116" s="56">
        <v>4</v>
      </c>
      <c r="O116" s="1">
        <v>5</v>
      </c>
      <c r="P116" s="1">
        <v>6</v>
      </c>
      <c r="Q116" s="1">
        <v>7</v>
      </c>
      <c r="R116" s="1">
        <v>8</v>
      </c>
      <c r="S116" s="12">
        <v>9</v>
      </c>
      <c r="T116" s="12" t="s">
        <v>6</v>
      </c>
      <c r="V116" s="2" t="s">
        <v>4</v>
      </c>
      <c r="W116" s="3">
        <v>1</v>
      </c>
      <c r="X116" s="3">
        <v>4</v>
      </c>
      <c r="Y116" s="3">
        <f>1/4</f>
        <v>0.25</v>
      </c>
      <c r="Z116" s="3">
        <v>3</v>
      </c>
      <c r="AA116" s="3">
        <v>4</v>
      </c>
      <c r="AB116" s="3">
        <v>4</v>
      </c>
      <c r="AC116" s="3">
        <v>3</v>
      </c>
      <c r="AD116" s="3">
        <v>4</v>
      </c>
      <c r="AE116" s="3">
        <f>1/2</f>
        <v>0.5</v>
      </c>
      <c r="AF116" s="3">
        <f>1/7</f>
        <v>0.14285714285714285</v>
      </c>
      <c r="AG116" s="3">
        <v>4</v>
      </c>
      <c r="AH116" s="3">
        <v>3</v>
      </c>
      <c r="AI116" s="3">
        <v>3</v>
      </c>
      <c r="AJ116" s="3">
        <f>1/7</f>
        <v>0.14285714285714285</v>
      </c>
      <c r="AK116" s="3">
        <v>2</v>
      </c>
    </row>
    <row r="117" spans="2:37" x14ac:dyDescent="0.5">
      <c r="B117" s="17" t="s">
        <v>4</v>
      </c>
      <c r="C117" s="11">
        <v>9</v>
      </c>
      <c r="D117" s="1">
        <v>8</v>
      </c>
      <c r="E117" s="1">
        <v>7</v>
      </c>
      <c r="F117" s="1">
        <v>6</v>
      </c>
      <c r="G117" s="1">
        <v>5</v>
      </c>
      <c r="H117" s="1">
        <v>4</v>
      </c>
      <c r="I117" s="56">
        <v>3</v>
      </c>
      <c r="J117" s="1">
        <v>2</v>
      </c>
      <c r="K117" s="1">
        <v>1</v>
      </c>
      <c r="L117" s="1">
        <v>2</v>
      </c>
      <c r="M117" s="1">
        <v>3</v>
      </c>
      <c r="N117" s="1">
        <v>4</v>
      </c>
      <c r="O117" s="1">
        <v>5</v>
      </c>
      <c r="P117" s="1">
        <v>6</v>
      </c>
      <c r="Q117" s="1">
        <v>7</v>
      </c>
      <c r="R117" s="1">
        <v>8</v>
      </c>
      <c r="S117" s="12">
        <v>9</v>
      </c>
      <c r="T117" s="12" t="s">
        <v>7</v>
      </c>
      <c r="V117" s="2" t="s">
        <v>5</v>
      </c>
      <c r="W117" s="3">
        <f>1/X116</f>
        <v>0.25</v>
      </c>
      <c r="X117" s="3">
        <v>1</v>
      </c>
      <c r="Y117" s="3">
        <f>1/2</f>
        <v>0.5</v>
      </c>
      <c r="Z117" s="3">
        <f>1/2</f>
        <v>0.5</v>
      </c>
      <c r="AA117" s="3">
        <v>2</v>
      </c>
      <c r="AB117" s="3">
        <v>3</v>
      </c>
      <c r="AC117" s="3">
        <f>1/2</f>
        <v>0.5</v>
      </c>
      <c r="AD117" s="3">
        <f>1/2</f>
        <v>0.5</v>
      </c>
      <c r="AE117" s="3">
        <f>1/3</f>
        <v>0.33333333333333331</v>
      </c>
      <c r="AF117" s="3">
        <f>1/6</f>
        <v>0.16666666666666666</v>
      </c>
      <c r="AG117" s="3">
        <f>1/3</f>
        <v>0.33333333333333331</v>
      </c>
      <c r="AH117" s="3">
        <f>1/3</f>
        <v>0.33333333333333331</v>
      </c>
      <c r="AI117" s="3">
        <f>1/4</f>
        <v>0.25</v>
      </c>
      <c r="AJ117" s="3">
        <f>1/6</f>
        <v>0.16666666666666666</v>
      </c>
      <c r="AK117" s="3">
        <f>1/3</f>
        <v>0.33333333333333331</v>
      </c>
    </row>
    <row r="118" spans="2:37" x14ac:dyDescent="0.5">
      <c r="B118" s="17" t="s">
        <v>4</v>
      </c>
      <c r="C118" s="11">
        <v>9</v>
      </c>
      <c r="D118" s="1">
        <v>8</v>
      </c>
      <c r="E118" s="1">
        <v>7</v>
      </c>
      <c r="F118" s="1">
        <v>6</v>
      </c>
      <c r="G118" s="1">
        <v>5</v>
      </c>
      <c r="H118" s="56">
        <v>4</v>
      </c>
      <c r="I118" s="1">
        <v>3</v>
      </c>
      <c r="J118" s="1">
        <v>2</v>
      </c>
      <c r="K118" s="1">
        <v>1</v>
      </c>
      <c r="L118" s="1">
        <v>2</v>
      </c>
      <c r="M118" s="1">
        <v>3</v>
      </c>
      <c r="N118" s="1">
        <v>4</v>
      </c>
      <c r="O118" s="1">
        <v>5</v>
      </c>
      <c r="P118" s="1">
        <v>6</v>
      </c>
      <c r="Q118" s="1">
        <v>7</v>
      </c>
      <c r="R118" s="1">
        <v>8</v>
      </c>
      <c r="S118" s="12">
        <v>9</v>
      </c>
      <c r="T118" s="12" t="s">
        <v>8</v>
      </c>
      <c r="V118" s="2" t="s">
        <v>6</v>
      </c>
      <c r="W118" s="3">
        <f>1/Y116</f>
        <v>4</v>
      </c>
      <c r="X118" s="3">
        <f>1/Y117</f>
        <v>2</v>
      </c>
      <c r="Y118" s="3">
        <v>1</v>
      </c>
      <c r="Z118" s="3">
        <v>4</v>
      </c>
      <c r="AA118" s="3">
        <v>7</v>
      </c>
      <c r="AB118" s="3">
        <v>5</v>
      </c>
      <c r="AC118" s="3">
        <f>1/2</f>
        <v>0.5</v>
      </c>
      <c r="AD118" s="3">
        <v>3</v>
      </c>
      <c r="AE118" s="3">
        <v>4</v>
      </c>
      <c r="AF118" s="3">
        <f>1/4</f>
        <v>0.25</v>
      </c>
      <c r="AG118" s="3">
        <v>9</v>
      </c>
      <c r="AH118" s="3">
        <v>2</v>
      </c>
      <c r="AI118" s="3">
        <v>2</v>
      </c>
      <c r="AJ118" s="3">
        <f>1/3</f>
        <v>0.33333333333333331</v>
      </c>
      <c r="AK118" s="3">
        <v>3</v>
      </c>
    </row>
    <row r="119" spans="2:37" x14ac:dyDescent="0.5">
      <c r="B119" s="17" t="s">
        <v>4</v>
      </c>
      <c r="C119" s="11">
        <v>9</v>
      </c>
      <c r="D119" s="1">
        <v>8</v>
      </c>
      <c r="E119" s="1">
        <v>7</v>
      </c>
      <c r="F119" s="1">
        <v>6</v>
      </c>
      <c r="G119" s="1">
        <v>5</v>
      </c>
      <c r="H119" s="56">
        <v>4</v>
      </c>
      <c r="I119" s="1">
        <v>3</v>
      </c>
      <c r="J119" s="1">
        <v>2</v>
      </c>
      <c r="K119" s="1">
        <v>1</v>
      </c>
      <c r="L119" s="1">
        <v>2</v>
      </c>
      <c r="M119" s="1">
        <v>3</v>
      </c>
      <c r="N119" s="1">
        <v>4</v>
      </c>
      <c r="O119" s="1">
        <v>5</v>
      </c>
      <c r="P119" s="1">
        <v>6</v>
      </c>
      <c r="Q119" s="1">
        <v>7</v>
      </c>
      <c r="R119" s="1">
        <v>8</v>
      </c>
      <c r="S119" s="12">
        <v>9</v>
      </c>
      <c r="T119" s="12" t="s">
        <v>9</v>
      </c>
      <c r="V119" s="2" t="s">
        <v>7</v>
      </c>
      <c r="W119" s="3">
        <f>1/Z116</f>
        <v>0.33333333333333331</v>
      </c>
      <c r="X119" s="3">
        <f>1/Z117</f>
        <v>2</v>
      </c>
      <c r="Y119" s="3">
        <f>1/Z118</f>
        <v>0.25</v>
      </c>
      <c r="Z119" s="3">
        <v>1</v>
      </c>
      <c r="AA119" s="3">
        <v>2</v>
      </c>
      <c r="AB119" s="3">
        <v>4</v>
      </c>
      <c r="AC119" s="3">
        <v>2</v>
      </c>
      <c r="AD119" s="3">
        <v>3</v>
      </c>
      <c r="AE119" s="3">
        <v>3</v>
      </c>
      <c r="AF119" s="3">
        <f>1/5</f>
        <v>0.2</v>
      </c>
      <c r="AG119" s="3">
        <v>3</v>
      </c>
      <c r="AH119" s="3">
        <f>1/2</f>
        <v>0.5</v>
      </c>
      <c r="AI119" s="3">
        <f>1/3</f>
        <v>0.33333333333333331</v>
      </c>
      <c r="AJ119" s="3">
        <f>1/9</f>
        <v>0.1111111111111111</v>
      </c>
      <c r="AK119" s="3">
        <f>1/4</f>
        <v>0.25</v>
      </c>
    </row>
    <row r="120" spans="2:37" x14ac:dyDescent="0.5">
      <c r="B120" s="17" t="s">
        <v>4</v>
      </c>
      <c r="C120" s="11">
        <v>9</v>
      </c>
      <c r="D120" s="1">
        <v>8</v>
      </c>
      <c r="E120" s="1">
        <v>7</v>
      </c>
      <c r="F120" s="1">
        <v>6</v>
      </c>
      <c r="G120" s="1">
        <v>5</v>
      </c>
      <c r="H120" s="1">
        <v>4</v>
      </c>
      <c r="I120" s="56">
        <v>3</v>
      </c>
      <c r="J120" s="1">
        <v>2</v>
      </c>
      <c r="K120" s="1">
        <v>1</v>
      </c>
      <c r="L120" s="1">
        <v>2</v>
      </c>
      <c r="M120" s="1">
        <v>3</v>
      </c>
      <c r="N120" s="1">
        <v>4</v>
      </c>
      <c r="O120" s="1">
        <v>5</v>
      </c>
      <c r="P120" s="1">
        <v>6</v>
      </c>
      <c r="Q120" s="1">
        <v>7</v>
      </c>
      <c r="R120" s="1">
        <v>8</v>
      </c>
      <c r="S120" s="12">
        <v>9</v>
      </c>
      <c r="T120" s="12" t="s">
        <v>10</v>
      </c>
      <c r="V120" s="2" t="s">
        <v>8</v>
      </c>
      <c r="W120" s="3">
        <f>1/AA116</f>
        <v>0.25</v>
      </c>
      <c r="X120" s="3">
        <f>1/AA117</f>
        <v>0.5</v>
      </c>
      <c r="Y120" s="3">
        <f>1/AA118</f>
        <v>0.14285714285714285</v>
      </c>
      <c r="Z120" s="3">
        <f>1/AA119</f>
        <v>0.5</v>
      </c>
      <c r="AA120" s="3">
        <v>1</v>
      </c>
      <c r="AB120" s="3">
        <v>3</v>
      </c>
      <c r="AC120" s="3">
        <f>1/3</f>
        <v>0.33333333333333331</v>
      </c>
      <c r="AD120" s="3">
        <f>1/2</f>
        <v>0.5</v>
      </c>
      <c r="AE120" s="3">
        <f>1/2</f>
        <v>0.5</v>
      </c>
      <c r="AF120" s="3">
        <f>1/5</f>
        <v>0.2</v>
      </c>
      <c r="AG120" s="3">
        <f>1/3</f>
        <v>0.33333333333333331</v>
      </c>
      <c r="AH120" s="3">
        <f>1/4</f>
        <v>0.25</v>
      </c>
      <c r="AI120" s="3">
        <f>1/3</f>
        <v>0.33333333333333331</v>
      </c>
      <c r="AJ120" s="3">
        <f>1/8</f>
        <v>0.125</v>
      </c>
      <c r="AK120" s="3">
        <f>1/5</f>
        <v>0.2</v>
      </c>
    </row>
    <row r="121" spans="2:37" x14ac:dyDescent="0.5">
      <c r="B121" s="17" t="s">
        <v>4</v>
      </c>
      <c r="C121" s="11">
        <v>9</v>
      </c>
      <c r="D121" s="1">
        <v>8</v>
      </c>
      <c r="E121" s="1">
        <v>7</v>
      </c>
      <c r="F121" s="1">
        <v>6</v>
      </c>
      <c r="G121" s="1">
        <v>5</v>
      </c>
      <c r="H121" s="56">
        <v>4</v>
      </c>
      <c r="I121" s="1">
        <v>3</v>
      </c>
      <c r="J121" s="1">
        <v>2</v>
      </c>
      <c r="K121" s="1">
        <v>1</v>
      </c>
      <c r="L121" s="1">
        <v>2</v>
      </c>
      <c r="M121" s="1">
        <v>3</v>
      </c>
      <c r="N121" s="1">
        <v>4</v>
      </c>
      <c r="O121" s="1">
        <v>5</v>
      </c>
      <c r="P121" s="1">
        <v>6</v>
      </c>
      <c r="Q121" s="1">
        <v>7</v>
      </c>
      <c r="R121" s="1">
        <v>8</v>
      </c>
      <c r="S121" s="12">
        <v>9</v>
      </c>
      <c r="T121" s="12" t="s">
        <v>11</v>
      </c>
      <c r="V121" s="2" t="s">
        <v>9</v>
      </c>
      <c r="W121" s="3">
        <f>1/AB116</f>
        <v>0.25</v>
      </c>
      <c r="X121" s="3">
        <f>1/AB117</f>
        <v>0.33333333333333331</v>
      </c>
      <c r="Y121" s="3">
        <f>1/AB118</f>
        <v>0.2</v>
      </c>
      <c r="Z121" s="3">
        <f>1/AB119</f>
        <v>0.25</v>
      </c>
      <c r="AA121" s="3">
        <f>1/AB120</f>
        <v>0.33333333333333331</v>
      </c>
      <c r="AB121" s="3">
        <v>1</v>
      </c>
      <c r="AC121" s="3">
        <f>1/4</f>
        <v>0.25</v>
      </c>
      <c r="AD121" s="3">
        <f>1/3</f>
        <v>0.33333333333333331</v>
      </c>
      <c r="AE121" s="3">
        <f>1/2</f>
        <v>0.5</v>
      </c>
      <c r="AF121" s="3">
        <f>1/9</f>
        <v>0.1111111111111111</v>
      </c>
      <c r="AG121" s="3">
        <f>1/2</f>
        <v>0.5</v>
      </c>
      <c r="AH121" s="3">
        <f>1/4</f>
        <v>0.25</v>
      </c>
      <c r="AI121" s="3">
        <f>1/3</f>
        <v>0.33333333333333331</v>
      </c>
      <c r="AJ121" s="3">
        <f>1/9</f>
        <v>0.1111111111111111</v>
      </c>
      <c r="AK121" s="3">
        <f>1/4</f>
        <v>0.25</v>
      </c>
    </row>
    <row r="122" spans="2:37" x14ac:dyDescent="0.5">
      <c r="B122" s="17" t="s">
        <v>4</v>
      </c>
      <c r="C122" s="11">
        <v>9</v>
      </c>
      <c r="D122" s="1">
        <v>8</v>
      </c>
      <c r="E122" s="1">
        <v>7</v>
      </c>
      <c r="F122" s="1">
        <v>6</v>
      </c>
      <c r="G122" s="1">
        <v>5</v>
      </c>
      <c r="H122" s="1">
        <v>4</v>
      </c>
      <c r="I122" s="1">
        <v>3</v>
      </c>
      <c r="J122" s="1">
        <v>2</v>
      </c>
      <c r="K122" s="1">
        <v>1</v>
      </c>
      <c r="L122" s="56">
        <v>2</v>
      </c>
      <c r="M122" s="1">
        <v>3</v>
      </c>
      <c r="N122" s="1">
        <v>4</v>
      </c>
      <c r="O122" s="1">
        <v>5</v>
      </c>
      <c r="P122" s="1">
        <v>6</v>
      </c>
      <c r="Q122" s="1">
        <v>7</v>
      </c>
      <c r="R122" s="1">
        <v>8</v>
      </c>
      <c r="S122" s="12">
        <v>9</v>
      </c>
      <c r="T122" s="12" t="s">
        <v>12</v>
      </c>
      <c r="V122" s="2" t="s">
        <v>10</v>
      </c>
      <c r="W122" s="3">
        <f>1/AC116</f>
        <v>0.33333333333333331</v>
      </c>
      <c r="X122" s="3">
        <f>1/AC117</f>
        <v>2</v>
      </c>
      <c r="Y122" s="3">
        <f>1/AC118</f>
        <v>2</v>
      </c>
      <c r="Z122" s="3">
        <f>1/AC119</f>
        <v>0.5</v>
      </c>
      <c r="AA122" s="3">
        <f>1/AC120</f>
        <v>3</v>
      </c>
      <c r="AB122" s="3">
        <f>1/AC121</f>
        <v>4</v>
      </c>
      <c r="AC122" s="3">
        <v>1</v>
      </c>
      <c r="AD122" s="3">
        <v>3</v>
      </c>
      <c r="AE122" s="3">
        <v>2</v>
      </c>
      <c r="AF122" s="3">
        <f>1/8</f>
        <v>0.125</v>
      </c>
      <c r="AG122" s="3">
        <v>2</v>
      </c>
      <c r="AH122" s="3">
        <f>1/2</f>
        <v>0.5</v>
      </c>
      <c r="AI122" s="3">
        <f>1/3</f>
        <v>0.33333333333333331</v>
      </c>
      <c r="AJ122" s="3">
        <f>1/8</f>
        <v>0.125</v>
      </c>
      <c r="AK122" s="3">
        <f>1/4</f>
        <v>0.25</v>
      </c>
    </row>
    <row r="123" spans="2:37" x14ac:dyDescent="0.5">
      <c r="B123" s="17" t="s">
        <v>4</v>
      </c>
      <c r="C123" s="11">
        <v>9</v>
      </c>
      <c r="D123" s="1">
        <v>8</v>
      </c>
      <c r="E123" s="1">
        <v>7</v>
      </c>
      <c r="F123" s="1">
        <v>6</v>
      </c>
      <c r="G123" s="1">
        <v>5</v>
      </c>
      <c r="H123" s="1">
        <v>4</v>
      </c>
      <c r="I123" s="1">
        <v>3</v>
      </c>
      <c r="J123" s="1">
        <v>2</v>
      </c>
      <c r="K123" s="1">
        <v>1</v>
      </c>
      <c r="L123" s="1">
        <v>2</v>
      </c>
      <c r="M123" s="1">
        <v>3</v>
      </c>
      <c r="N123" s="1">
        <v>4</v>
      </c>
      <c r="O123" s="1">
        <v>5</v>
      </c>
      <c r="P123" s="1">
        <v>6</v>
      </c>
      <c r="Q123" s="56">
        <v>7</v>
      </c>
      <c r="R123" s="1">
        <v>8</v>
      </c>
      <c r="S123" s="12">
        <v>9</v>
      </c>
      <c r="T123" s="12" t="s">
        <v>13</v>
      </c>
      <c r="V123" s="2" t="s">
        <v>11</v>
      </c>
      <c r="W123" s="3">
        <f>1/AD116</f>
        <v>0.25</v>
      </c>
      <c r="X123" s="3">
        <f>1/AD117</f>
        <v>2</v>
      </c>
      <c r="Y123" s="3">
        <f>1/AD118</f>
        <v>0.33333333333333331</v>
      </c>
      <c r="Z123" s="3">
        <f>1/AD119</f>
        <v>0.33333333333333331</v>
      </c>
      <c r="AA123" s="3">
        <f>1/AD120</f>
        <v>2</v>
      </c>
      <c r="AB123" s="3">
        <f>1/AD121</f>
        <v>3</v>
      </c>
      <c r="AC123" s="3">
        <f>1/AD122</f>
        <v>0.33333333333333331</v>
      </c>
      <c r="AD123" s="3">
        <v>1</v>
      </c>
      <c r="AE123" s="3">
        <v>3</v>
      </c>
      <c r="AF123" s="3">
        <f>1/5</f>
        <v>0.2</v>
      </c>
      <c r="AG123" s="3">
        <v>2</v>
      </c>
      <c r="AH123" s="3">
        <f>1/3</f>
        <v>0.33333333333333331</v>
      </c>
      <c r="AI123" s="3">
        <f>1/3</f>
        <v>0.33333333333333331</v>
      </c>
      <c r="AJ123" s="3">
        <f>1/7</f>
        <v>0.14285714285714285</v>
      </c>
      <c r="AK123" s="3">
        <f>1/3</f>
        <v>0.33333333333333331</v>
      </c>
    </row>
    <row r="124" spans="2:37" x14ac:dyDescent="0.5">
      <c r="B124" s="17" t="s">
        <v>4</v>
      </c>
      <c r="C124" s="11">
        <v>9</v>
      </c>
      <c r="D124" s="1">
        <v>8</v>
      </c>
      <c r="E124" s="1">
        <v>7</v>
      </c>
      <c r="F124" s="1">
        <v>6</v>
      </c>
      <c r="G124" s="1">
        <v>5</v>
      </c>
      <c r="H124" s="56">
        <v>4</v>
      </c>
      <c r="I124" s="1">
        <v>3</v>
      </c>
      <c r="J124" s="1">
        <v>2</v>
      </c>
      <c r="K124" s="1">
        <v>1</v>
      </c>
      <c r="L124" s="1">
        <v>2</v>
      </c>
      <c r="M124" s="1">
        <v>3</v>
      </c>
      <c r="N124" s="1">
        <v>4</v>
      </c>
      <c r="O124" s="1">
        <v>5</v>
      </c>
      <c r="P124" s="1">
        <v>6</v>
      </c>
      <c r="Q124" s="1">
        <v>7</v>
      </c>
      <c r="R124" s="1">
        <v>8</v>
      </c>
      <c r="S124" s="12">
        <v>9</v>
      </c>
      <c r="T124" s="12" t="s">
        <v>14</v>
      </c>
      <c r="V124" s="2" t="s">
        <v>12</v>
      </c>
      <c r="W124" s="3">
        <f>1/AE116</f>
        <v>2</v>
      </c>
      <c r="X124" s="3">
        <f>1/AE117</f>
        <v>3</v>
      </c>
      <c r="Y124" s="3">
        <f>1/AE118</f>
        <v>0.25</v>
      </c>
      <c r="Z124" s="3">
        <f>1/AE119</f>
        <v>0.33333333333333331</v>
      </c>
      <c r="AA124" s="3">
        <f>1/AE120</f>
        <v>2</v>
      </c>
      <c r="AB124" s="3">
        <f>1/AE121</f>
        <v>2</v>
      </c>
      <c r="AC124" s="3">
        <f>1/AE122</f>
        <v>0.5</v>
      </c>
      <c r="AD124" s="3">
        <f>1/AE123</f>
        <v>0.33333333333333331</v>
      </c>
      <c r="AE124" s="3">
        <v>1</v>
      </c>
      <c r="AF124" s="3">
        <f>1/7</f>
        <v>0.14285714285714285</v>
      </c>
      <c r="AG124" s="3">
        <v>2</v>
      </c>
      <c r="AH124" s="3">
        <f>1/2</f>
        <v>0.5</v>
      </c>
      <c r="AI124" s="3">
        <f>1/3</f>
        <v>0.33333333333333331</v>
      </c>
      <c r="AJ124" s="3">
        <f>1/8</f>
        <v>0.125</v>
      </c>
      <c r="AK124" s="3">
        <f>1/3</f>
        <v>0.33333333333333331</v>
      </c>
    </row>
    <row r="125" spans="2:37" x14ac:dyDescent="0.5">
      <c r="B125" s="17" t="s">
        <v>4</v>
      </c>
      <c r="C125" s="11">
        <v>9</v>
      </c>
      <c r="D125" s="1">
        <v>8</v>
      </c>
      <c r="E125" s="1">
        <v>7</v>
      </c>
      <c r="F125" s="1">
        <v>6</v>
      </c>
      <c r="G125" s="1">
        <v>5</v>
      </c>
      <c r="H125" s="1">
        <v>4</v>
      </c>
      <c r="I125" s="56">
        <v>3</v>
      </c>
      <c r="J125" s="1">
        <v>2</v>
      </c>
      <c r="K125" s="1">
        <v>1</v>
      </c>
      <c r="L125" s="1">
        <v>2</v>
      </c>
      <c r="M125" s="1">
        <v>3</v>
      </c>
      <c r="N125" s="1">
        <v>4</v>
      </c>
      <c r="O125" s="1">
        <v>5</v>
      </c>
      <c r="P125" s="1">
        <v>6</v>
      </c>
      <c r="Q125" s="1">
        <v>7</v>
      </c>
      <c r="R125" s="1">
        <v>8</v>
      </c>
      <c r="S125" s="12">
        <v>9</v>
      </c>
      <c r="T125" s="12" t="s">
        <v>15</v>
      </c>
      <c r="V125" s="2" t="s">
        <v>13</v>
      </c>
      <c r="W125" s="3">
        <f>1/AF116</f>
        <v>7</v>
      </c>
      <c r="X125" s="3">
        <f>1/AF117</f>
        <v>6</v>
      </c>
      <c r="Y125" s="3">
        <f>1/AF118</f>
        <v>4</v>
      </c>
      <c r="Z125" s="3">
        <f>1/AF119</f>
        <v>5</v>
      </c>
      <c r="AA125" s="3">
        <f>1/AF120</f>
        <v>5</v>
      </c>
      <c r="AB125" s="3">
        <f>1/AF121</f>
        <v>9</v>
      </c>
      <c r="AC125" s="3">
        <f>1/AF122</f>
        <v>8</v>
      </c>
      <c r="AD125" s="3">
        <f>1/AF123</f>
        <v>5</v>
      </c>
      <c r="AE125" s="3">
        <f>1/AF124</f>
        <v>7</v>
      </c>
      <c r="AF125" s="3">
        <v>1</v>
      </c>
      <c r="AG125" s="3">
        <v>7</v>
      </c>
      <c r="AH125" s="3">
        <v>8</v>
      </c>
      <c r="AI125" s="3">
        <v>5</v>
      </c>
      <c r="AJ125" s="3">
        <v>3</v>
      </c>
      <c r="AK125" s="3">
        <v>7</v>
      </c>
    </row>
    <row r="126" spans="2:37" x14ac:dyDescent="0.5">
      <c r="B126" s="17" t="s">
        <v>4</v>
      </c>
      <c r="C126" s="11">
        <v>9</v>
      </c>
      <c r="D126" s="1">
        <v>8</v>
      </c>
      <c r="E126" s="1">
        <v>7</v>
      </c>
      <c r="F126" s="1">
        <v>6</v>
      </c>
      <c r="G126" s="1">
        <v>5</v>
      </c>
      <c r="H126" s="1">
        <v>4</v>
      </c>
      <c r="I126" s="56">
        <v>3</v>
      </c>
      <c r="J126" s="1">
        <v>2</v>
      </c>
      <c r="K126" s="1">
        <v>1</v>
      </c>
      <c r="L126" s="1">
        <v>2</v>
      </c>
      <c r="M126" s="1">
        <v>3</v>
      </c>
      <c r="N126" s="1">
        <v>4</v>
      </c>
      <c r="O126" s="1">
        <v>5</v>
      </c>
      <c r="P126" s="1">
        <v>6</v>
      </c>
      <c r="Q126" s="1">
        <v>7</v>
      </c>
      <c r="R126" s="1">
        <v>8</v>
      </c>
      <c r="S126" s="12">
        <v>9</v>
      </c>
      <c r="T126" s="12" t="s">
        <v>16</v>
      </c>
      <c r="V126" s="2" t="s">
        <v>14</v>
      </c>
      <c r="W126" s="3">
        <f>1/AG116</f>
        <v>0.25</v>
      </c>
      <c r="X126" s="3">
        <f>1/AG117</f>
        <v>3</v>
      </c>
      <c r="Y126" s="3">
        <f>1/AG118</f>
        <v>0.1111111111111111</v>
      </c>
      <c r="Z126" s="3">
        <f>1/AG119</f>
        <v>0.33333333333333331</v>
      </c>
      <c r="AA126" s="3">
        <f>1/AG120</f>
        <v>3</v>
      </c>
      <c r="AB126" s="3">
        <f>1/AG121</f>
        <v>2</v>
      </c>
      <c r="AC126" s="3">
        <f>1/AG122</f>
        <v>0.5</v>
      </c>
      <c r="AD126" s="3">
        <f>1/AG123</f>
        <v>0.5</v>
      </c>
      <c r="AE126" s="3">
        <f>1/AG124</f>
        <v>0.5</v>
      </c>
      <c r="AF126" s="3">
        <f>1/AG125</f>
        <v>0.14285714285714285</v>
      </c>
      <c r="AG126" s="3">
        <v>1</v>
      </c>
      <c r="AH126" s="3">
        <f>1/2</f>
        <v>0.5</v>
      </c>
      <c r="AI126" s="3">
        <f>1/4</f>
        <v>0.25</v>
      </c>
      <c r="AJ126" s="3">
        <f>1/5</f>
        <v>0.2</v>
      </c>
      <c r="AK126" s="3">
        <f>1/4</f>
        <v>0.25</v>
      </c>
    </row>
    <row r="127" spans="2:37" x14ac:dyDescent="0.5">
      <c r="B127" s="17" t="s">
        <v>4</v>
      </c>
      <c r="C127" s="11">
        <v>9</v>
      </c>
      <c r="D127" s="1">
        <v>8</v>
      </c>
      <c r="E127" s="1">
        <v>7</v>
      </c>
      <c r="F127" s="1">
        <v>6</v>
      </c>
      <c r="G127" s="1">
        <v>5</v>
      </c>
      <c r="H127" s="1">
        <v>4</v>
      </c>
      <c r="I127" s="1">
        <v>3</v>
      </c>
      <c r="J127" s="1">
        <v>2</v>
      </c>
      <c r="K127" s="1">
        <v>1</v>
      </c>
      <c r="L127" s="1">
        <v>2</v>
      </c>
      <c r="M127" s="1">
        <v>3</v>
      </c>
      <c r="N127" s="1">
        <v>4</v>
      </c>
      <c r="O127" s="1">
        <v>5</v>
      </c>
      <c r="P127" s="1">
        <v>6</v>
      </c>
      <c r="Q127" s="56">
        <v>7</v>
      </c>
      <c r="R127" s="1">
        <v>8</v>
      </c>
      <c r="S127" s="12">
        <v>9</v>
      </c>
      <c r="T127" s="12" t="s">
        <v>17</v>
      </c>
      <c r="V127" s="2" t="s">
        <v>15</v>
      </c>
      <c r="W127" s="3">
        <f>1/AH116</f>
        <v>0.33333333333333331</v>
      </c>
      <c r="X127" s="3">
        <f>1/AH117</f>
        <v>3</v>
      </c>
      <c r="Y127" s="3">
        <f>1/AH118</f>
        <v>0.5</v>
      </c>
      <c r="Z127" s="3">
        <f>1/AH119</f>
        <v>2</v>
      </c>
      <c r="AA127" s="3">
        <f>1/AH120</f>
        <v>4</v>
      </c>
      <c r="AB127" s="3">
        <f>1/AH121</f>
        <v>4</v>
      </c>
      <c r="AC127" s="3">
        <f>1/AH122</f>
        <v>2</v>
      </c>
      <c r="AD127" s="3">
        <f>1/AH123</f>
        <v>3</v>
      </c>
      <c r="AE127" s="3">
        <f>1/AH124</f>
        <v>2</v>
      </c>
      <c r="AF127" s="3">
        <f>1/AH125</f>
        <v>0.125</v>
      </c>
      <c r="AG127" s="3">
        <f>1/AH126</f>
        <v>2</v>
      </c>
      <c r="AH127" s="3">
        <v>1</v>
      </c>
      <c r="AI127" s="3">
        <f>1/4</f>
        <v>0.25</v>
      </c>
      <c r="AJ127" s="3">
        <f>1/5</f>
        <v>0.2</v>
      </c>
      <c r="AK127" s="3">
        <f>1/4</f>
        <v>0.25</v>
      </c>
    </row>
    <row r="128" spans="2:37" x14ac:dyDescent="0.5">
      <c r="B128" s="13" t="s">
        <v>4</v>
      </c>
      <c r="C128" s="13">
        <v>9</v>
      </c>
      <c r="D128" s="14">
        <v>8</v>
      </c>
      <c r="E128" s="14">
        <v>7</v>
      </c>
      <c r="F128" s="14">
        <v>6</v>
      </c>
      <c r="G128" s="14">
        <v>5</v>
      </c>
      <c r="H128" s="14">
        <v>4</v>
      </c>
      <c r="I128" s="14">
        <v>3</v>
      </c>
      <c r="J128" s="57">
        <v>2</v>
      </c>
      <c r="K128" s="14">
        <v>1</v>
      </c>
      <c r="L128" s="14">
        <v>2</v>
      </c>
      <c r="M128" s="14">
        <v>3</v>
      </c>
      <c r="N128" s="14">
        <v>4</v>
      </c>
      <c r="O128" s="14">
        <v>5</v>
      </c>
      <c r="P128" s="14">
        <v>6</v>
      </c>
      <c r="Q128" s="14">
        <v>7</v>
      </c>
      <c r="R128" s="14">
        <v>8</v>
      </c>
      <c r="S128" s="15">
        <v>9</v>
      </c>
      <c r="T128" s="15" t="s">
        <v>18</v>
      </c>
      <c r="V128" s="2" t="s">
        <v>16</v>
      </c>
      <c r="W128" s="3">
        <f>1/AI116</f>
        <v>0.33333333333333331</v>
      </c>
      <c r="X128" s="3">
        <f>1/AI117</f>
        <v>4</v>
      </c>
      <c r="Y128" s="3">
        <f>1/AI118</f>
        <v>0.5</v>
      </c>
      <c r="Z128" s="3">
        <f>1/AI119</f>
        <v>3</v>
      </c>
      <c r="AA128" s="3">
        <f>1/AI120</f>
        <v>3</v>
      </c>
      <c r="AB128" s="3">
        <f>1/AI121</f>
        <v>3</v>
      </c>
      <c r="AC128" s="3">
        <f>1/AI122</f>
        <v>3</v>
      </c>
      <c r="AD128" s="3">
        <f>1/AI123</f>
        <v>3</v>
      </c>
      <c r="AE128" s="3">
        <f>1/AI124</f>
        <v>3</v>
      </c>
      <c r="AF128" s="3">
        <f>1/AI125</f>
        <v>0.2</v>
      </c>
      <c r="AG128" s="3">
        <f>1/AI126</f>
        <v>4</v>
      </c>
      <c r="AH128" s="3">
        <f>1/AI127</f>
        <v>4</v>
      </c>
      <c r="AI128" s="3">
        <v>1</v>
      </c>
      <c r="AJ128" s="3">
        <f>1/4</f>
        <v>0.25</v>
      </c>
      <c r="AK128" s="3">
        <f>1/3</f>
        <v>0.33333333333333331</v>
      </c>
    </row>
    <row r="129" spans="2:37" x14ac:dyDescent="0.5">
      <c r="B129" s="16" t="s">
        <v>5</v>
      </c>
      <c r="C129" s="11">
        <v>9</v>
      </c>
      <c r="D129" s="1">
        <v>8</v>
      </c>
      <c r="E129" s="1">
        <v>7</v>
      </c>
      <c r="F129" s="1">
        <v>6</v>
      </c>
      <c r="G129" s="1">
        <v>5</v>
      </c>
      <c r="H129" s="1">
        <v>4</v>
      </c>
      <c r="I129" s="1">
        <v>3</v>
      </c>
      <c r="J129" s="1">
        <v>2</v>
      </c>
      <c r="K129" s="1">
        <v>1</v>
      </c>
      <c r="L129" s="56">
        <v>2</v>
      </c>
      <c r="M129" s="1">
        <v>3</v>
      </c>
      <c r="N129" s="1">
        <v>4</v>
      </c>
      <c r="O129" s="1">
        <v>5</v>
      </c>
      <c r="P129" s="1">
        <v>6</v>
      </c>
      <c r="Q129" s="1">
        <v>7</v>
      </c>
      <c r="R129" s="1">
        <v>8</v>
      </c>
      <c r="S129" s="12">
        <v>9</v>
      </c>
      <c r="T129" s="12" t="s">
        <v>6</v>
      </c>
      <c r="V129" s="2" t="s">
        <v>17</v>
      </c>
      <c r="W129" s="3">
        <f>1/AJ116</f>
        <v>7</v>
      </c>
      <c r="X129" s="3">
        <f>1/AJ117</f>
        <v>6</v>
      </c>
      <c r="Y129" s="3">
        <f>1/AJ118</f>
        <v>3</v>
      </c>
      <c r="Z129" s="3">
        <f>1/AJ119</f>
        <v>9</v>
      </c>
      <c r="AA129" s="3">
        <f>1/AJ120</f>
        <v>8</v>
      </c>
      <c r="AB129" s="3">
        <f>1/AJ121</f>
        <v>9</v>
      </c>
      <c r="AC129" s="3">
        <f>1/AJ122</f>
        <v>8</v>
      </c>
      <c r="AD129" s="3">
        <f>1/AJ123</f>
        <v>7</v>
      </c>
      <c r="AE129" s="3">
        <f>1/AJ124</f>
        <v>8</v>
      </c>
      <c r="AF129" s="3">
        <f>1/AJ125</f>
        <v>0.33333333333333331</v>
      </c>
      <c r="AG129" s="3">
        <f>1/AJ126</f>
        <v>5</v>
      </c>
      <c r="AH129" s="3">
        <f>1/AJ127</f>
        <v>5</v>
      </c>
      <c r="AI129" s="3">
        <f>1/AJ128</f>
        <v>4</v>
      </c>
      <c r="AJ129" s="3">
        <v>1</v>
      </c>
      <c r="AK129" s="3">
        <v>3</v>
      </c>
    </row>
    <row r="130" spans="2:37" x14ac:dyDescent="0.5">
      <c r="B130" s="17" t="s">
        <v>5</v>
      </c>
      <c r="C130" s="11">
        <v>9</v>
      </c>
      <c r="D130" s="1">
        <v>8</v>
      </c>
      <c r="E130" s="1">
        <v>7</v>
      </c>
      <c r="F130" s="1">
        <v>6</v>
      </c>
      <c r="G130" s="1">
        <v>5</v>
      </c>
      <c r="H130" s="1">
        <v>4</v>
      </c>
      <c r="I130" s="18">
        <v>3</v>
      </c>
      <c r="J130" s="1">
        <v>2</v>
      </c>
      <c r="K130" s="1">
        <v>1</v>
      </c>
      <c r="L130" s="56">
        <v>2</v>
      </c>
      <c r="M130" s="1">
        <v>3</v>
      </c>
      <c r="N130" s="1">
        <v>4</v>
      </c>
      <c r="O130" s="1">
        <v>5</v>
      </c>
      <c r="P130" s="1">
        <v>6</v>
      </c>
      <c r="Q130" s="1">
        <v>7</v>
      </c>
      <c r="R130" s="1">
        <v>8</v>
      </c>
      <c r="S130" s="12">
        <v>9</v>
      </c>
      <c r="T130" s="12" t="s">
        <v>7</v>
      </c>
      <c r="V130" s="2" t="s">
        <v>18</v>
      </c>
      <c r="W130" s="3">
        <f>1/AK116</f>
        <v>0.5</v>
      </c>
      <c r="X130" s="3">
        <f>1/AK117</f>
        <v>3</v>
      </c>
      <c r="Y130" s="3">
        <f>1/AK118</f>
        <v>0.33333333333333331</v>
      </c>
      <c r="Z130" s="3">
        <f>1/AK119</f>
        <v>4</v>
      </c>
      <c r="AA130" s="3">
        <f>1/AK120</f>
        <v>5</v>
      </c>
      <c r="AB130" s="3">
        <f>1/AK121</f>
        <v>4</v>
      </c>
      <c r="AC130" s="3">
        <f>1/AK122</f>
        <v>4</v>
      </c>
      <c r="AD130" s="3">
        <f>1/AK123</f>
        <v>3</v>
      </c>
      <c r="AE130" s="3">
        <f>1/AK124</f>
        <v>3</v>
      </c>
      <c r="AF130" s="3">
        <f>1/AK125</f>
        <v>0.14285714285714285</v>
      </c>
      <c r="AG130" s="3">
        <f>1/AK126</f>
        <v>4</v>
      </c>
      <c r="AH130" s="3">
        <f>1/AK127</f>
        <v>4</v>
      </c>
      <c r="AI130" s="3">
        <f>1/AK128</f>
        <v>3</v>
      </c>
      <c r="AJ130" s="3">
        <f>1/AK129</f>
        <v>0.33333333333333331</v>
      </c>
      <c r="AK130" s="3">
        <v>1</v>
      </c>
    </row>
    <row r="131" spans="2:37" x14ac:dyDescent="0.5">
      <c r="B131" s="17" t="s">
        <v>5</v>
      </c>
      <c r="C131" s="11">
        <v>9</v>
      </c>
      <c r="D131" s="1">
        <v>8</v>
      </c>
      <c r="E131" s="1">
        <v>7</v>
      </c>
      <c r="F131" s="1">
        <v>6</v>
      </c>
      <c r="G131" s="1">
        <v>5</v>
      </c>
      <c r="H131" s="1">
        <v>4</v>
      </c>
      <c r="I131" s="1">
        <v>3</v>
      </c>
      <c r="J131" s="56">
        <v>2</v>
      </c>
      <c r="K131" s="1">
        <v>1</v>
      </c>
      <c r="L131" s="1">
        <v>2</v>
      </c>
      <c r="M131" s="1">
        <v>3</v>
      </c>
      <c r="N131" s="1">
        <v>4</v>
      </c>
      <c r="O131" s="1">
        <v>5</v>
      </c>
      <c r="P131" s="1">
        <v>6</v>
      </c>
      <c r="Q131" s="1">
        <v>7</v>
      </c>
      <c r="R131" s="1">
        <v>8</v>
      </c>
      <c r="S131" s="12">
        <v>9</v>
      </c>
      <c r="T131" s="12" t="s">
        <v>8</v>
      </c>
    </row>
    <row r="132" spans="2:37" x14ac:dyDescent="0.5">
      <c r="B132" s="17" t="s">
        <v>5</v>
      </c>
      <c r="C132" s="11">
        <v>9</v>
      </c>
      <c r="D132" s="1">
        <v>8</v>
      </c>
      <c r="E132" s="1">
        <v>7</v>
      </c>
      <c r="F132" s="1">
        <v>6</v>
      </c>
      <c r="G132" s="1">
        <v>5</v>
      </c>
      <c r="H132" s="1">
        <v>4</v>
      </c>
      <c r="I132" s="56">
        <v>3</v>
      </c>
      <c r="J132" s="1">
        <v>2</v>
      </c>
      <c r="K132" s="1">
        <v>1</v>
      </c>
      <c r="L132" s="1">
        <v>2</v>
      </c>
      <c r="M132" s="1">
        <v>3</v>
      </c>
      <c r="N132" s="1">
        <v>4</v>
      </c>
      <c r="O132" s="1">
        <v>5</v>
      </c>
      <c r="P132" s="1">
        <v>6</v>
      </c>
      <c r="Q132" s="1">
        <v>7</v>
      </c>
      <c r="R132" s="1">
        <v>8</v>
      </c>
      <c r="S132" s="12">
        <v>9</v>
      </c>
      <c r="T132" s="12" t="s">
        <v>9</v>
      </c>
    </row>
    <row r="133" spans="2:37" x14ac:dyDescent="0.5">
      <c r="B133" s="17" t="s">
        <v>5</v>
      </c>
      <c r="C133" s="11">
        <v>9</v>
      </c>
      <c r="D133" s="1">
        <v>8</v>
      </c>
      <c r="E133" s="1">
        <v>7</v>
      </c>
      <c r="F133" s="1">
        <v>6</v>
      </c>
      <c r="G133" s="1">
        <v>5</v>
      </c>
      <c r="H133" s="1">
        <v>4</v>
      </c>
      <c r="I133" s="1">
        <v>3</v>
      </c>
      <c r="J133" s="1">
        <v>2</v>
      </c>
      <c r="K133" s="1">
        <v>1</v>
      </c>
      <c r="L133" s="56">
        <v>2</v>
      </c>
      <c r="M133" s="1">
        <v>3</v>
      </c>
      <c r="N133" s="1">
        <v>4</v>
      </c>
      <c r="O133" s="1">
        <v>5</v>
      </c>
      <c r="P133" s="1">
        <v>6</v>
      </c>
      <c r="Q133" s="1">
        <v>7</v>
      </c>
      <c r="R133" s="1">
        <v>8</v>
      </c>
      <c r="S133" s="12">
        <v>9</v>
      </c>
      <c r="T133" s="12" t="s">
        <v>10</v>
      </c>
    </row>
    <row r="134" spans="2:37" x14ac:dyDescent="0.5">
      <c r="B134" s="17" t="s">
        <v>5</v>
      </c>
      <c r="C134" s="11">
        <v>9</v>
      </c>
      <c r="D134" s="1">
        <v>8</v>
      </c>
      <c r="E134" s="1">
        <v>7</v>
      </c>
      <c r="F134" s="1">
        <v>6</v>
      </c>
      <c r="G134" s="1">
        <v>5</v>
      </c>
      <c r="H134" s="1">
        <v>4</v>
      </c>
      <c r="I134" s="1">
        <v>3</v>
      </c>
      <c r="J134" s="1">
        <v>2</v>
      </c>
      <c r="K134" s="1">
        <v>1</v>
      </c>
      <c r="L134" s="56">
        <v>2</v>
      </c>
      <c r="M134" s="1">
        <v>3</v>
      </c>
      <c r="N134" s="1">
        <v>4</v>
      </c>
      <c r="O134" s="1">
        <v>5</v>
      </c>
      <c r="P134" s="1">
        <v>6</v>
      </c>
      <c r="Q134" s="1">
        <v>7</v>
      </c>
      <c r="R134" s="1">
        <v>8</v>
      </c>
      <c r="S134" s="12">
        <v>9</v>
      </c>
      <c r="T134" s="12" t="s">
        <v>11</v>
      </c>
    </row>
    <row r="135" spans="2:37" x14ac:dyDescent="0.5">
      <c r="B135" s="17" t="s">
        <v>5</v>
      </c>
      <c r="C135" s="11">
        <v>9</v>
      </c>
      <c r="D135" s="1">
        <v>8</v>
      </c>
      <c r="E135" s="1">
        <v>7</v>
      </c>
      <c r="F135" s="1">
        <v>6</v>
      </c>
      <c r="G135" s="1">
        <v>5</v>
      </c>
      <c r="H135" s="1">
        <v>4</v>
      </c>
      <c r="I135" s="1">
        <v>3</v>
      </c>
      <c r="J135" s="1">
        <v>2</v>
      </c>
      <c r="K135" s="1">
        <v>1</v>
      </c>
      <c r="L135" s="1">
        <v>2</v>
      </c>
      <c r="M135" s="56">
        <v>3</v>
      </c>
      <c r="N135" s="1">
        <v>4</v>
      </c>
      <c r="O135" s="1">
        <v>5</v>
      </c>
      <c r="P135" s="1">
        <v>6</v>
      </c>
      <c r="Q135" s="1">
        <v>7</v>
      </c>
      <c r="R135" s="1">
        <v>8</v>
      </c>
      <c r="S135" s="12">
        <v>9</v>
      </c>
      <c r="T135" s="12" t="s">
        <v>12</v>
      </c>
    </row>
    <row r="136" spans="2:37" x14ac:dyDescent="0.5">
      <c r="B136" s="17" t="s">
        <v>5</v>
      </c>
      <c r="C136" s="11">
        <v>9</v>
      </c>
      <c r="D136" s="1">
        <v>8</v>
      </c>
      <c r="E136" s="1">
        <v>7</v>
      </c>
      <c r="F136" s="1">
        <v>6</v>
      </c>
      <c r="G136" s="1">
        <v>5</v>
      </c>
      <c r="H136" s="1">
        <v>4</v>
      </c>
      <c r="I136" s="1">
        <v>3</v>
      </c>
      <c r="J136" s="1">
        <v>2</v>
      </c>
      <c r="K136" s="1">
        <v>1</v>
      </c>
      <c r="L136" s="1">
        <v>2</v>
      </c>
      <c r="M136" s="1">
        <v>3</v>
      </c>
      <c r="N136" s="1">
        <v>4</v>
      </c>
      <c r="O136" s="1">
        <v>5</v>
      </c>
      <c r="P136" s="56">
        <v>6</v>
      </c>
      <c r="Q136" s="1">
        <v>7</v>
      </c>
      <c r="R136" s="1">
        <v>8</v>
      </c>
      <c r="S136" s="12">
        <v>9</v>
      </c>
      <c r="T136" s="12" t="s">
        <v>13</v>
      </c>
    </row>
    <row r="137" spans="2:37" x14ac:dyDescent="0.5">
      <c r="B137" s="17" t="s">
        <v>5</v>
      </c>
      <c r="C137" s="11">
        <v>9</v>
      </c>
      <c r="D137" s="1">
        <v>8</v>
      </c>
      <c r="E137" s="1">
        <v>7</v>
      </c>
      <c r="F137" s="1">
        <v>6</v>
      </c>
      <c r="G137" s="1">
        <v>5</v>
      </c>
      <c r="H137" s="1">
        <v>4</v>
      </c>
      <c r="I137" s="1">
        <v>3</v>
      </c>
      <c r="J137" s="1">
        <v>2</v>
      </c>
      <c r="K137" s="1">
        <v>1</v>
      </c>
      <c r="L137" s="1">
        <v>2</v>
      </c>
      <c r="M137" s="56">
        <v>3</v>
      </c>
      <c r="N137" s="1">
        <v>4</v>
      </c>
      <c r="O137" s="1">
        <v>5</v>
      </c>
      <c r="P137" s="1">
        <v>6</v>
      </c>
      <c r="Q137" s="1">
        <v>7</v>
      </c>
      <c r="R137" s="1">
        <v>8</v>
      </c>
      <c r="S137" s="12">
        <v>9</v>
      </c>
      <c r="T137" s="12" t="s">
        <v>14</v>
      </c>
    </row>
    <row r="138" spans="2:37" x14ac:dyDescent="0.5">
      <c r="B138" s="17" t="s">
        <v>5</v>
      </c>
      <c r="C138" s="11">
        <v>9</v>
      </c>
      <c r="D138" s="1">
        <v>8</v>
      </c>
      <c r="E138" s="1">
        <v>7</v>
      </c>
      <c r="F138" s="1">
        <v>6</v>
      </c>
      <c r="G138" s="1">
        <v>5</v>
      </c>
      <c r="H138" s="1">
        <v>4</v>
      </c>
      <c r="I138" s="1">
        <v>3</v>
      </c>
      <c r="J138" s="1">
        <v>2</v>
      </c>
      <c r="K138" s="1">
        <v>1</v>
      </c>
      <c r="L138" s="1">
        <v>2</v>
      </c>
      <c r="M138" s="56">
        <v>3</v>
      </c>
      <c r="N138" s="1">
        <v>4</v>
      </c>
      <c r="O138" s="1">
        <v>5</v>
      </c>
      <c r="P138" s="1">
        <v>6</v>
      </c>
      <c r="Q138" s="1">
        <v>7</v>
      </c>
      <c r="R138" s="1">
        <v>8</v>
      </c>
      <c r="S138" s="12">
        <v>9</v>
      </c>
      <c r="T138" s="12" t="s">
        <v>15</v>
      </c>
    </row>
    <row r="139" spans="2:37" x14ac:dyDescent="0.5">
      <c r="B139" s="17" t="s">
        <v>5</v>
      </c>
      <c r="C139" s="11">
        <v>9</v>
      </c>
      <c r="D139" s="1">
        <v>8</v>
      </c>
      <c r="E139" s="1">
        <v>7</v>
      </c>
      <c r="F139" s="1">
        <v>6</v>
      </c>
      <c r="G139" s="1">
        <v>5</v>
      </c>
      <c r="H139" s="1">
        <v>4</v>
      </c>
      <c r="I139" s="1">
        <v>3</v>
      </c>
      <c r="J139" s="1">
        <v>2</v>
      </c>
      <c r="K139" s="1">
        <v>1</v>
      </c>
      <c r="L139" s="1">
        <v>2</v>
      </c>
      <c r="M139" s="1">
        <v>3</v>
      </c>
      <c r="N139" s="56">
        <v>4</v>
      </c>
      <c r="O139" s="1">
        <v>5</v>
      </c>
      <c r="P139" s="1">
        <v>6</v>
      </c>
      <c r="Q139" s="1">
        <v>7</v>
      </c>
      <c r="R139" s="1">
        <v>8</v>
      </c>
      <c r="S139" s="12">
        <v>9</v>
      </c>
      <c r="T139" s="12" t="s">
        <v>16</v>
      </c>
    </row>
    <row r="140" spans="2:37" x14ac:dyDescent="0.5">
      <c r="B140" s="17" t="s">
        <v>5</v>
      </c>
      <c r="C140" s="11">
        <v>9</v>
      </c>
      <c r="D140" s="1">
        <v>8</v>
      </c>
      <c r="E140" s="1">
        <v>7</v>
      </c>
      <c r="F140" s="1">
        <v>6</v>
      </c>
      <c r="G140" s="1">
        <v>5</v>
      </c>
      <c r="H140" s="1">
        <v>4</v>
      </c>
      <c r="I140" s="1">
        <v>3</v>
      </c>
      <c r="J140" s="1">
        <v>2</v>
      </c>
      <c r="K140" s="1">
        <v>1</v>
      </c>
      <c r="L140" s="1">
        <v>2</v>
      </c>
      <c r="M140" s="1">
        <v>3</v>
      </c>
      <c r="N140" s="1">
        <v>4</v>
      </c>
      <c r="O140" s="1">
        <v>5</v>
      </c>
      <c r="P140" s="56">
        <v>6</v>
      </c>
      <c r="Q140" s="1">
        <v>7</v>
      </c>
      <c r="R140" s="1">
        <v>8</v>
      </c>
      <c r="S140" s="12">
        <v>9</v>
      </c>
      <c r="T140" s="12" t="s">
        <v>17</v>
      </c>
    </row>
    <row r="141" spans="2:37" x14ac:dyDescent="0.5">
      <c r="B141" s="19" t="s">
        <v>5</v>
      </c>
      <c r="C141" s="13">
        <v>9</v>
      </c>
      <c r="D141" s="14">
        <v>8</v>
      </c>
      <c r="E141" s="14">
        <v>7</v>
      </c>
      <c r="F141" s="14">
        <v>6</v>
      </c>
      <c r="G141" s="14">
        <v>5</v>
      </c>
      <c r="H141" s="14">
        <v>4</v>
      </c>
      <c r="I141" s="14">
        <v>3</v>
      </c>
      <c r="J141" s="14">
        <v>2</v>
      </c>
      <c r="K141" s="14">
        <v>1</v>
      </c>
      <c r="L141" s="14">
        <v>2</v>
      </c>
      <c r="M141" s="57">
        <v>3</v>
      </c>
      <c r="N141" s="14">
        <v>4</v>
      </c>
      <c r="O141" s="14">
        <v>5</v>
      </c>
      <c r="P141" s="14">
        <v>6</v>
      </c>
      <c r="Q141" s="14">
        <v>7</v>
      </c>
      <c r="R141" s="14">
        <v>8</v>
      </c>
      <c r="S141" s="15">
        <v>9</v>
      </c>
      <c r="T141" s="15" t="s">
        <v>18</v>
      </c>
    </row>
    <row r="142" spans="2:37" x14ac:dyDescent="0.5">
      <c r="B142" s="16" t="s">
        <v>6</v>
      </c>
      <c r="C142" s="11">
        <v>9</v>
      </c>
      <c r="D142" s="1">
        <v>8</v>
      </c>
      <c r="E142" s="1">
        <v>7</v>
      </c>
      <c r="F142" s="1">
        <v>6</v>
      </c>
      <c r="G142" s="1">
        <v>5</v>
      </c>
      <c r="H142" s="56">
        <v>4</v>
      </c>
      <c r="I142" s="18">
        <v>3</v>
      </c>
      <c r="J142" s="1">
        <v>2</v>
      </c>
      <c r="K142" s="1">
        <v>1</v>
      </c>
      <c r="L142" s="1">
        <v>2</v>
      </c>
      <c r="M142" s="1">
        <v>3</v>
      </c>
      <c r="N142" s="1">
        <v>4</v>
      </c>
      <c r="O142" s="1">
        <v>5</v>
      </c>
      <c r="P142" s="1">
        <v>6</v>
      </c>
      <c r="Q142" s="1">
        <v>7</v>
      </c>
      <c r="R142" s="1">
        <v>8</v>
      </c>
      <c r="S142" s="12">
        <v>9</v>
      </c>
      <c r="T142" s="12" t="s">
        <v>7</v>
      </c>
    </row>
    <row r="143" spans="2:37" x14ac:dyDescent="0.5">
      <c r="B143" s="17" t="s">
        <v>6</v>
      </c>
      <c r="C143" s="11">
        <v>9</v>
      </c>
      <c r="D143" s="1">
        <v>8</v>
      </c>
      <c r="E143" s="56">
        <v>7</v>
      </c>
      <c r="F143" s="1">
        <v>6</v>
      </c>
      <c r="G143" s="1">
        <v>5</v>
      </c>
      <c r="H143" s="1">
        <v>4</v>
      </c>
      <c r="I143" s="1">
        <v>3</v>
      </c>
      <c r="J143" s="1">
        <v>2</v>
      </c>
      <c r="K143" s="1">
        <v>1</v>
      </c>
      <c r="L143" s="1">
        <v>2</v>
      </c>
      <c r="M143" s="1">
        <v>3</v>
      </c>
      <c r="N143" s="1">
        <v>4</v>
      </c>
      <c r="O143" s="1">
        <v>5</v>
      </c>
      <c r="P143" s="1">
        <v>6</v>
      </c>
      <c r="Q143" s="1">
        <v>7</v>
      </c>
      <c r="R143" s="1">
        <v>8</v>
      </c>
      <c r="S143" s="12">
        <v>9</v>
      </c>
      <c r="T143" s="12" t="s">
        <v>8</v>
      </c>
    </row>
    <row r="144" spans="2:37" x14ac:dyDescent="0.5">
      <c r="B144" s="17" t="s">
        <v>6</v>
      </c>
      <c r="C144" s="11">
        <v>9</v>
      </c>
      <c r="D144" s="1">
        <v>8</v>
      </c>
      <c r="E144" s="1">
        <v>7</v>
      </c>
      <c r="F144" s="1">
        <v>6</v>
      </c>
      <c r="G144" s="56">
        <v>5</v>
      </c>
      <c r="H144" s="1">
        <v>4</v>
      </c>
      <c r="I144" s="1">
        <v>3</v>
      </c>
      <c r="J144" s="1">
        <v>2</v>
      </c>
      <c r="K144" s="1">
        <v>1</v>
      </c>
      <c r="L144" s="1">
        <v>2</v>
      </c>
      <c r="M144" s="1">
        <v>3</v>
      </c>
      <c r="N144" s="1">
        <v>4</v>
      </c>
      <c r="O144" s="1">
        <v>5</v>
      </c>
      <c r="P144" s="1">
        <v>6</v>
      </c>
      <c r="Q144" s="1">
        <v>7</v>
      </c>
      <c r="R144" s="1">
        <v>8</v>
      </c>
      <c r="S144" s="12">
        <v>9</v>
      </c>
      <c r="T144" s="12" t="s">
        <v>9</v>
      </c>
    </row>
    <row r="145" spans="2:20" x14ac:dyDescent="0.5">
      <c r="B145" s="17" t="s">
        <v>6</v>
      </c>
      <c r="C145" s="11">
        <v>9</v>
      </c>
      <c r="D145" s="1">
        <v>8</v>
      </c>
      <c r="E145" s="1">
        <v>7</v>
      </c>
      <c r="F145" s="1">
        <v>6</v>
      </c>
      <c r="G145" s="1">
        <v>5</v>
      </c>
      <c r="H145" s="1">
        <v>4</v>
      </c>
      <c r="I145" s="1">
        <v>3</v>
      </c>
      <c r="J145" s="1">
        <v>2</v>
      </c>
      <c r="K145" s="1">
        <v>1</v>
      </c>
      <c r="L145" s="56">
        <v>2</v>
      </c>
      <c r="M145" s="1">
        <v>3</v>
      </c>
      <c r="N145" s="1">
        <v>4</v>
      </c>
      <c r="O145" s="1">
        <v>5</v>
      </c>
      <c r="P145" s="1">
        <v>6</v>
      </c>
      <c r="Q145" s="1">
        <v>7</v>
      </c>
      <c r="R145" s="1">
        <v>8</v>
      </c>
      <c r="S145" s="12">
        <v>9</v>
      </c>
      <c r="T145" s="12" t="s">
        <v>10</v>
      </c>
    </row>
    <row r="146" spans="2:20" x14ac:dyDescent="0.5">
      <c r="B146" s="17" t="s">
        <v>6</v>
      </c>
      <c r="C146" s="11">
        <v>9</v>
      </c>
      <c r="D146" s="1">
        <v>8</v>
      </c>
      <c r="E146" s="1">
        <v>7</v>
      </c>
      <c r="F146" s="1">
        <v>6</v>
      </c>
      <c r="G146" s="1">
        <v>5</v>
      </c>
      <c r="H146" s="1">
        <v>4</v>
      </c>
      <c r="I146" s="56">
        <v>3</v>
      </c>
      <c r="J146" s="1">
        <v>2</v>
      </c>
      <c r="K146" s="1">
        <v>1</v>
      </c>
      <c r="L146" s="1">
        <v>2</v>
      </c>
      <c r="M146" s="1">
        <v>3</v>
      </c>
      <c r="N146" s="1">
        <v>4</v>
      </c>
      <c r="O146" s="1">
        <v>5</v>
      </c>
      <c r="P146" s="1">
        <v>6</v>
      </c>
      <c r="Q146" s="1">
        <v>7</v>
      </c>
      <c r="R146" s="1">
        <v>8</v>
      </c>
      <c r="S146" s="12">
        <v>9</v>
      </c>
      <c r="T146" s="12" t="s">
        <v>11</v>
      </c>
    </row>
    <row r="147" spans="2:20" x14ac:dyDescent="0.5">
      <c r="B147" s="17" t="s">
        <v>6</v>
      </c>
      <c r="C147" s="11">
        <v>9</v>
      </c>
      <c r="D147" s="1">
        <v>8</v>
      </c>
      <c r="E147" s="1">
        <v>7</v>
      </c>
      <c r="F147" s="1">
        <v>6</v>
      </c>
      <c r="G147" s="1">
        <v>5</v>
      </c>
      <c r="H147" s="56">
        <v>4</v>
      </c>
      <c r="I147" s="1">
        <v>3</v>
      </c>
      <c r="J147" s="1">
        <v>2</v>
      </c>
      <c r="K147" s="1">
        <v>1</v>
      </c>
      <c r="L147" s="1">
        <v>2</v>
      </c>
      <c r="M147" s="1">
        <v>3</v>
      </c>
      <c r="N147" s="1">
        <v>4</v>
      </c>
      <c r="O147" s="1">
        <v>5</v>
      </c>
      <c r="P147" s="1">
        <v>6</v>
      </c>
      <c r="Q147" s="1">
        <v>7</v>
      </c>
      <c r="R147" s="1">
        <v>8</v>
      </c>
      <c r="S147" s="12">
        <v>9</v>
      </c>
      <c r="T147" s="12" t="s">
        <v>12</v>
      </c>
    </row>
    <row r="148" spans="2:20" x14ac:dyDescent="0.5">
      <c r="B148" s="17" t="s">
        <v>6</v>
      </c>
      <c r="C148" s="11">
        <v>9</v>
      </c>
      <c r="D148" s="1">
        <v>8</v>
      </c>
      <c r="E148" s="1">
        <v>7</v>
      </c>
      <c r="F148" s="1">
        <v>6</v>
      </c>
      <c r="G148" s="1">
        <v>5</v>
      </c>
      <c r="H148" s="1">
        <v>4</v>
      </c>
      <c r="I148" s="1">
        <v>3</v>
      </c>
      <c r="J148" s="1">
        <v>2</v>
      </c>
      <c r="K148" s="1">
        <v>1</v>
      </c>
      <c r="L148" s="1">
        <v>2</v>
      </c>
      <c r="M148" s="1">
        <v>3</v>
      </c>
      <c r="N148" s="56">
        <v>4</v>
      </c>
      <c r="O148" s="1">
        <v>5</v>
      </c>
      <c r="P148" s="1">
        <v>6</v>
      </c>
      <c r="Q148" s="1">
        <v>7</v>
      </c>
      <c r="R148" s="1">
        <v>8</v>
      </c>
      <c r="S148" s="12">
        <v>9</v>
      </c>
      <c r="T148" s="12" t="s">
        <v>13</v>
      </c>
    </row>
    <row r="149" spans="2:20" x14ac:dyDescent="0.5">
      <c r="B149" s="17" t="s">
        <v>6</v>
      </c>
      <c r="C149" s="11">
        <v>9</v>
      </c>
      <c r="D149" s="1">
        <v>8</v>
      </c>
      <c r="E149" s="1">
        <v>7</v>
      </c>
      <c r="F149" s="1">
        <v>6</v>
      </c>
      <c r="G149" s="1">
        <v>5</v>
      </c>
      <c r="H149" s="1">
        <v>4</v>
      </c>
      <c r="I149" s="1">
        <v>3</v>
      </c>
      <c r="J149" s="1">
        <v>2</v>
      </c>
      <c r="K149" s="1">
        <v>1</v>
      </c>
      <c r="L149" s="1">
        <v>2</v>
      </c>
      <c r="M149" s="1">
        <v>3</v>
      </c>
      <c r="N149" s="1">
        <v>4</v>
      </c>
      <c r="O149" s="1">
        <v>5</v>
      </c>
      <c r="P149" s="1">
        <v>6</v>
      </c>
      <c r="Q149" s="1">
        <v>7</v>
      </c>
      <c r="R149" s="1">
        <v>8</v>
      </c>
      <c r="S149" s="12">
        <v>9</v>
      </c>
      <c r="T149" s="12" t="s">
        <v>14</v>
      </c>
    </row>
    <row r="150" spans="2:20" x14ac:dyDescent="0.5">
      <c r="B150" s="17" t="s">
        <v>6</v>
      </c>
      <c r="C150" s="11">
        <v>9</v>
      </c>
      <c r="D150" s="1">
        <v>8</v>
      </c>
      <c r="E150" s="1">
        <v>7</v>
      </c>
      <c r="F150" s="1">
        <v>6</v>
      </c>
      <c r="G150" s="56">
        <v>5</v>
      </c>
      <c r="H150" s="1">
        <v>4</v>
      </c>
      <c r="I150" s="1">
        <v>3</v>
      </c>
      <c r="J150" s="1">
        <v>2</v>
      </c>
      <c r="K150" s="1">
        <v>1</v>
      </c>
      <c r="L150" s="1">
        <v>2</v>
      </c>
      <c r="M150" s="1">
        <v>3</v>
      </c>
      <c r="N150" s="1">
        <v>4</v>
      </c>
      <c r="O150" s="1">
        <v>5</v>
      </c>
      <c r="P150" s="1">
        <v>6</v>
      </c>
      <c r="Q150" s="1">
        <v>7</v>
      </c>
      <c r="R150" s="1">
        <v>8</v>
      </c>
      <c r="S150" s="12">
        <v>9</v>
      </c>
      <c r="T150" s="12" t="s">
        <v>15</v>
      </c>
    </row>
    <row r="151" spans="2:20" x14ac:dyDescent="0.5">
      <c r="B151" s="17" t="s">
        <v>6</v>
      </c>
      <c r="C151" s="11">
        <v>9</v>
      </c>
      <c r="D151" s="1">
        <v>8</v>
      </c>
      <c r="E151" s="1">
        <v>7</v>
      </c>
      <c r="F151" s="1">
        <v>6</v>
      </c>
      <c r="G151" s="1">
        <v>5</v>
      </c>
      <c r="H151" s="1">
        <v>4</v>
      </c>
      <c r="I151" s="1">
        <v>3</v>
      </c>
      <c r="J151" s="56">
        <v>2</v>
      </c>
      <c r="K151" s="1">
        <v>1</v>
      </c>
      <c r="L151" s="1">
        <v>2</v>
      </c>
      <c r="M151" s="1">
        <v>3</v>
      </c>
      <c r="N151" s="1">
        <v>4</v>
      </c>
      <c r="O151" s="1">
        <v>5</v>
      </c>
      <c r="P151" s="1">
        <v>6</v>
      </c>
      <c r="Q151" s="1">
        <v>7</v>
      </c>
      <c r="R151" s="1">
        <v>8</v>
      </c>
      <c r="S151" s="12">
        <v>9</v>
      </c>
      <c r="T151" s="12" t="s">
        <v>16</v>
      </c>
    </row>
    <row r="152" spans="2:20" x14ac:dyDescent="0.5">
      <c r="B152" s="17" t="s">
        <v>6</v>
      </c>
      <c r="C152" s="11">
        <v>9</v>
      </c>
      <c r="D152" s="1">
        <v>8</v>
      </c>
      <c r="E152" s="1">
        <v>7</v>
      </c>
      <c r="F152" s="1">
        <v>6</v>
      </c>
      <c r="G152" s="1">
        <v>5</v>
      </c>
      <c r="H152" s="1">
        <v>4</v>
      </c>
      <c r="I152" s="1">
        <v>3</v>
      </c>
      <c r="J152" s="1">
        <v>2</v>
      </c>
      <c r="K152" s="1">
        <v>1</v>
      </c>
      <c r="L152" s="1">
        <v>2</v>
      </c>
      <c r="M152" s="56">
        <v>3</v>
      </c>
      <c r="N152" s="1">
        <v>4</v>
      </c>
      <c r="O152" s="1">
        <v>5</v>
      </c>
      <c r="P152" s="1">
        <v>6</v>
      </c>
      <c r="Q152" s="1">
        <v>7</v>
      </c>
      <c r="R152" s="1">
        <v>8</v>
      </c>
      <c r="S152" s="12">
        <v>9</v>
      </c>
      <c r="T152" s="12" t="s">
        <v>17</v>
      </c>
    </row>
    <row r="153" spans="2:20" x14ac:dyDescent="0.5">
      <c r="B153" s="17" t="s">
        <v>6</v>
      </c>
      <c r="C153" s="13">
        <v>9</v>
      </c>
      <c r="D153" s="14">
        <v>8</v>
      </c>
      <c r="E153" s="14">
        <v>7</v>
      </c>
      <c r="F153" s="14">
        <v>6</v>
      </c>
      <c r="G153" s="14">
        <v>5</v>
      </c>
      <c r="H153" s="14">
        <v>4</v>
      </c>
      <c r="I153" s="57">
        <v>3</v>
      </c>
      <c r="J153" s="14">
        <v>2</v>
      </c>
      <c r="K153" s="14">
        <v>1</v>
      </c>
      <c r="L153" s="14">
        <v>2</v>
      </c>
      <c r="M153" s="14">
        <v>3</v>
      </c>
      <c r="N153" s="14">
        <v>4</v>
      </c>
      <c r="O153" s="14">
        <v>5</v>
      </c>
      <c r="P153" s="14">
        <v>6</v>
      </c>
      <c r="Q153" s="14">
        <v>7</v>
      </c>
      <c r="R153" s="14">
        <v>8</v>
      </c>
      <c r="S153" s="15">
        <v>9</v>
      </c>
      <c r="T153" s="15" t="s">
        <v>18</v>
      </c>
    </row>
    <row r="154" spans="2:20" x14ac:dyDescent="0.5">
      <c r="B154" s="16" t="s">
        <v>7</v>
      </c>
      <c r="C154" s="11">
        <v>9</v>
      </c>
      <c r="D154" s="1">
        <v>8</v>
      </c>
      <c r="E154" s="1">
        <v>7</v>
      </c>
      <c r="F154" s="1">
        <v>6</v>
      </c>
      <c r="G154" s="1">
        <v>5</v>
      </c>
      <c r="H154" s="1">
        <v>4</v>
      </c>
      <c r="I154" s="1">
        <v>3</v>
      </c>
      <c r="J154" s="56">
        <v>2</v>
      </c>
      <c r="K154" s="1">
        <v>1</v>
      </c>
      <c r="L154" s="1">
        <v>2</v>
      </c>
      <c r="M154" s="1">
        <v>3</v>
      </c>
      <c r="N154" s="1">
        <v>4</v>
      </c>
      <c r="O154" s="1">
        <v>5</v>
      </c>
      <c r="P154" s="1">
        <v>6</v>
      </c>
      <c r="Q154" s="1">
        <v>7</v>
      </c>
      <c r="R154" s="1">
        <v>8</v>
      </c>
      <c r="S154" s="12">
        <v>9</v>
      </c>
      <c r="T154" s="12" t="s">
        <v>8</v>
      </c>
    </row>
    <row r="155" spans="2:20" x14ac:dyDescent="0.5">
      <c r="B155" s="17" t="s">
        <v>7</v>
      </c>
      <c r="C155" s="11">
        <v>9</v>
      </c>
      <c r="D155" s="1">
        <v>8</v>
      </c>
      <c r="E155" s="1">
        <v>7</v>
      </c>
      <c r="F155" s="1">
        <v>6</v>
      </c>
      <c r="G155" s="1">
        <v>5</v>
      </c>
      <c r="H155" s="56">
        <v>4</v>
      </c>
      <c r="I155" s="1">
        <v>3</v>
      </c>
      <c r="J155" s="1">
        <v>2</v>
      </c>
      <c r="K155" s="1">
        <v>1</v>
      </c>
      <c r="L155" s="1">
        <v>2</v>
      </c>
      <c r="M155" s="1">
        <v>3</v>
      </c>
      <c r="N155" s="1">
        <v>4</v>
      </c>
      <c r="O155" s="1">
        <v>5</v>
      </c>
      <c r="P155" s="1">
        <v>6</v>
      </c>
      <c r="Q155" s="1">
        <v>7</v>
      </c>
      <c r="R155" s="1">
        <v>8</v>
      </c>
      <c r="S155" s="12">
        <v>9</v>
      </c>
      <c r="T155" s="12" t="s">
        <v>9</v>
      </c>
    </row>
    <row r="156" spans="2:20" x14ac:dyDescent="0.5">
      <c r="B156" s="17" t="s">
        <v>7</v>
      </c>
      <c r="C156" s="11">
        <v>9</v>
      </c>
      <c r="D156" s="1">
        <v>8</v>
      </c>
      <c r="E156" s="1">
        <v>7</v>
      </c>
      <c r="F156" s="1">
        <v>6</v>
      </c>
      <c r="G156" s="1">
        <v>5</v>
      </c>
      <c r="H156" s="1">
        <v>4</v>
      </c>
      <c r="I156" s="1">
        <v>3</v>
      </c>
      <c r="J156" s="56">
        <v>2</v>
      </c>
      <c r="K156" s="1">
        <v>1</v>
      </c>
      <c r="L156" s="1">
        <v>2</v>
      </c>
      <c r="M156" s="1">
        <v>3</v>
      </c>
      <c r="N156" s="1">
        <v>4</v>
      </c>
      <c r="O156" s="1">
        <v>5</v>
      </c>
      <c r="P156" s="1">
        <v>6</v>
      </c>
      <c r="Q156" s="1">
        <v>7</v>
      </c>
      <c r="R156" s="1">
        <v>8</v>
      </c>
      <c r="S156" s="12">
        <v>9</v>
      </c>
      <c r="T156" s="12" t="s">
        <v>10</v>
      </c>
    </row>
    <row r="157" spans="2:20" x14ac:dyDescent="0.5">
      <c r="B157" s="17" t="s">
        <v>7</v>
      </c>
      <c r="C157" s="11">
        <v>9</v>
      </c>
      <c r="D157" s="1">
        <v>8</v>
      </c>
      <c r="E157" s="1">
        <v>7</v>
      </c>
      <c r="F157" s="1">
        <v>6</v>
      </c>
      <c r="G157" s="1">
        <v>5</v>
      </c>
      <c r="H157" s="1">
        <v>4</v>
      </c>
      <c r="I157" s="56">
        <v>3</v>
      </c>
      <c r="J157" s="1">
        <v>2</v>
      </c>
      <c r="K157" s="1">
        <v>1</v>
      </c>
      <c r="L157" s="1">
        <v>2</v>
      </c>
      <c r="M157" s="1">
        <v>3</v>
      </c>
      <c r="N157" s="1">
        <v>4</v>
      </c>
      <c r="O157" s="1">
        <v>5</v>
      </c>
      <c r="P157" s="1">
        <v>6</v>
      </c>
      <c r="Q157" s="1">
        <v>7</v>
      </c>
      <c r="R157" s="1">
        <v>8</v>
      </c>
      <c r="S157" s="12">
        <v>9</v>
      </c>
      <c r="T157" s="12" t="s">
        <v>11</v>
      </c>
    </row>
    <row r="158" spans="2:20" x14ac:dyDescent="0.5">
      <c r="B158" s="17" t="s">
        <v>7</v>
      </c>
      <c r="C158" s="11">
        <v>9</v>
      </c>
      <c r="D158" s="1">
        <v>8</v>
      </c>
      <c r="E158" s="1">
        <v>7</v>
      </c>
      <c r="F158" s="1">
        <v>6</v>
      </c>
      <c r="G158" s="1">
        <v>5</v>
      </c>
      <c r="H158" s="1">
        <v>4</v>
      </c>
      <c r="I158" s="56">
        <v>3</v>
      </c>
      <c r="J158" s="1">
        <v>2</v>
      </c>
      <c r="K158" s="1">
        <v>1</v>
      </c>
      <c r="L158" s="1">
        <v>2</v>
      </c>
      <c r="M158" s="1">
        <v>3</v>
      </c>
      <c r="N158" s="1">
        <v>4</v>
      </c>
      <c r="O158" s="1">
        <v>5</v>
      </c>
      <c r="P158" s="1">
        <v>6</v>
      </c>
      <c r="Q158" s="1">
        <v>7</v>
      </c>
      <c r="R158" s="1">
        <v>8</v>
      </c>
      <c r="S158" s="12">
        <v>9</v>
      </c>
      <c r="T158" s="12" t="s">
        <v>12</v>
      </c>
    </row>
    <row r="159" spans="2:20" x14ac:dyDescent="0.5">
      <c r="B159" s="17" t="s">
        <v>7</v>
      </c>
      <c r="C159" s="11">
        <v>9</v>
      </c>
      <c r="D159" s="1">
        <v>8</v>
      </c>
      <c r="E159" s="1">
        <v>7</v>
      </c>
      <c r="F159" s="1">
        <v>6</v>
      </c>
      <c r="G159" s="1">
        <v>5</v>
      </c>
      <c r="H159" s="1">
        <v>4</v>
      </c>
      <c r="I159" s="1">
        <v>3</v>
      </c>
      <c r="J159" s="1">
        <v>2</v>
      </c>
      <c r="K159" s="1">
        <v>1</v>
      </c>
      <c r="L159" s="1">
        <v>2</v>
      </c>
      <c r="M159" s="1">
        <v>3</v>
      </c>
      <c r="N159" s="1">
        <v>4</v>
      </c>
      <c r="O159" s="56">
        <v>5</v>
      </c>
      <c r="P159" s="1">
        <v>6</v>
      </c>
      <c r="Q159" s="1">
        <v>7</v>
      </c>
      <c r="R159" s="1">
        <v>8</v>
      </c>
      <c r="S159" s="12">
        <v>9</v>
      </c>
      <c r="T159" s="12" t="s">
        <v>13</v>
      </c>
    </row>
    <row r="160" spans="2:20" x14ac:dyDescent="0.5">
      <c r="B160" s="17" t="s">
        <v>7</v>
      </c>
      <c r="C160" s="11">
        <v>9</v>
      </c>
      <c r="D160" s="1">
        <v>8</v>
      </c>
      <c r="E160" s="1">
        <v>7</v>
      </c>
      <c r="F160" s="1">
        <v>6</v>
      </c>
      <c r="G160" s="1">
        <v>5</v>
      </c>
      <c r="H160" s="1">
        <v>4</v>
      </c>
      <c r="I160" s="56">
        <v>3</v>
      </c>
      <c r="J160" s="1">
        <v>2</v>
      </c>
      <c r="K160" s="1">
        <v>1</v>
      </c>
      <c r="L160" s="1">
        <v>2</v>
      </c>
      <c r="M160" s="1">
        <v>3</v>
      </c>
      <c r="N160" s="1">
        <v>4</v>
      </c>
      <c r="O160" s="1">
        <v>5</v>
      </c>
      <c r="P160" s="1">
        <v>6</v>
      </c>
      <c r="Q160" s="1">
        <v>7</v>
      </c>
      <c r="R160" s="1">
        <v>8</v>
      </c>
      <c r="S160" s="12">
        <v>9</v>
      </c>
      <c r="T160" s="12" t="s">
        <v>14</v>
      </c>
    </row>
    <row r="161" spans="2:20" x14ac:dyDescent="0.5">
      <c r="B161" s="17" t="s">
        <v>7</v>
      </c>
      <c r="C161" s="11">
        <v>9</v>
      </c>
      <c r="D161" s="1">
        <v>8</v>
      </c>
      <c r="E161" s="1">
        <v>7</v>
      </c>
      <c r="F161" s="1">
        <v>6</v>
      </c>
      <c r="G161" s="1">
        <v>5</v>
      </c>
      <c r="H161" s="1">
        <v>4</v>
      </c>
      <c r="I161" s="1">
        <v>3</v>
      </c>
      <c r="J161" s="1">
        <v>2</v>
      </c>
      <c r="K161" s="1">
        <v>1</v>
      </c>
      <c r="L161" s="56">
        <v>2</v>
      </c>
      <c r="M161" s="1">
        <v>3</v>
      </c>
      <c r="N161" s="1">
        <v>4</v>
      </c>
      <c r="O161" s="1">
        <v>5</v>
      </c>
      <c r="P161" s="1">
        <v>6</v>
      </c>
      <c r="Q161" s="1">
        <v>7</v>
      </c>
      <c r="R161" s="1">
        <v>8</v>
      </c>
      <c r="S161" s="12">
        <v>9</v>
      </c>
      <c r="T161" s="12" t="s">
        <v>15</v>
      </c>
    </row>
    <row r="162" spans="2:20" x14ac:dyDescent="0.5">
      <c r="B162" s="17" t="s">
        <v>7</v>
      </c>
      <c r="C162" s="11">
        <v>9</v>
      </c>
      <c r="D162" s="1">
        <v>8</v>
      </c>
      <c r="E162" s="1">
        <v>7</v>
      </c>
      <c r="F162" s="1">
        <v>6</v>
      </c>
      <c r="G162" s="1">
        <v>5</v>
      </c>
      <c r="H162" s="1">
        <v>4</v>
      </c>
      <c r="I162" s="1">
        <v>3</v>
      </c>
      <c r="J162" s="1">
        <v>2</v>
      </c>
      <c r="K162" s="1">
        <v>1</v>
      </c>
      <c r="L162" s="1">
        <v>2</v>
      </c>
      <c r="M162" s="56">
        <v>3</v>
      </c>
      <c r="N162" s="1">
        <v>4</v>
      </c>
      <c r="O162" s="1">
        <v>5</v>
      </c>
      <c r="P162" s="1">
        <v>6</v>
      </c>
      <c r="Q162" s="1">
        <v>7</v>
      </c>
      <c r="R162" s="1">
        <v>8</v>
      </c>
      <c r="S162" s="12">
        <v>9</v>
      </c>
      <c r="T162" s="12" t="s">
        <v>16</v>
      </c>
    </row>
    <row r="163" spans="2:20" x14ac:dyDescent="0.5">
      <c r="B163" s="17" t="s">
        <v>7</v>
      </c>
      <c r="C163" s="11">
        <v>9</v>
      </c>
      <c r="D163" s="1">
        <v>8</v>
      </c>
      <c r="E163" s="1">
        <v>7</v>
      </c>
      <c r="F163" s="1">
        <v>6</v>
      </c>
      <c r="G163" s="1">
        <v>5</v>
      </c>
      <c r="H163" s="1">
        <v>4</v>
      </c>
      <c r="I163" s="1">
        <v>3</v>
      </c>
      <c r="J163" s="1">
        <v>2</v>
      </c>
      <c r="K163" s="1">
        <v>1</v>
      </c>
      <c r="L163" s="1">
        <v>2</v>
      </c>
      <c r="M163" s="1">
        <v>3</v>
      </c>
      <c r="N163" s="1">
        <v>4</v>
      </c>
      <c r="O163" s="1">
        <v>5</v>
      </c>
      <c r="P163" s="1">
        <v>6</v>
      </c>
      <c r="Q163" s="1">
        <v>7</v>
      </c>
      <c r="R163" s="1">
        <v>8</v>
      </c>
      <c r="S163" s="121">
        <v>9</v>
      </c>
      <c r="T163" s="12" t="s">
        <v>17</v>
      </c>
    </row>
    <row r="164" spans="2:20" x14ac:dyDescent="0.5">
      <c r="B164" s="19" t="s">
        <v>7</v>
      </c>
      <c r="C164" s="13">
        <v>9</v>
      </c>
      <c r="D164" s="14">
        <v>8</v>
      </c>
      <c r="E164" s="14">
        <v>7</v>
      </c>
      <c r="F164" s="14">
        <v>6</v>
      </c>
      <c r="G164" s="14">
        <v>5</v>
      </c>
      <c r="H164" s="14">
        <v>4</v>
      </c>
      <c r="I164" s="14">
        <v>3</v>
      </c>
      <c r="J164" s="14">
        <v>2</v>
      </c>
      <c r="K164" s="14">
        <v>1</v>
      </c>
      <c r="L164" s="14">
        <v>2</v>
      </c>
      <c r="M164" s="14">
        <v>3</v>
      </c>
      <c r="N164" s="57">
        <v>4</v>
      </c>
      <c r="O164" s="14">
        <v>5</v>
      </c>
      <c r="P164" s="14">
        <v>6</v>
      </c>
      <c r="Q164" s="14">
        <v>7</v>
      </c>
      <c r="R164" s="14">
        <v>8</v>
      </c>
      <c r="S164" s="15">
        <v>9</v>
      </c>
      <c r="T164" s="15" t="s">
        <v>18</v>
      </c>
    </row>
    <row r="165" spans="2:20" x14ac:dyDescent="0.5">
      <c r="B165" s="16" t="s">
        <v>8</v>
      </c>
      <c r="C165" s="11">
        <v>9</v>
      </c>
      <c r="D165" s="1">
        <v>8</v>
      </c>
      <c r="E165" s="1">
        <v>7</v>
      </c>
      <c r="F165" s="1">
        <v>6</v>
      </c>
      <c r="G165" s="1">
        <v>5</v>
      </c>
      <c r="H165" s="1">
        <v>4</v>
      </c>
      <c r="I165" s="56">
        <v>3</v>
      </c>
      <c r="J165" s="1">
        <v>2</v>
      </c>
      <c r="K165" s="1">
        <v>1</v>
      </c>
      <c r="L165" s="1">
        <v>2</v>
      </c>
      <c r="M165" s="1">
        <v>3</v>
      </c>
      <c r="N165" s="1">
        <v>4</v>
      </c>
      <c r="O165" s="1">
        <v>5</v>
      </c>
      <c r="P165" s="1">
        <v>6</v>
      </c>
      <c r="Q165" s="1">
        <v>7</v>
      </c>
      <c r="R165" s="1">
        <v>8</v>
      </c>
      <c r="S165" s="12">
        <v>9</v>
      </c>
      <c r="T165" s="12" t="s">
        <v>9</v>
      </c>
    </row>
    <row r="166" spans="2:20" x14ac:dyDescent="0.5">
      <c r="B166" s="17" t="s">
        <v>8</v>
      </c>
      <c r="C166" s="11">
        <v>9</v>
      </c>
      <c r="D166" s="1">
        <v>8</v>
      </c>
      <c r="E166" s="1">
        <v>7</v>
      </c>
      <c r="F166" s="1">
        <v>6</v>
      </c>
      <c r="G166" s="1">
        <v>5</v>
      </c>
      <c r="H166" s="1">
        <v>4</v>
      </c>
      <c r="I166" s="1">
        <v>3</v>
      </c>
      <c r="J166" s="1">
        <v>2</v>
      </c>
      <c r="K166" s="1">
        <v>1</v>
      </c>
      <c r="L166" s="1">
        <v>2</v>
      </c>
      <c r="M166" s="56">
        <v>3</v>
      </c>
      <c r="N166" s="1">
        <v>4</v>
      </c>
      <c r="O166" s="1">
        <v>5</v>
      </c>
      <c r="P166" s="1">
        <v>6</v>
      </c>
      <c r="Q166" s="1">
        <v>7</v>
      </c>
      <c r="R166" s="1">
        <v>8</v>
      </c>
      <c r="S166" s="12">
        <v>9</v>
      </c>
      <c r="T166" s="12" t="s">
        <v>10</v>
      </c>
    </row>
    <row r="167" spans="2:20" x14ac:dyDescent="0.5">
      <c r="B167" s="17" t="s">
        <v>8</v>
      </c>
      <c r="C167" s="11">
        <v>9</v>
      </c>
      <c r="D167" s="1">
        <v>8</v>
      </c>
      <c r="E167" s="1">
        <v>7</v>
      </c>
      <c r="F167" s="1">
        <v>6</v>
      </c>
      <c r="G167" s="1">
        <v>5</v>
      </c>
      <c r="H167" s="1">
        <v>4</v>
      </c>
      <c r="I167" s="1">
        <v>3</v>
      </c>
      <c r="J167" s="1">
        <v>2</v>
      </c>
      <c r="K167" s="1">
        <v>1</v>
      </c>
      <c r="L167" s="56">
        <v>2</v>
      </c>
      <c r="M167" s="1">
        <v>3</v>
      </c>
      <c r="N167" s="1">
        <v>4</v>
      </c>
      <c r="O167" s="1">
        <v>5</v>
      </c>
      <c r="P167" s="1">
        <v>6</v>
      </c>
      <c r="Q167" s="1">
        <v>7</v>
      </c>
      <c r="R167" s="1">
        <v>8</v>
      </c>
      <c r="S167" s="12">
        <v>9</v>
      </c>
      <c r="T167" s="12" t="s">
        <v>11</v>
      </c>
    </row>
    <row r="168" spans="2:20" x14ac:dyDescent="0.5">
      <c r="B168" s="17" t="s">
        <v>8</v>
      </c>
      <c r="C168" s="11">
        <v>9</v>
      </c>
      <c r="D168" s="1">
        <v>8</v>
      </c>
      <c r="E168" s="1">
        <v>7</v>
      </c>
      <c r="F168" s="1">
        <v>6</v>
      </c>
      <c r="G168" s="1">
        <v>5</v>
      </c>
      <c r="H168" s="1">
        <v>4</v>
      </c>
      <c r="I168" s="1">
        <v>3</v>
      </c>
      <c r="J168" s="1">
        <v>2</v>
      </c>
      <c r="K168" s="1">
        <v>1</v>
      </c>
      <c r="L168" s="56">
        <v>2</v>
      </c>
      <c r="M168" s="1">
        <v>3</v>
      </c>
      <c r="N168" s="1">
        <v>4</v>
      </c>
      <c r="O168" s="1">
        <v>5</v>
      </c>
      <c r="P168" s="1">
        <v>6</v>
      </c>
      <c r="Q168" s="1">
        <v>7</v>
      </c>
      <c r="R168" s="1">
        <v>8</v>
      </c>
      <c r="S168" s="12">
        <v>9</v>
      </c>
      <c r="T168" s="12" t="s">
        <v>12</v>
      </c>
    </row>
    <row r="169" spans="2:20" x14ac:dyDescent="0.5">
      <c r="B169" s="17" t="s">
        <v>8</v>
      </c>
      <c r="C169" s="11">
        <v>9</v>
      </c>
      <c r="D169" s="1">
        <v>8</v>
      </c>
      <c r="E169" s="1">
        <v>7</v>
      </c>
      <c r="F169" s="1">
        <v>6</v>
      </c>
      <c r="G169" s="1">
        <v>5</v>
      </c>
      <c r="H169" s="1">
        <v>4</v>
      </c>
      <c r="I169" s="1">
        <v>3</v>
      </c>
      <c r="J169" s="1">
        <v>2</v>
      </c>
      <c r="K169" s="1">
        <v>1</v>
      </c>
      <c r="L169" s="1">
        <v>2</v>
      </c>
      <c r="M169" s="1">
        <v>3</v>
      </c>
      <c r="N169" s="1">
        <v>4</v>
      </c>
      <c r="O169" s="56">
        <v>5</v>
      </c>
      <c r="P169" s="1">
        <v>6</v>
      </c>
      <c r="Q169" s="1">
        <v>7</v>
      </c>
      <c r="R169" s="1">
        <v>8</v>
      </c>
      <c r="S169" s="12">
        <v>9</v>
      </c>
      <c r="T169" s="12" t="s">
        <v>13</v>
      </c>
    </row>
    <row r="170" spans="2:20" x14ac:dyDescent="0.5">
      <c r="B170" s="17" t="s">
        <v>8</v>
      </c>
      <c r="C170" s="11">
        <v>9</v>
      </c>
      <c r="D170" s="1">
        <v>8</v>
      </c>
      <c r="E170" s="1">
        <v>7</v>
      </c>
      <c r="F170" s="1">
        <v>6</v>
      </c>
      <c r="G170" s="1">
        <v>5</v>
      </c>
      <c r="H170" s="1">
        <v>4</v>
      </c>
      <c r="I170" s="1">
        <v>3</v>
      </c>
      <c r="J170" s="1">
        <v>2</v>
      </c>
      <c r="K170" s="1">
        <v>1</v>
      </c>
      <c r="L170" s="1">
        <v>2</v>
      </c>
      <c r="M170" s="56">
        <v>3</v>
      </c>
      <c r="N170" s="1">
        <v>4</v>
      </c>
      <c r="O170" s="1">
        <v>5</v>
      </c>
      <c r="P170" s="1">
        <v>6</v>
      </c>
      <c r="Q170" s="1">
        <v>7</v>
      </c>
      <c r="R170" s="1">
        <v>8</v>
      </c>
      <c r="S170" s="12">
        <v>9</v>
      </c>
      <c r="T170" s="12" t="s">
        <v>14</v>
      </c>
    </row>
    <row r="171" spans="2:20" x14ac:dyDescent="0.5">
      <c r="B171" s="17" t="s">
        <v>8</v>
      </c>
      <c r="C171" s="11">
        <v>9</v>
      </c>
      <c r="D171" s="1">
        <v>8</v>
      </c>
      <c r="E171" s="1">
        <v>7</v>
      </c>
      <c r="F171" s="1">
        <v>6</v>
      </c>
      <c r="G171" s="1">
        <v>5</v>
      </c>
      <c r="H171" s="1">
        <v>4</v>
      </c>
      <c r="I171" s="1">
        <v>3</v>
      </c>
      <c r="J171" s="1">
        <v>2</v>
      </c>
      <c r="K171" s="1">
        <v>1</v>
      </c>
      <c r="L171" s="1">
        <v>2</v>
      </c>
      <c r="M171" s="1">
        <v>3</v>
      </c>
      <c r="N171" s="56">
        <v>4</v>
      </c>
      <c r="O171" s="1">
        <v>5</v>
      </c>
      <c r="P171" s="1">
        <v>6</v>
      </c>
      <c r="Q171" s="1">
        <v>7</v>
      </c>
      <c r="R171" s="1">
        <v>8</v>
      </c>
      <c r="S171" s="12">
        <v>9</v>
      </c>
      <c r="T171" s="12" t="s">
        <v>15</v>
      </c>
    </row>
    <row r="172" spans="2:20" x14ac:dyDescent="0.5">
      <c r="B172" s="17" t="s">
        <v>8</v>
      </c>
      <c r="C172" s="11">
        <v>9</v>
      </c>
      <c r="D172" s="1">
        <v>8</v>
      </c>
      <c r="E172" s="1">
        <v>7</v>
      </c>
      <c r="F172" s="1">
        <v>6</v>
      </c>
      <c r="G172" s="1">
        <v>5</v>
      </c>
      <c r="H172" s="1">
        <v>4</v>
      </c>
      <c r="I172" s="1">
        <v>3</v>
      </c>
      <c r="J172" s="1">
        <v>2</v>
      </c>
      <c r="K172" s="1">
        <v>1</v>
      </c>
      <c r="L172" s="1">
        <v>2</v>
      </c>
      <c r="M172" s="56">
        <v>3</v>
      </c>
      <c r="N172" s="1">
        <v>4</v>
      </c>
      <c r="O172" s="1">
        <v>5</v>
      </c>
      <c r="P172" s="1">
        <v>6</v>
      </c>
      <c r="Q172" s="1">
        <v>7</v>
      </c>
      <c r="R172" s="1">
        <v>8</v>
      </c>
      <c r="S172" s="12">
        <v>9</v>
      </c>
      <c r="T172" s="12" t="s">
        <v>16</v>
      </c>
    </row>
    <row r="173" spans="2:20" x14ac:dyDescent="0.5">
      <c r="B173" s="17" t="s">
        <v>8</v>
      </c>
      <c r="C173" s="11">
        <v>9</v>
      </c>
      <c r="D173" s="1">
        <v>8</v>
      </c>
      <c r="E173" s="1">
        <v>7</v>
      </c>
      <c r="F173" s="1">
        <v>6</v>
      </c>
      <c r="G173" s="1">
        <v>5</v>
      </c>
      <c r="H173" s="1">
        <v>4</v>
      </c>
      <c r="I173" s="1">
        <v>3</v>
      </c>
      <c r="J173" s="1">
        <v>2</v>
      </c>
      <c r="K173" s="1">
        <v>1</v>
      </c>
      <c r="L173" s="1">
        <v>2</v>
      </c>
      <c r="M173" s="1">
        <v>3</v>
      </c>
      <c r="N173" s="1">
        <v>4</v>
      </c>
      <c r="O173" s="1">
        <v>5</v>
      </c>
      <c r="P173" s="1">
        <v>6</v>
      </c>
      <c r="Q173" s="1">
        <v>7</v>
      </c>
      <c r="R173" s="56">
        <v>8</v>
      </c>
      <c r="S173" s="12">
        <v>9</v>
      </c>
      <c r="T173" s="12" t="s">
        <v>17</v>
      </c>
    </row>
    <row r="174" spans="2:20" x14ac:dyDescent="0.5">
      <c r="B174" s="19" t="s">
        <v>8</v>
      </c>
      <c r="C174" s="13">
        <v>9</v>
      </c>
      <c r="D174" s="14">
        <v>8</v>
      </c>
      <c r="E174" s="14">
        <v>7</v>
      </c>
      <c r="F174" s="14">
        <v>6</v>
      </c>
      <c r="G174" s="14">
        <v>5</v>
      </c>
      <c r="H174" s="14">
        <v>4</v>
      </c>
      <c r="I174" s="14">
        <v>3</v>
      </c>
      <c r="J174" s="14">
        <v>2</v>
      </c>
      <c r="K174" s="14">
        <v>1</v>
      </c>
      <c r="L174" s="14">
        <v>2</v>
      </c>
      <c r="M174" s="14">
        <v>3</v>
      </c>
      <c r="N174" s="14">
        <v>4</v>
      </c>
      <c r="O174" s="57">
        <v>5</v>
      </c>
      <c r="P174" s="14">
        <v>6</v>
      </c>
      <c r="Q174" s="14">
        <v>7</v>
      </c>
      <c r="R174" s="14">
        <v>8</v>
      </c>
      <c r="S174" s="15">
        <v>9</v>
      </c>
      <c r="T174" s="15" t="s">
        <v>18</v>
      </c>
    </row>
    <row r="175" spans="2:20" x14ac:dyDescent="0.5">
      <c r="B175" s="16" t="s">
        <v>9</v>
      </c>
      <c r="C175" s="11">
        <v>9</v>
      </c>
      <c r="D175" s="1">
        <v>8</v>
      </c>
      <c r="E175" s="1">
        <v>7</v>
      </c>
      <c r="F175" s="1">
        <v>6</v>
      </c>
      <c r="G175" s="1">
        <v>5</v>
      </c>
      <c r="H175" s="1">
        <v>4</v>
      </c>
      <c r="I175" s="1">
        <v>3</v>
      </c>
      <c r="J175" s="1">
        <v>2</v>
      </c>
      <c r="K175" s="1">
        <v>1</v>
      </c>
      <c r="L175" s="1">
        <v>2</v>
      </c>
      <c r="M175" s="1">
        <v>3</v>
      </c>
      <c r="N175" s="56">
        <v>4</v>
      </c>
      <c r="O175" s="1">
        <v>5</v>
      </c>
      <c r="P175" s="1">
        <v>6</v>
      </c>
      <c r="Q175" s="1">
        <v>7</v>
      </c>
      <c r="R175" s="1">
        <v>8</v>
      </c>
      <c r="S175" s="12">
        <v>9</v>
      </c>
      <c r="T175" s="12" t="s">
        <v>10</v>
      </c>
    </row>
    <row r="176" spans="2:20" x14ac:dyDescent="0.5">
      <c r="B176" s="17" t="s">
        <v>9</v>
      </c>
      <c r="C176" s="11">
        <v>9</v>
      </c>
      <c r="D176" s="1">
        <v>8</v>
      </c>
      <c r="E176" s="1">
        <v>7</v>
      </c>
      <c r="F176" s="1">
        <v>6</v>
      </c>
      <c r="G176" s="1">
        <v>5</v>
      </c>
      <c r="H176" s="1">
        <v>4</v>
      </c>
      <c r="I176" s="1">
        <v>3</v>
      </c>
      <c r="J176" s="1">
        <v>2</v>
      </c>
      <c r="K176" s="1">
        <v>1</v>
      </c>
      <c r="L176" s="1">
        <v>2</v>
      </c>
      <c r="M176" s="56">
        <v>3</v>
      </c>
      <c r="N176" s="1">
        <v>4</v>
      </c>
      <c r="O176" s="1">
        <v>5</v>
      </c>
      <c r="P176" s="1">
        <v>6</v>
      </c>
      <c r="Q176" s="1">
        <v>7</v>
      </c>
      <c r="R176" s="1">
        <v>8</v>
      </c>
      <c r="S176" s="12">
        <v>9</v>
      </c>
      <c r="T176" s="12" t="s">
        <v>11</v>
      </c>
    </row>
    <row r="177" spans="2:20" x14ac:dyDescent="0.5">
      <c r="B177" s="17" t="s">
        <v>9</v>
      </c>
      <c r="C177" s="11">
        <v>9</v>
      </c>
      <c r="D177" s="1">
        <v>8</v>
      </c>
      <c r="E177" s="1">
        <v>7</v>
      </c>
      <c r="F177" s="1">
        <v>6</v>
      </c>
      <c r="G177" s="1">
        <v>5</v>
      </c>
      <c r="H177" s="1">
        <v>4</v>
      </c>
      <c r="I177" s="1">
        <v>3</v>
      </c>
      <c r="J177" s="1">
        <v>2</v>
      </c>
      <c r="K177" s="1">
        <v>1</v>
      </c>
      <c r="L177" s="56">
        <v>2</v>
      </c>
      <c r="M177" s="1">
        <v>3</v>
      </c>
      <c r="N177" s="1">
        <v>4</v>
      </c>
      <c r="O177" s="1">
        <v>5</v>
      </c>
      <c r="P177" s="1">
        <v>6</v>
      </c>
      <c r="Q177" s="1">
        <v>7</v>
      </c>
      <c r="R177" s="1">
        <v>8</v>
      </c>
      <c r="S177" s="12">
        <v>9</v>
      </c>
      <c r="T177" s="12" t="s">
        <v>12</v>
      </c>
    </row>
    <row r="178" spans="2:20" x14ac:dyDescent="0.5">
      <c r="B178" s="17" t="s">
        <v>9</v>
      </c>
      <c r="C178" s="11">
        <v>9</v>
      </c>
      <c r="D178" s="1">
        <v>8</v>
      </c>
      <c r="E178" s="1">
        <v>7</v>
      </c>
      <c r="F178" s="1">
        <v>6</v>
      </c>
      <c r="G178" s="1">
        <v>5</v>
      </c>
      <c r="H178" s="1">
        <v>4</v>
      </c>
      <c r="I178" s="1">
        <v>3</v>
      </c>
      <c r="J178" s="1">
        <v>2</v>
      </c>
      <c r="K178" s="1">
        <v>1</v>
      </c>
      <c r="L178" s="1">
        <v>2</v>
      </c>
      <c r="M178" s="1">
        <v>3</v>
      </c>
      <c r="N178" s="1">
        <v>4</v>
      </c>
      <c r="O178" s="1">
        <v>5</v>
      </c>
      <c r="P178" s="1">
        <v>6</v>
      </c>
      <c r="Q178" s="1">
        <v>7</v>
      </c>
      <c r="R178" s="1">
        <v>8</v>
      </c>
      <c r="S178" s="121">
        <v>9</v>
      </c>
      <c r="T178" s="12" t="s">
        <v>13</v>
      </c>
    </row>
    <row r="179" spans="2:20" x14ac:dyDescent="0.5">
      <c r="B179" s="17" t="s">
        <v>9</v>
      </c>
      <c r="C179" s="11">
        <v>9</v>
      </c>
      <c r="D179" s="1">
        <v>8</v>
      </c>
      <c r="E179" s="1">
        <v>7</v>
      </c>
      <c r="F179" s="1">
        <v>6</v>
      </c>
      <c r="G179" s="1">
        <v>5</v>
      </c>
      <c r="H179" s="1">
        <v>4</v>
      </c>
      <c r="I179" s="1">
        <v>3</v>
      </c>
      <c r="J179" s="1">
        <v>2</v>
      </c>
      <c r="K179" s="1">
        <v>1</v>
      </c>
      <c r="L179" s="56">
        <v>2</v>
      </c>
      <c r="M179" s="1">
        <v>3</v>
      </c>
      <c r="N179" s="1">
        <v>4</v>
      </c>
      <c r="O179" s="1">
        <v>5</v>
      </c>
      <c r="P179" s="1">
        <v>6</v>
      </c>
      <c r="Q179" s="1">
        <v>7</v>
      </c>
      <c r="R179" s="1">
        <v>8</v>
      </c>
      <c r="S179" s="12">
        <v>9</v>
      </c>
      <c r="T179" s="12" t="s">
        <v>14</v>
      </c>
    </row>
    <row r="180" spans="2:20" x14ac:dyDescent="0.5">
      <c r="B180" s="17" t="s">
        <v>9</v>
      </c>
      <c r="C180" s="11">
        <v>9</v>
      </c>
      <c r="D180" s="1">
        <v>8</v>
      </c>
      <c r="E180" s="1">
        <v>7</v>
      </c>
      <c r="F180" s="1">
        <v>6</v>
      </c>
      <c r="G180" s="1">
        <v>5</v>
      </c>
      <c r="H180" s="1">
        <v>4</v>
      </c>
      <c r="I180" s="1">
        <v>3</v>
      </c>
      <c r="J180" s="1">
        <v>2</v>
      </c>
      <c r="K180" s="1">
        <v>1</v>
      </c>
      <c r="L180" s="1">
        <v>2</v>
      </c>
      <c r="M180" s="1">
        <v>3</v>
      </c>
      <c r="N180" s="56">
        <v>4</v>
      </c>
      <c r="O180" s="1">
        <v>5</v>
      </c>
      <c r="P180" s="1">
        <v>6</v>
      </c>
      <c r="Q180" s="1">
        <v>7</v>
      </c>
      <c r="R180" s="1">
        <v>8</v>
      </c>
      <c r="S180" s="12">
        <v>9</v>
      </c>
      <c r="T180" s="12" t="s">
        <v>15</v>
      </c>
    </row>
    <row r="181" spans="2:20" x14ac:dyDescent="0.5">
      <c r="B181" s="17" t="s">
        <v>9</v>
      </c>
      <c r="C181" s="11">
        <v>9</v>
      </c>
      <c r="D181" s="1">
        <v>8</v>
      </c>
      <c r="E181" s="1">
        <v>7</v>
      </c>
      <c r="F181" s="1">
        <v>6</v>
      </c>
      <c r="G181" s="1">
        <v>5</v>
      </c>
      <c r="H181" s="1">
        <v>4</v>
      </c>
      <c r="I181" s="1">
        <v>3</v>
      </c>
      <c r="J181" s="1">
        <v>2</v>
      </c>
      <c r="K181" s="1">
        <v>1</v>
      </c>
      <c r="L181" s="1">
        <v>2</v>
      </c>
      <c r="M181" s="56">
        <v>3</v>
      </c>
      <c r="N181" s="1">
        <v>4</v>
      </c>
      <c r="O181" s="1">
        <v>5</v>
      </c>
      <c r="P181" s="1">
        <v>6</v>
      </c>
      <c r="Q181" s="1">
        <v>7</v>
      </c>
      <c r="R181" s="1">
        <v>8</v>
      </c>
      <c r="S181" s="12">
        <v>9</v>
      </c>
      <c r="T181" s="12" t="s">
        <v>16</v>
      </c>
    </row>
    <row r="182" spans="2:20" x14ac:dyDescent="0.5">
      <c r="B182" s="17" t="s">
        <v>9</v>
      </c>
      <c r="C182" s="11">
        <v>9</v>
      </c>
      <c r="D182" s="1">
        <v>8</v>
      </c>
      <c r="E182" s="1">
        <v>7</v>
      </c>
      <c r="F182" s="1">
        <v>6</v>
      </c>
      <c r="G182" s="1">
        <v>5</v>
      </c>
      <c r="H182" s="1">
        <v>4</v>
      </c>
      <c r="I182" s="1">
        <v>3</v>
      </c>
      <c r="J182" s="1">
        <v>2</v>
      </c>
      <c r="K182" s="1">
        <v>1</v>
      </c>
      <c r="L182" s="1">
        <v>2</v>
      </c>
      <c r="M182" s="1">
        <v>3</v>
      </c>
      <c r="N182" s="1">
        <v>4</v>
      </c>
      <c r="O182" s="1">
        <v>5</v>
      </c>
      <c r="P182" s="1">
        <v>6</v>
      </c>
      <c r="Q182" s="1">
        <v>7</v>
      </c>
      <c r="R182" s="1">
        <v>8</v>
      </c>
      <c r="S182" s="121">
        <v>9</v>
      </c>
      <c r="T182" s="12" t="s">
        <v>17</v>
      </c>
    </row>
    <row r="183" spans="2:20" x14ac:dyDescent="0.5">
      <c r="B183" s="19" t="s">
        <v>9</v>
      </c>
      <c r="C183" s="13">
        <v>9</v>
      </c>
      <c r="D183" s="14">
        <v>8</v>
      </c>
      <c r="E183" s="14">
        <v>7</v>
      </c>
      <c r="F183" s="14">
        <v>6</v>
      </c>
      <c r="G183" s="14">
        <v>5</v>
      </c>
      <c r="H183" s="14">
        <v>4</v>
      </c>
      <c r="I183" s="14">
        <v>3</v>
      </c>
      <c r="J183" s="14">
        <v>2</v>
      </c>
      <c r="K183" s="14">
        <v>1</v>
      </c>
      <c r="L183" s="14">
        <v>2</v>
      </c>
      <c r="M183" s="14">
        <v>3</v>
      </c>
      <c r="N183" s="57">
        <v>4</v>
      </c>
      <c r="O183" s="14">
        <v>5</v>
      </c>
      <c r="P183" s="14">
        <v>6</v>
      </c>
      <c r="Q183" s="14">
        <v>7</v>
      </c>
      <c r="R183" s="14">
        <v>8</v>
      </c>
      <c r="S183" s="15">
        <v>9</v>
      </c>
      <c r="T183" s="15" t="s">
        <v>18</v>
      </c>
    </row>
    <row r="184" spans="2:20" x14ac:dyDescent="0.5">
      <c r="B184" s="16" t="s">
        <v>10</v>
      </c>
      <c r="C184" s="11">
        <v>9</v>
      </c>
      <c r="D184" s="1">
        <v>8</v>
      </c>
      <c r="E184" s="1">
        <v>7</v>
      </c>
      <c r="F184" s="1">
        <v>6</v>
      </c>
      <c r="G184" s="1">
        <v>5</v>
      </c>
      <c r="H184" s="1">
        <v>4</v>
      </c>
      <c r="I184" s="56">
        <v>3</v>
      </c>
      <c r="J184" s="1">
        <v>2</v>
      </c>
      <c r="K184" s="1">
        <v>1</v>
      </c>
      <c r="L184" s="1">
        <v>2</v>
      </c>
      <c r="M184" s="1">
        <v>3</v>
      </c>
      <c r="N184" s="1">
        <v>4</v>
      </c>
      <c r="O184" s="1">
        <v>5</v>
      </c>
      <c r="P184" s="1">
        <v>6</v>
      </c>
      <c r="Q184" s="1">
        <v>7</v>
      </c>
      <c r="R184" s="1">
        <v>8</v>
      </c>
      <c r="S184" s="12">
        <v>9</v>
      </c>
      <c r="T184" s="12" t="s">
        <v>11</v>
      </c>
    </row>
    <row r="185" spans="2:20" x14ac:dyDescent="0.5">
      <c r="B185" s="17" t="s">
        <v>10</v>
      </c>
      <c r="C185" s="11">
        <v>9</v>
      </c>
      <c r="D185" s="1">
        <v>8</v>
      </c>
      <c r="E185" s="1">
        <v>7</v>
      </c>
      <c r="F185" s="1">
        <v>6</v>
      </c>
      <c r="G185" s="1">
        <v>5</v>
      </c>
      <c r="H185" s="1">
        <v>4</v>
      </c>
      <c r="I185" s="1">
        <v>3</v>
      </c>
      <c r="J185" s="56">
        <v>2</v>
      </c>
      <c r="K185" s="1">
        <v>1</v>
      </c>
      <c r="L185" s="1">
        <v>2</v>
      </c>
      <c r="M185" s="1">
        <v>3</v>
      </c>
      <c r="N185" s="1">
        <v>4</v>
      </c>
      <c r="O185" s="1">
        <v>5</v>
      </c>
      <c r="P185" s="1">
        <v>6</v>
      </c>
      <c r="Q185" s="1">
        <v>7</v>
      </c>
      <c r="R185" s="1">
        <v>8</v>
      </c>
      <c r="S185" s="12">
        <v>9</v>
      </c>
      <c r="T185" s="12" t="s">
        <v>12</v>
      </c>
    </row>
    <row r="186" spans="2:20" x14ac:dyDescent="0.5">
      <c r="B186" s="17" t="s">
        <v>10</v>
      </c>
      <c r="C186" s="11">
        <v>9</v>
      </c>
      <c r="D186" s="1">
        <v>8</v>
      </c>
      <c r="E186" s="1">
        <v>7</v>
      </c>
      <c r="F186" s="1">
        <v>6</v>
      </c>
      <c r="G186" s="1">
        <v>5</v>
      </c>
      <c r="H186" s="1">
        <v>4</v>
      </c>
      <c r="I186" s="1">
        <v>3</v>
      </c>
      <c r="J186" s="1">
        <v>2</v>
      </c>
      <c r="K186" s="1">
        <v>1</v>
      </c>
      <c r="L186" s="1">
        <v>2</v>
      </c>
      <c r="M186" s="1">
        <v>3</v>
      </c>
      <c r="N186" s="1">
        <v>4</v>
      </c>
      <c r="O186" s="1">
        <v>5</v>
      </c>
      <c r="P186" s="1">
        <v>6</v>
      </c>
      <c r="Q186" s="1">
        <v>7</v>
      </c>
      <c r="R186" s="56">
        <v>8</v>
      </c>
      <c r="S186" s="12">
        <v>9</v>
      </c>
      <c r="T186" s="12" t="s">
        <v>13</v>
      </c>
    </row>
    <row r="187" spans="2:20" x14ac:dyDescent="0.5">
      <c r="B187" s="17" t="s">
        <v>10</v>
      </c>
      <c r="C187" s="11">
        <v>9</v>
      </c>
      <c r="D187" s="1">
        <v>8</v>
      </c>
      <c r="E187" s="1">
        <v>7</v>
      </c>
      <c r="F187" s="1">
        <v>6</v>
      </c>
      <c r="G187" s="1">
        <v>5</v>
      </c>
      <c r="H187" s="1">
        <v>4</v>
      </c>
      <c r="I187" s="1">
        <v>3</v>
      </c>
      <c r="J187" s="56">
        <v>2</v>
      </c>
      <c r="K187" s="1">
        <v>1</v>
      </c>
      <c r="L187" s="1">
        <v>2</v>
      </c>
      <c r="M187" s="1">
        <v>3</v>
      </c>
      <c r="N187" s="1">
        <v>4</v>
      </c>
      <c r="O187" s="1">
        <v>5</v>
      </c>
      <c r="P187" s="1">
        <v>6</v>
      </c>
      <c r="Q187" s="1">
        <v>7</v>
      </c>
      <c r="R187" s="1">
        <v>8</v>
      </c>
      <c r="S187" s="12">
        <v>9</v>
      </c>
      <c r="T187" s="12" t="s">
        <v>14</v>
      </c>
    </row>
    <row r="188" spans="2:20" x14ac:dyDescent="0.5">
      <c r="B188" s="17" t="s">
        <v>10</v>
      </c>
      <c r="C188" s="11">
        <v>9</v>
      </c>
      <c r="D188" s="1">
        <v>8</v>
      </c>
      <c r="E188" s="1">
        <v>7</v>
      </c>
      <c r="F188" s="1">
        <v>6</v>
      </c>
      <c r="G188" s="1">
        <v>5</v>
      </c>
      <c r="H188" s="1">
        <v>4</v>
      </c>
      <c r="I188" s="1">
        <v>3</v>
      </c>
      <c r="J188" s="1">
        <v>2</v>
      </c>
      <c r="K188" s="1">
        <v>1</v>
      </c>
      <c r="L188" s="56">
        <v>2</v>
      </c>
      <c r="M188" s="1">
        <v>3</v>
      </c>
      <c r="N188" s="1">
        <v>4</v>
      </c>
      <c r="O188" s="1">
        <v>5</v>
      </c>
      <c r="P188" s="1">
        <v>6</v>
      </c>
      <c r="Q188" s="1">
        <v>7</v>
      </c>
      <c r="R188" s="1">
        <v>8</v>
      </c>
      <c r="S188" s="12">
        <v>9</v>
      </c>
      <c r="T188" s="12" t="s">
        <v>15</v>
      </c>
    </row>
    <row r="189" spans="2:20" x14ac:dyDescent="0.5">
      <c r="B189" s="17" t="s">
        <v>10</v>
      </c>
      <c r="C189" s="11">
        <v>9</v>
      </c>
      <c r="D189" s="1">
        <v>8</v>
      </c>
      <c r="E189" s="1">
        <v>7</v>
      </c>
      <c r="F189" s="1">
        <v>6</v>
      </c>
      <c r="G189" s="1">
        <v>5</v>
      </c>
      <c r="H189" s="1">
        <v>4</v>
      </c>
      <c r="I189" s="1">
        <v>3</v>
      </c>
      <c r="J189" s="1">
        <v>2</v>
      </c>
      <c r="K189" s="1">
        <v>1</v>
      </c>
      <c r="L189" s="1">
        <v>2</v>
      </c>
      <c r="M189" s="56">
        <v>3</v>
      </c>
      <c r="N189" s="1">
        <v>4</v>
      </c>
      <c r="O189" s="1">
        <v>5</v>
      </c>
      <c r="P189" s="1">
        <v>6</v>
      </c>
      <c r="Q189" s="1">
        <v>7</v>
      </c>
      <c r="R189" s="1">
        <v>8</v>
      </c>
      <c r="S189" s="12">
        <v>9</v>
      </c>
      <c r="T189" s="12" t="s">
        <v>16</v>
      </c>
    </row>
    <row r="190" spans="2:20" x14ac:dyDescent="0.5">
      <c r="B190" s="17" t="s">
        <v>10</v>
      </c>
      <c r="C190" s="11">
        <v>9</v>
      </c>
      <c r="D190" s="1">
        <v>8</v>
      </c>
      <c r="E190" s="1">
        <v>7</v>
      </c>
      <c r="F190" s="1">
        <v>6</v>
      </c>
      <c r="G190" s="1">
        <v>5</v>
      </c>
      <c r="H190" s="1">
        <v>4</v>
      </c>
      <c r="I190" s="1">
        <v>3</v>
      </c>
      <c r="J190" s="1">
        <v>2</v>
      </c>
      <c r="K190" s="1">
        <v>1</v>
      </c>
      <c r="L190" s="1">
        <v>2</v>
      </c>
      <c r="M190" s="1">
        <v>3</v>
      </c>
      <c r="N190" s="1">
        <v>4</v>
      </c>
      <c r="O190" s="1">
        <v>5</v>
      </c>
      <c r="P190" s="1">
        <v>6</v>
      </c>
      <c r="Q190" s="1">
        <v>7</v>
      </c>
      <c r="R190" s="56">
        <v>8</v>
      </c>
      <c r="S190" s="12">
        <v>9</v>
      </c>
      <c r="T190" s="12" t="s">
        <v>17</v>
      </c>
    </row>
    <row r="191" spans="2:20" x14ac:dyDescent="0.5">
      <c r="B191" s="19" t="s">
        <v>10</v>
      </c>
      <c r="C191" s="13">
        <v>9</v>
      </c>
      <c r="D191" s="14">
        <v>8</v>
      </c>
      <c r="E191" s="14">
        <v>7</v>
      </c>
      <c r="F191" s="14">
        <v>6</v>
      </c>
      <c r="G191" s="14">
        <v>5</v>
      </c>
      <c r="H191" s="14">
        <v>4</v>
      </c>
      <c r="I191" s="14">
        <v>3</v>
      </c>
      <c r="J191" s="14">
        <v>2</v>
      </c>
      <c r="K191" s="14">
        <v>1</v>
      </c>
      <c r="L191" s="14">
        <v>2</v>
      </c>
      <c r="M191" s="14">
        <v>3</v>
      </c>
      <c r="N191" s="57">
        <v>4</v>
      </c>
      <c r="O191" s="14">
        <v>5</v>
      </c>
      <c r="P191" s="14">
        <v>6</v>
      </c>
      <c r="Q191" s="14">
        <v>7</v>
      </c>
      <c r="R191" s="14">
        <v>8</v>
      </c>
      <c r="S191" s="15">
        <v>9</v>
      </c>
      <c r="T191" s="15" t="s">
        <v>18</v>
      </c>
    </row>
    <row r="192" spans="2:20" x14ac:dyDescent="0.5">
      <c r="B192" s="16" t="s">
        <v>11</v>
      </c>
      <c r="C192" s="11">
        <v>9</v>
      </c>
      <c r="D192" s="1">
        <v>8</v>
      </c>
      <c r="E192" s="1">
        <v>7</v>
      </c>
      <c r="F192" s="1">
        <v>6</v>
      </c>
      <c r="G192" s="1">
        <v>5</v>
      </c>
      <c r="H192" s="1">
        <v>4</v>
      </c>
      <c r="I192" s="56">
        <v>3</v>
      </c>
      <c r="J192" s="1">
        <v>2</v>
      </c>
      <c r="K192" s="1">
        <v>1</v>
      </c>
      <c r="L192" s="1">
        <v>2</v>
      </c>
      <c r="M192" s="1">
        <v>3</v>
      </c>
      <c r="N192" s="1">
        <v>4</v>
      </c>
      <c r="O192" s="1">
        <v>5</v>
      </c>
      <c r="P192" s="1">
        <v>6</v>
      </c>
      <c r="Q192" s="1">
        <v>7</v>
      </c>
      <c r="R192" s="1">
        <v>8</v>
      </c>
      <c r="S192" s="12">
        <v>9</v>
      </c>
      <c r="T192" s="12" t="s">
        <v>12</v>
      </c>
    </row>
    <row r="193" spans="2:20" x14ac:dyDescent="0.5">
      <c r="B193" s="17" t="s">
        <v>11</v>
      </c>
      <c r="C193" s="11">
        <v>9</v>
      </c>
      <c r="D193" s="1">
        <v>8</v>
      </c>
      <c r="E193" s="1">
        <v>7</v>
      </c>
      <c r="F193" s="1">
        <v>6</v>
      </c>
      <c r="G193" s="1">
        <v>5</v>
      </c>
      <c r="H193" s="1">
        <v>4</v>
      </c>
      <c r="I193" s="1">
        <v>3</v>
      </c>
      <c r="J193" s="1">
        <v>2</v>
      </c>
      <c r="K193" s="1">
        <v>1</v>
      </c>
      <c r="L193" s="1">
        <v>2</v>
      </c>
      <c r="M193" s="1">
        <v>3</v>
      </c>
      <c r="N193" s="1">
        <v>4</v>
      </c>
      <c r="O193" s="56">
        <v>5</v>
      </c>
      <c r="P193" s="1">
        <v>6</v>
      </c>
      <c r="Q193" s="1">
        <v>7</v>
      </c>
      <c r="R193" s="1">
        <v>8</v>
      </c>
      <c r="S193" s="12">
        <v>9</v>
      </c>
      <c r="T193" s="12" t="s">
        <v>13</v>
      </c>
    </row>
    <row r="194" spans="2:20" x14ac:dyDescent="0.5">
      <c r="B194" s="17" t="s">
        <v>11</v>
      </c>
      <c r="C194" s="11">
        <v>9</v>
      </c>
      <c r="D194" s="1">
        <v>8</v>
      </c>
      <c r="E194" s="1">
        <v>7</v>
      </c>
      <c r="F194" s="1">
        <v>6</v>
      </c>
      <c r="G194" s="1">
        <v>5</v>
      </c>
      <c r="H194" s="1">
        <v>4</v>
      </c>
      <c r="I194" s="1">
        <v>3</v>
      </c>
      <c r="J194" s="56">
        <v>2</v>
      </c>
      <c r="K194" s="1">
        <v>1</v>
      </c>
      <c r="L194" s="1">
        <v>2</v>
      </c>
      <c r="M194" s="1">
        <v>3</v>
      </c>
      <c r="N194" s="1">
        <v>4</v>
      </c>
      <c r="O194" s="1">
        <v>5</v>
      </c>
      <c r="P194" s="1">
        <v>6</v>
      </c>
      <c r="Q194" s="1">
        <v>7</v>
      </c>
      <c r="R194" s="1">
        <v>8</v>
      </c>
      <c r="S194" s="12">
        <v>9</v>
      </c>
      <c r="T194" s="12" t="s">
        <v>14</v>
      </c>
    </row>
    <row r="195" spans="2:20" x14ac:dyDescent="0.5">
      <c r="B195" s="17" t="s">
        <v>11</v>
      </c>
      <c r="C195" s="11">
        <v>9</v>
      </c>
      <c r="D195" s="1">
        <v>8</v>
      </c>
      <c r="E195" s="1">
        <v>7</v>
      </c>
      <c r="F195" s="1">
        <v>6</v>
      </c>
      <c r="G195" s="1">
        <v>5</v>
      </c>
      <c r="H195" s="1">
        <v>4</v>
      </c>
      <c r="I195" s="1">
        <v>3</v>
      </c>
      <c r="J195" s="1">
        <v>2</v>
      </c>
      <c r="K195" s="1">
        <v>1</v>
      </c>
      <c r="L195" s="1">
        <v>2</v>
      </c>
      <c r="M195" s="56">
        <v>3</v>
      </c>
      <c r="N195" s="1">
        <v>4</v>
      </c>
      <c r="O195" s="1">
        <v>5</v>
      </c>
      <c r="P195" s="1">
        <v>6</v>
      </c>
      <c r="Q195" s="1">
        <v>7</v>
      </c>
      <c r="R195" s="1">
        <v>8</v>
      </c>
      <c r="S195" s="12">
        <v>9</v>
      </c>
      <c r="T195" s="12" t="s">
        <v>15</v>
      </c>
    </row>
    <row r="196" spans="2:20" x14ac:dyDescent="0.5">
      <c r="B196" s="17" t="s">
        <v>11</v>
      </c>
      <c r="C196" s="11">
        <v>9</v>
      </c>
      <c r="D196" s="1">
        <v>8</v>
      </c>
      <c r="E196" s="1">
        <v>7</v>
      </c>
      <c r="F196" s="1">
        <v>6</v>
      </c>
      <c r="G196" s="1">
        <v>5</v>
      </c>
      <c r="H196" s="1">
        <v>4</v>
      </c>
      <c r="I196" s="1">
        <v>3</v>
      </c>
      <c r="J196" s="1">
        <v>2</v>
      </c>
      <c r="K196" s="1">
        <v>1</v>
      </c>
      <c r="L196" s="1">
        <v>2</v>
      </c>
      <c r="M196" s="56">
        <v>3</v>
      </c>
      <c r="N196" s="1">
        <v>4</v>
      </c>
      <c r="O196" s="1">
        <v>5</v>
      </c>
      <c r="P196" s="1">
        <v>6</v>
      </c>
      <c r="Q196" s="1">
        <v>7</v>
      </c>
      <c r="R196" s="1">
        <v>8</v>
      </c>
      <c r="S196" s="12">
        <v>9</v>
      </c>
      <c r="T196" s="12" t="s">
        <v>16</v>
      </c>
    </row>
    <row r="197" spans="2:20" x14ac:dyDescent="0.5">
      <c r="B197" s="17" t="s">
        <v>11</v>
      </c>
      <c r="C197" s="11">
        <v>9</v>
      </c>
      <c r="D197" s="1">
        <v>8</v>
      </c>
      <c r="E197" s="1">
        <v>7</v>
      </c>
      <c r="F197" s="1">
        <v>6</v>
      </c>
      <c r="G197" s="1">
        <v>5</v>
      </c>
      <c r="H197" s="1">
        <v>4</v>
      </c>
      <c r="I197" s="1">
        <v>3</v>
      </c>
      <c r="J197" s="1">
        <v>2</v>
      </c>
      <c r="K197" s="1">
        <v>1</v>
      </c>
      <c r="L197" s="1">
        <v>2</v>
      </c>
      <c r="M197" s="1">
        <v>3</v>
      </c>
      <c r="N197" s="1">
        <v>4</v>
      </c>
      <c r="O197" s="1">
        <v>5</v>
      </c>
      <c r="P197" s="1">
        <v>6</v>
      </c>
      <c r="Q197" s="56">
        <v>7</v>
      </c>
      <c r="R197" s="1">
        <v>8</v>
      </c>
      <c r="S197" s="12">
        <v>9</v>
      </c>
      <c r="T197" s="12" t="s">
        <v>17</v>
      </c>
    </row>
    <row r="198" spans="2:20" x14ac:dyDescent="0.5">
      <c r="B198" s="19" t="s">
        <v>11</v>
      </c>
      <c r="C198" s="13">
        <v>9</v>
      </c>
      <c r="D198" s="14">
        <v>8</v>
      </c>
      <c r="E198" s="14">
        <v>7</v>
      </c>
      <c r="F198" s="14">
        <v>6</v>
      </c>
      <c r="G198" s="14">
        <v>5</v>
      </c>
      <c r="H198" s="14">
        <v>4</v>
      </c>
      <c r="I198" s="14">
        <v>3</v>
      </c>
      <c r="J198" s="14">
        <v>2</v>
      </c>
      <c r="K198" s="14">
        <v>1</v>
      </c>
      <c r="L198" s="14">
        <v>2</v>
      </c>
      <c r="M198" s="57">
        <v>3</v>
      </c>
      <c r="N198" s="14">
        <v>4</v>
      </c>
      <c r="O198" s="14">
        <v>5</v>
      </c>
      <c r="P198" s="14">
        <v>6</v>
      </c>
      <c r="Q198" s="14">
        <v>7</v>
      </c>
      <c r="R198" s="14">
        <v>8</v>
      </c>
      <c r="S198" s="15">
        <v>9</v>
      </c>
      <c r="T198" s="15" t="s">
        <v>18</v>
      </c>
    </row>
    <row r="199" spans="2:20" x14ac:dyDescent="0.5">
      <c r="B199" s="16" t="s">
        <v>12</v>
      </c>
      <c r="C199" s="11">
        <v>9</v>
      </c>
      <c r="D199" s="1">
        <v>8</v>
      </c>
      <c r="E199" s="1">
        <v>7</v>
      </c>
      <c r="F199" s="1">
        <v>6</v>
      </c>
      <c r="G199" s="1">
        <v>5</v>
      </c>
      <c r="H199" s="1">
        <v>4</v>
      </c>
      <c r="I199" s="1">
        <v>3</v>
      </c>
      <c r="J199" s="1">
        <v>2</v>
      </c>
      <c r="K199" s="1">
        <v>1</v>
      </c>
      <c r="L199" s="1">
        <v>2</v>
      </c>
      <c r="M199" s="1">
        <v>3</v>
      </c>
      <c r="N199" s="1">
        <v>4</v>
      </c>
      <c r="O199" s="1">
        <v>5</v>
      </c>
      <c r="P199" s="1">
        <v>6</v>
      </c>
      <c r="Q199" s="56">
        <v>7</v>
      </c>
      <c r="R199" s="1">
        <v>8</v>
      </c>
      <c r="S199" s="12">
        <v>9</v>
      </c>
      <c r="T199" s="12" t="s">
        <v>13</v>
      </c>
    </row>
    <row r="200" spans="2:20" x14ac:dyDescent="0.5">
      <c r="B200" s="17" t="s">
        <v>12</v>
      </c>
      <c r="C200" s="11">
        <v>9</v>
      </c>
      <c r="D200" s="1">
        <v>8</v>
      </c>
      <c r="E200" s="1">
        <v>7</v>
      </c>
      <c r="F200" s="1">
        <v>6</v>
      </c>
      <c r="G200" s="1">
        <v>5</v>
      </c>
      <c r="H200" s="1">
        <v>4</v>
      </c>
      <c r="I200" s="1">
        <v>3</v>
      </c>
      <c r="J200" s="56">
        <v>2</v>
      </c>
      <c r="K200" s="1">
        <v>1</v>
      </c>
      <c r="L200" s="1">
        <v>2</v>
      </c>
      <c r="M200" s="1">
        <v>3</v>
      </c>
      <c r="N200" s="1">
        <v>4</v>
      </c>
      <c r="O200" s="1">
        <v>5</v>
      </c>
      <c r="P200" s="1">
        <v>6</v>
      </c>
      <c r="Q200" s="1">
        <v>7</v>
      </c>
      <c r="R200" s="1">
        <v>8</v>
      </c>
      <c r="S200" s="12">
        <v>9</v>
      </c>
      <c r="T200" s="12" t="s">
        <v>14</v>
      </c>
    </row>
    <row r="201" spans="2:20" x14ac:dyDescent="0.5">
      <c r="B201" s="17" t="s">
        <v>12</v>
      </c>
      <c r="C201" s="11">
        <v>9</v>
      </c>
      <c r="D201" s="1">
        <v>8</v>
      </c>
      <c r="E201" s="1">
        <v>7</v>
      </c>
      <c r="F201" s="1">
        <v>6</v>
      </c>
      <c r="G201" s="1">
        <v>5</v>
      </c>
      <c r="H201" s="1">
        <v>4</v>
      </c>
      <c r="I201" s="1">
        <v>3</v>
      </c>
      <c r="J201" s="1">
        <v>2</v>
      </c>
      <c r="K201" s="1">
        <v>1</v>
      </c>
      <c r="L201" s="56">
        <v>2</v>
      </c>
      <c r="M201" s="1">
        <v>3</v>
      </c>
      <c r="N201" s="1">
        <v>4</v>
      </c>
      <c r="O201" s="1">
        <v>5</v>
      </c>
      <c r="P201" s="1">
        <v>6</v>
      </c>
      <c r="Q201" s="1">
        <v>7</v>
      </c>
      <c r="R201" s="1">
        <v>8</v>
      </c>
      <c r="S201" s="12">
        <v>9</v>
      </c>
      <c r="T201" s="12" t="s">
        <v>15</v>
      </c>
    </row>
    <row r="202" spans="2:20" x14ac:dyDescent="0.5">
      <c r="B202" s="17" t="s">
        <v>12</v>
      </c>
      <c r="C202" s="11">
        <v>9</v>
      </c>
      <c r="D202" s="1">
        <v>8</v>
      </c>
      <c r="E202" s="1">
        <v>7</v>
      </c>
      <c r="F202" s="1">
        <v>6</v>
      </c>
      <c r="G202" s="1">
        <v>5</v>
      </c>
      <c r="H202" s="1">
        <v>4</v>
      </c>
      <c r="I202" s="1">
        <v>3</v>
      </c>
      <c r="J202" s="1">
        <v>2</v>
      </c>
      <c r="K202" s="1">
        <v>1</v>
      </c>
      <c r="L202" s="1">
        <v>2</v>
      </c>
      <c r="M202" s="56">
        <v>3</v>
      </c>
      <c r="N202" s="1">
        <v>4</v>
      </c>
      <c r="O202" s="1">
        <v>5</v>
      </c>
      <c r="P202" s="1">
        <v>6</v>
      </c>
      <c r="Q202" s="1">
        <v>7</v>
      </c>
      <c r="R202" s="1">
        <v>8</v>
      </c>
      <c r="S202" s="12">
        <v>9</v>
      </c>
      <c r="T202" s="12" t="s">
        <v>16</v>
      </c>
    </row>
    <row r="203" spans="2:20" x14ac:dyDescent="0.5">
      <c r="B203" s="17" t="s">
        <v>12</v>
      </c>
      <c r="C203" s="11">
        <v>9</v>
      </c>
      <c r="D203" s="1">
        <v>8</v>
      </c>
      <c r="E203" s="1">
        <v>7</v>
      </c>
      <c r="F203" s="1">
        <v>6</v>
      </c>
      <c r="G203" s="1">
        <v>5</v>
      </c>
      <c r="H203" s="1">
        <v>4</v>
      </c>
      <c r="I203" s="1">
        <v>3</v>
      </c>
      <c r="J203" s="1">
        <v>2</v>
      </c>
      <c r="K203" s="1">
        <v>1</v>
      </c>
      <c r="L203" s="1">
        <v>2</v>
      </c>
      <c r="M203" s="1">
        <v>3</v>
      </c>
      <c r="N203" s="1">
        <v>4</v>
      </c>
      <c r="O203" s="1">
        <v>5</v>
      </c>
      <c r="P203" s="1">
        <v>6</v>
      </c>
      <c r="Q203" s="1">
        <v>7</v>
      </c>
      <c r="R203" s="56">
        <v>8</v>
      </c>
      <c r="S203" s="12">
        <v>9</v>
      </c>
      <c r="T203" s="12" t="s">
        <v>17</v>
      </c>
    </row>
    <row r="204" spans="2:20" x14ac:dyDescent="0.5">
      <c r="B204" s="19" t="s">
        <v>12</v>
      </c>
      <c r="C204" s="13">
        <v>9</v>
      </c>
      <c r="D204" s="14">
        <v>8</v>
      </c>
      <c r="E204" s="14">
        <v>7</v>
      </c>
      <c r="F204" s="14">
        <v>6</v>
      </c>
      <c r="G204" s="14">
        <v>5</v>
      </c>
      <c r="H204" s="14">
        <v>4</v>
      </c>
      <c r="I204" s="14">
        <v>3</v>
      </c>
      <c r="J204" s="14">
        <v>2</v>
      </c>
      <c r="K204" s="14">
        <v>1</v>
      </c>
      <c r="L204" s="14">
        <v>2</v>
      </c>
      <c r="M204" s="57">
        <v>3</v>
      </c>
      <c r="N204" s="14">
        <v>4</v>
      </c>
      <c r="O204" s="14">
        <v>5</v>
      </c>
      <c r="P204" s="14">
        <v>6</v>
      </c>
      <c r="Q204" s="14">
        <v>7</v>
      </c>
      <c r="R204" s="14">
        <v>8</v>
      </c>
      <c r="S204" s="15">
        <v>9</v>
      </c>
      <c r="T204" s="15" t="s">
        <v>18</v>
      </c>
    </row>
    <row r="205" spans="2:20" x14ac:dyDescent="0.5">
      <c r="B205" s="16" t="s">
        <v>13</v>
      </c>
      <c r="C205" s="11">
        <v>9</v>
      </c>
      <c r="D205" s="1">
        <v>8</v>
      </c>
      <c r="E205" s="56">
        <v>7</v>
      </c>
      <c r="F205" s="1">
        <v>6</v>
      </c>
      <c r="G205" s="1">
        <v>5</v>
      </c>
      <c r="H205" s="1">
        <v>4</v>
      </c>
      <c r="I205" s="1">
        <v>3</v>
      </c>
      <c r="J205" s="1">
        <v>2</v>
      </c>
      <c r="K205" s="1">
        <v>1</v>
      </c>
      <c r="L205" s="1">
        <v>2</v>
      </c>
      <c r="M205" s="1">
        <v>3</v>
      </c>
      <c r="N205" s="1">
        <v>4</v>
      </c>
      <c r="O205" s="1">
        <v>5</v>
      </c>
      <c r="P205" s="1">
        <v>6</v>
      </c>
      <c r="Q205" s="1">
        <v>7</v>
      </c>
      <c r="R205" s="1">
        <v>8</v>
      </c>
      <c r="S205" s="12">
        <v>9</v>
      </c>
      <c r="T205" s="7" t="s">
        <v>14</v>
      </c>
    </row>
    <row r="206" spans="2:20" x14ac:dyDescent="0.5">
      <c r="B206" s="17" t="s">
        <v>13</v>
      </c>
      <c r="C206" s="11">
        <v>9</v>
      </c>
      <c r="D206" s="56">
        <v>8</v>
      </c>
      <c r="E206" s="1">
        <v>7</v>
      </c>
      <c r="F206" s="1">
        <v>6</v>
      </c>
      <c r="G206" s="1">
        <v>5</v>
      </c>
      <c r="H206" s="1">
        <v>4</v>
      </c>
      <c r="I206" s="1">
        <v>3</v>
      </c>
      <c r="J206" s="1">
        <v>2</v>
      </c>
      <c r="K206" s="1">
        <v>1</v>
      </c>
      <c r="L206" s="1">
        <v>2</v>
      </c>
      <c r="M206" s="1">
        <v>3</v>
      </c>
      <c r="N206" s="1">
        <v>4</v>
      </c>
      <c r="O206" s="1">
        <v>5</v>
      </c>
      <c r="P206" s="1">
        <v>6</v>
      </c>
      <c r="Q206" s="1">
        <v>7</v>
      </c>
      <c r="R206" s="1">
        <v>8</v>
      </c>
      <c r="S206" s="12">
        <v>9</v>
      </c>
      <c r="T206" s="12" t="s">
        <v>15</v>
      </c>
    </row>
    <row r="207" spans="2:20" x14ac:dyDescent="0.5">
      <c r="B207" s="17" t="s">
        <v>13</v>
      </c>
      <c r="C207" s="11">
        <v>9</v>
      </c>
      <c r="D207" s="1">
        <v>8</v>
      </c>
      <c r="E207" s="1">
        <v>7</v>
      </c>
      <c r="F207" s="1">
        <v>6</v>
      </c>
      <c r="G207" s="56">
        <v>5</v>
      </c>
      <c r="H207" s="1">
        <v>4</v>
      </c>
      <c r="I207" s="1">
        <v>3</v>
      </c>
      <c r="J207" s="1">
        <v>2</v>
      </c>
      <c r="K207" s="1">
        <v>1</v>
      </c>
      <c r="L207" s="1">
        <v>2</v>
      </c>
      <c r="M207" s="1">
        <v>3</v>
      </c>
      <c r="N207" s="1">
        <v>4</v>
      </c>
      <c r="O207" s="1">
        <v>5</v>
      </c>
      <c r="P207" s="1">
        <v>6</v>
      </c>
      <c r="Q207" s="1">
        <v>7</v>
      </c>
      <c r="R207" s="1">
        <v>8</v>
      </c>
      <c r="S207" s="12">
        <v>9</v>
      </c>
      <c r="T207" s="12" t="s">
        <v>16</v>
      </c>
    </row>
    <row r="208" spans="2:20" x14ac:dyDescent="0.5">
      <c r="B208" s="17" t="s">
        <v>13</v>
      </c>
      <c r="C208" s="11">
        <v>9</v>
      </c>
      <c r="D208" s="1">
        <v>8</v>
      </c>
      <c r="E208" s="1">
        <v>7</v>
      </c>
      <c r="F208" s="1">
        <v>6</v>
      </c>
      <c r="G208" s="1">
        <v>5</v>
      </c>
      <c r="H208" s="1">
        <v>4</v>
      </c>
      <c r="I208" s="56">
        <v>3</v>
      </c>
      <c r="J208" s="1">
        <v>2</v>
      </c>
      <c r="K208" s="1">
        <v>1</v>
      </c>
      <c r="L208" s="1">
        <v>2</v>
      </c>
      <c r="M208" s="1">
        <v>3</v>
      </c>
      <c r="N208" s="1">
        <v>4</v>
      </c>
      <c r="O208" s="1">
        <v>5</v>
      </c>
      <c r="P208" s="1">
        <v>6</v>
      </c>
      <c r="Q208" s="1">
        <v>7</v>
      </c>
      <c r="R208" s="1">
        <v>8</v>
      </c>
      <c r="S208" s="12">
        <v>9</v>
      </c>
      <c r="T208" s="12" t="s">
        <v>17</v>
      </c>
    </row>
    <row r="209" spans="2:20" x14ac:dyDescent="0.5">
      <c r="B209" s="17" t="s">
        <v>13</v>
      </c>
      <c r="C209" s="11">
        <v>9</v>
      </c>
      <c r="D209" s="1">
        <v>8</v>
      </c>
      <c r="E209" s="56">
        <v>7</v>
      </c>
      <c r="F209" s="1">
        <v>6</v>
      </c>
      <c r="G209" s="1">
        <v>5</v>
      </c>
      <c r="H209" s="1">
        <v>4</v>
      </c>
      <c r="I209" s="1">
        <v>3</v>
      </c>
      <c r="J209" s="1">
        <v>2</v>
      </c>
      <c r="K209" s="1">
        <v>1</v>
      </c>
      <c r="L209" s="1">
        <v>2</v>
      </c>
      <c r="M209" s="1">
        <v>3</v>
      </c>
      <c r="N209" s="1">
        <v>4</v>
      </c>
      <c r="O209" s="1">
        <v>5</v>
      </c>
      <c r="P209" s="1">
        <v>6</v>
      </c>
      <c r="Q209" s="1">
        <v>7</v>
      </c>
      <c r="R209" s="1">
        <v>8</v>
      </c>
      <c r="S209" s="12">
        <v>9</v>
      </c>
      <c r="T209" s="15" t="s">
        <v>18</v>
      </c>
    </row>
    <row r="210" spans="2:20" x14ac:dyDescent="0.5">
      <c r="B210" s="4" t="s">
        <v>14</v>
      </c>
      <c r="C210" s="4">
        <v>9</v>
      </c>
      <c r="D210" s="5">
        <v>8</v>
      </c>
      <c r="E210" s="5">
        <v>7</v>
      </c>
      <c r="F210" s="5">
        <v>6</v>
      </c>
      <c r="G210" s="5">
        <v>5</v>
      </c>
      <c r="H210" s="5">
        <v>4</v>
      </c>
      <c r="I210" s="5">
        <v>3</v>
      </c>
      <c r="J210" s="5">
        <v>2</v>
      </c>
      <c r="K210" s="5">
        <v>1</v>
      </c>
      <c r="L210" s="120">
        <v>2</v>
      </c>
      <c r="M210" s="5">
        <v>3</v>
      </c>
      <c r="N210" s="5">
        <v>4</v>
      </c>
      <c r="O210" s="5">
        <v>5</v>
      </c>
      <c r="P210" s="5">
        <v>6</v>
      </c>
      <c r="Q210" s="5">
        <v>7</v>
      </c>
      <c r="R210" s="5">
        <v>8</v>
      </c>
      <c r="S210" s="7">
        <v>9</v>
      </c>
      <c r="T210" s="12" t="s">
        <v>15</v>
      </c>
    </row>
    <row r="211" spans="2:20" x14ac:dyDescent="0.5">
      <c r="B211" s="11" t="s">
        <v>14</v>
      </c>
      <c r="C211" s="11">
        <v>9</v>
      </c>
      <c r="D211" s="1">
        <v>8</v>
      </c>
      <c r="E211" s="1">
        <v>7</v>
      </c>
      <c r="F211" s="1">
        <v>6</v>
      </c>
      <c r="G211" s="1">
        <v>5</v>
      </c>
      <c r="H211" s="1">
        <v>4</v>
      </c>
      <c r="I211" s="1">
        <v>3</v>
      </c>
      <c r="J211" s="1">
        <v>2</v>
      </c>
      <c r="K211" s="1">
        <v>1</v>
      </c>
      <c r="L211" s="1">
        <v>2</v>
      </c>
      <c r="M211" s="1">
        <v>3</v>
      </c>
      <c r="N211" s="56">
        <v>4</v>
      </c>
      <c r="O211" s="1">
        <v>5</v>
      </c>
      <c r="P211" s="1">
        <v>6</v>
      </c>
      <c r="Q211" s="1">
        <v>7</v>
      </c>
      <c r="R211" s="1">
        <v>8</v>
      </c>
      <c r="S211" s="12">
        <v>9</v>
      </c>
      <c r="T211" s="12" t="s">
        <v>16</v>
      </c>
    </row>
    <row r="212" spans="2:20" x14ac:dyDescent="0.5">
      <c r="B212" s="11" t="s">
        <v>14</v>
      </c>
      <c r="C212" s="11">
        <v>9</v>
      </c>
      <c r="D212" s="1">
        <v>8</v>
      </c>
      <c r="E212" s="1">
        <v>7</v>
      </c>
      <c r="F212" s="1">
        <v>6</v>
      </c>
      <c r="G212" s="1">
        <v>5</v>
      </c>
      <c r="H212" s="1">
        <v>4</v>
      </c>
      <c r="I212" s="1">
        <v>3</v>
      </c>
      <c r="J212" s="1">
        <v>2</v>
      </c>
      <c r="K212" s="1">
        <v>1</v>
      </c>
      <c r="L212" s="1">
        <v>2</v>
      </c>
      <c r="M212" s="1">
        <v>3</v>
      </c>
      <c r="N212" s="1">
        <v>4</v>
      </c>
      <c r="O212" s="56">
        <v>5</v>
      </c>
      <c r="P212" s="1">
        <v>6</v>
      </c>
      <c r="Q212" s="1">
        <v>7</v>
      </c>
      <c r="R212" s="1">
        <v>8</v>
      </c>
      <c r="S212" s="12">
        <v>9</v>
      </c>
      <c r="T212" s="12" t="s">
        <v>17</v>
      </c>
    </row>
    <row r="213" spans="2:20" x14ac:dyDescent="0.5">
      <c r="B213" s="13" t="s">
        <v>14</v>
      </c>
      <c r="C213" s="13">
        <v>9</v>
      </c>
      <c r="D213" s="14">
        <v>8</v>
      </c>
      <c r="E213" s="14">
        <v>7</v>
      </c>
      <c r="F213" s="14">
        <v>6</v>
      </c>
      <c r="G213" s="14">
        <v>5</v>
      </c>
      <c r="H213" s="14">
        <v>4</v>
      </c>
      <c r="I213" s="14">
        <v>3</v>
      </c>
      <c r="J213" s="14">
        <v>2</v>
      </c>
      <c r="K213" s="14">
        <v>1</v>
      </c>
      <c r="L213" s="14">
        <v>2</v>
      </c>
      <c r="M213" s="14">
        <v>3</v>
      </c>
      <c r="N213" s="57">
        <v>4</v>
      </c>
      <c r="O213" s="14">
        <v>5</v>
      </c>
      <c r="P213" s="14">
        <v>6</v>
      </c>
      <c r="Q213" s="14">
        <v>7</v>
      </c>
      <c r="R213" s="14">
        <v>8</v>
      </c>
      <c r="S213" s="15">
        <v>9</v>
      </c>
      <c r="T213" s="15" t="s">
        <v>18</v>
      </c>
    </row>
    <row r="214" spans="2:20" x14ac:dyDescent="0.5">
      <c r="B214" s="16" t="s">
        <v>15</v>
      </c>
      <c r="C214" s="11">
        <v>9</v>
      </c>
      <c r="D214" s="1">
        <v>8</v>
      </c>
      <c r="E214" s="1">
        <v>7</v>
      </c>
      <c r="F214" s="1">
        <v>6</v>
      </c>
      <c r="G214" s="1">
        <v>5</v>
      </c>
      <c r="H214" s="1">
        <v>4</v>
      </c>
      <c r="I214" s="1">
        <v>3</v>
      </c>
      <c r="J214" s="1">
        <v>2</v>
      </c>
      <c r="K214" s="1">
        <v>1</v>
      </c>
      <c r="L214" s="1">
        <v>2</v>
      </c>
      <c r="M214" s="1">
        <v>3</v>
      </c>
      <c r="N214" s="56">
        <v>4</v>
      </c>
      <c r="O214" s="1">
        <v>5</v>
      </c>
      <c r="P214" s="1">
        <v>6</v>
      </c>
      <c r="Q214" s="1">
        <v>7</v>
      </c>
      <c r="R214" s="1">
        <v>8</v>
      </c>
      <c r="S214" s="12">
        <v>9</v>
      </c>
      <c r="T214" s="12" t="s">
        <v>16</v>
      </c>
    </row>
    <row r="215" spans="2:20" x14ac:dyDescent="0.5">
      <c r="B215" s="17" t="s">
        <v>15</v>
      </c>
      <c r="C215" s="11">
        <v>9</v>
      </c>
      <c r="D215" s="1">
        <v>8</v>
      </c>
      <c r="E215" s="1">
        <v>7</v>
      </c>
      <c r="F215" s="1">
        <v>6</v>
      </c>
      <c r="G215" s="1">
        <v>5</v>
      </c>
      <c r="H215" s="1">
        <v>4</v>
      </c>
      <c r="I215" s="1">
        <v>3</v>
      </c>
      <c r="J215" s="1">
        <v>2</v>
      </c>
      <c r="K215" s="1">
        <v>1</v>
      </c>
      <c r="L215" s="1">
        <v>2</v>
      </c>
      <c r="M215" s="1">
        <v>3</v>
      </c>
      <c r="N215" s="1">
        <v>4</v>
      </c>
      <c r="O215" s="56">
        <v>5</v>
      </c>
      <c r="P215" s="1">
        <v>6</v>
      </c>
      <c r="Q215" s="1">
        <v>7</v>
      </c>
      <c r="R215" s="1">
        <v>8</v>
      </c>
      <c r="S215" s="12">
        <v>9</v>
      </c>
      <c r="T215" s="12" t="s">
        <v>17</v>
      </c>
    </row>
    <row r="216" spans="2:20" x14ac:dyDescent="0.5">
      <c r="B216" s="19" t="s">
        <v>15</v>
      </c>
      <c r="C216" s="13">
        <v>9</v>
      </c>
      <c r="D216" s="14">
        <v>8</v>
      </c>
      <c r="E216" s="14">
        <v>7</v>
      </c>
      <c r="F216" s="14">
        <v>6</v>
      </c>
      <c r="G216" s="14">
        <v>5</v>
      </c>
      <c r="H216" s="14">
        <v>4</v>
      </c>
      <c r="I216" s="14">
        <v>3</v>
      </c>
      <c r="J216" s="14">
        <v>2</v>
      </c>
      <c r="K216" s="14">
        <v>1</v>
      </c>
      <c r="L216" s="14">
        <v>2</v>
      </c>
      <c r="M216" s="14">
        <v>3</v>
      </c>
      <c r="N216" s="57">
        <v>4</v>
      </c>
      <c r="O216" s="14">
        <v>5</v>
      </c>
      <c r="P216" s="14">
        <v>6</v>
      </c>
      <c r="Q216" s="14">
        <v>7</v>
      </c>
      <c r="R216" s="14">
        <v>8</v>
      </c>
      <c r="S216" s="15">
        <v>9</v>
      </c>
      <c r="T216" s="15" t="s">
        <v>18</v>
      </c>
    </row>
    <row r="217" spans="2:20" x14ac:dyDescent="0.5">
      <c r="B217" s="16" t="s">
        <v>16</v>
      </c>
      <c r="C217" s="11">
        <v>9</v>
      </c>
      <c r="D217" s="1">
        <v>8</v>
      </c>
      <c r="E217" s="1">
        <v>7</v>
      </c>
      <c r="F217" s="1">
        <v>6</v>
      </c>
      <c r="G217" s="1">
        <v>5</v>
      </c>
      <c r="H217" s="1">
        <v>4</v>
      </c>
      <c r="I217" s="1">
        <v>3</v>
      </c>
      <c r="J217" s="1">
        <v>2</v>
      </c>
      <c r="K217" s="1">
        <v>1</v>
      </c>
      <c r="L217" s="1">
        <v>2</v>
      </c>
      <c r="M217" s="1">
        <v>3</v>
      </c>
      <c r="N217" s="56">
        <v>4</v>
      </c>
      <c r="O217" s="1">
        <v>5</v>
      </c>
      <c r="P217" s="1">
        <v>6</v>
      </c>
      <c r="Q217" s="1">
        <v>7</v>
      </c>
      <c r="R217" s="1">
        <v>8</v>
      </c>
      <c r="S217" s="12">
        <v>9</v>
      </c>
      <c r="T217" s="7" t="s">
        <v>17</v>
      </c>
    </row>
    <row r="218" spans="2:20" x14ac:dyDescent="0.5">
      <c r="B218" s="19" t="s">
        <v>16</v>
      </c>
      <c r="C218" s="13">
        <v>9</v>
      </c>
      <c r="D218" s="14">
        <v>8</v>
      </c>
      <c r="E218" s="14">
        <v>7</v>
      </c>
      <c r="F218" s="14">
        <v>6</v>
      </c>
      <c r="G218" s="14">
        <v>5</v>
      </c>
      <c r="H218" s="14">
        <v>4</v>
      </c>
      <c r="I218" s="14">
        <v>3</v>
      </c>
      <c r="J218" s="14">
        <v>2</v>
      </c>
      <c r="K218" s="14">
        <v>1</v>
      </c>
      <c r="L218" s="14">
        <v>2</v>
      </c>
      <c r="M218" s="57">
        <v>3</v>
      </c>
      <c r="N218" s="14">
        <v>4</v>
      </c>
      <c r="O218" s="14">
        <v>5</v>
      </c>
      <c r="P218" s="14">
        <v>6</v>
      </c>
      <c r="Q218" s="14">
        <v>7</v>
      </c>
      <c r="R218" s="14">
        <v>8</v>
      </c>
      <c r="S218" s="15">
        <v>9</v>
      </c>
      <c r="T218" s="15" t="s">
        <v>18</v>
      </c>
    </row>
    <row r="219" spans="2:20" x14ac:dyDescent="0.5">
      <c r="B219" s="3" t="s">
        <v>17</v>
      </c>
      <c r="C219" s="13">
        <v>9</v>
      </c>
      <c r="D219" s="14">
        <v>8</v>
      </c>
      <c r="E219" s="14">
        <v>7</v>
      </c>
      <c r="F219" s="14">
        <v>6</v>
      </c>
      <c r="G219" s="14">
        <v>5</v>
      </c>
      <c r="H219" s="14">
        <v>4</v>
      </c>
      <c r="I219" s="57">
        <v>3</v>
      </c>
      <c r="J219" s="14">
        <v>2</v>
      </c>
      <c r="K219" s="14">
        <v>1</v>
      </c>
      <c r="L219" s="14">
        <v>2</v>
      </c>
      <c r="M219" s="14">
        <v>3</v>
      </c>
      <c r="N219" s="14">
        <v>4</v>
      </c>
      <c r="O219" s="14">
        <v>5</v>
      </c>
      <c r="P219" s="14">
        <v>6</v>
      </c>
      <c r="Q219" s="14">
        <v>7</v>
      </c>
      <c r="R219" s="14">
        <v>8</v>
      </c>
      <c r="S219" s="15">
        <v>9</v>
      </c>
      <c r="T219" s="15" t="s">
        <v>18</v>
      </c>
    </row>
    <row r="221" spans="2:20" x14ac:dyDescent="0.5">
      <c r="B221" s="90" t="s">
        <v>20</v>
      </c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2"/>
    </row>
    <row r="222" spans="2:20" x14ac:dyDescent="0.5">
      <c r="B222" s="85" t="s">
        <v>66</v>
      </c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93"/>
    </row>
    <row r="223" spans="2:20" x14ac:dyDescent="0.5">
      <c r="B223" s="94" t="s">
        <v>1</v>
      </c>
      <c r="C223" s="90" t="s">
        <v>2</v>
      </c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6"/>
      <c r="T223" s="94" t="s">
        <v>3</v>
      </c>
    </row>
    <row r="224" spans="2:20" x14ac:dyDescent="0.5">
      <c r="B224" s="95"/>
      <c r="C224" s="24">
        <v>9</v>
      </c>
      <c r="D224" s="24">
        <v>8</v>
      </c>
      <c r="E224" s="24">
        <v>7</v>
      </c>
      <c r="F224" s="24">
        <v>6</v>
      </c>
      <c r="G224" s="24">
        <v>5</v>
      </c>
      <c r="H224" s="24">
        <v>4</v>
      </c>
      <c r="I224" s="24">
        <v>3</v>
      </c>
      <c r="J224" s="24">
        <v>2</v>
      </c>
      <c r="K224" s="24">
        <v>1</v>
      </c>
      <c r="L224" s="24">
        <v>2</v>
      </c>
      <c r="M224" s="24">
        <v>3</v>
      </c>
      <c r="N224" s="24">
        <v>4</v>
      </c>
      <c r="O224" s="24">
        <v>5</v>
      </c>
      <c r="P224" s="24">
        <v>6</v>
      </c>
      <c r="Q224" s="24">
        <v>7</v>
      </c>
      <c r="R224" s="24">
        <v>8</v>
      </c>
      <c r="S224" s="24">
        <v>9</v>
      </c>
      <c r="T224" s="95"/>
    </row>
    <row r="225" spans="2:37" x14ac:dyDescent="0.5">
      <c r="B225" s="16" t="s">
        <v>4</v>
      </c>
      <c r="C225" s="4">
        <v>9</v>
      </c>
      <c r="D225" s="5">
        <v>8</v>
      </c>
      <c r="E225" s="5">
        <v>7</v>
      </c>
      <c r="F225" s="5">
        <v>6</v>
      </c>
      <c r="G225" s="5">
        <v>5</v>
      </c>
      <c r="H225" s="5">
        <v>4</v>
      </c>
      <c r="I225" s="6">
        <v>3</v>
      </c>
      <c r="J225" s="5">
        <v>2</v>
      </c>
      <c r="K225" s="5">
        <v>1</v>
      </c>
      <c r="L225" s="5">
        <v>2</v>
      </c>
      <c r="M225" s="65">
        <v>3</v>
      </c>
      <c r="N225" s="5">
        <v>4</v>
      </c>
      <c r="O225" s="5">
        <v>5</v>
      </c>
      <c r="P225" s="5">
        <v>6</v>
      </c>
      <c r="Q225" s="5">
        <v>7</v>
      </c>
      <c r="R225" s="5">
        <v>8</v>
      </c>
      <c r="S225" s="7">
        <v>9</v>
      </c>
      <c r="T225" s="7" t="s">
        <v>5</v>
      </c>
      <c r="V225" s="63" t="s">
        <v>20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5">
      <c r="B226" s="17" t="s">
        <v>4</v>
      </c>
      <c r="C226" s="11">
        <v>9</v>
      </c>
      <c r="D226" s="1">
        <v>8</v>
      </c>
      <c r="E226" s="1">
        <v>7</v>
      </c>
      <c r="F226" s="1">
        <v>6</v>
      </c>
      <c r="G226" s="1">
        <v>5</v>
      </c>
      <c r="H226" s="1">
        <v>4</v>
      </c>
      <c r="I226" s="1">
        <v>3</v>
      </c>
      <c r="J226" s="1">
        <v>2</v>
      </c>
      <c r="K226" s="1">
        <v>1</v>
      </c>
      <c r="L226" s="33">
        <v>2</v>
      </c>
      <c r="M226" s="1">
        <v>3</v>
      </c>
      <c r="N226" s="1">
        <v>4</v>
      </c>
      <c r="O226" s="1">
        <v>5</v>
      </c>
      <c r="P226" s="1">
        <v>6</v>
      </c>
      <c r="Q226" s="1">
        <v>7</v>
      </c>
      <c r="R226" s="1">
        <v>8</v>
      </c>
      <c r="S226" s="12">
        <v>9</v>
      </c>
      <c r="T226" s="12" t="s">
        <v>6</v>
      </c>
      <c r="V226" s="2" t="s">
        <v>4</v>
      </c>
      <c r="W226" s="3">
        <v>1</v>
      </c>
      <c r="X226" s="3">
        <v>3</v>
      </c>
      <c r="Y226" s="3">
        <f>1/2</f>
        <v>0.5</v>
      </c>
      <c r="Z226" s="3">
        <v>4</v>
      </c>
      <c r="AA226" s="3">
        <v>6</v>
      </c>
      <c r="AB226" s="3">
        <v>6</v>
      </c>
      <c r="AC226" s="3">
        <f>1/5</f>
        <v>0.2</v>
      </c>
      <c r="AD226" s="3">
        <v>2</v>
      </c>
      <c r="AE226" s="3">
        <f>1/2</f>
        <v>0.5</v>
      </c>
      <c r="AF226" s="3">
        <f>1/4</f>
        <v>0.25</v>
      </c>
      <c r="AG226" s="3">
        <f>1/2</f>
        <v>0.5</v>
      </c>
      <c r="AH226" s="3">
        <v>3</v>
      </c>
      <c r="AI226" s="3">
        <f>1/5</f>
        <v>0.2</v>
      </c>
      <c r="AJ226" s="3">
        <f>1/6</f>
        <v>0.16666666666666666</v>
      </c>
      <c r="AK226" s="3">
        <v>2</v>
      </c>
    </row>
    <row r="227" spans="2:37" x14ac:dyDescent="0.5">
      <c r="B227" s="17" t="s">
        <v>4</v>
      </c>
      <c r="C227" s="11">
        <v>9</v>
      </c>
      <c r="D227" s="1">
        <v>8</v>
      </c>
      <c r="E227" s="1">
        <v>7</v>
      </c>
      <c r="F227" s="1">
        <v>6</v>
      </c>
      <c r="G227" s="1">
        <v>5</v>
      </c>
      <c r="H227" s="33">
        <v>4</v>
      </c>
      <c r="I227" s="18">
        <v>3</v>
      </c>
      <c r="J227" s="1">
        <v>2</v>
      </c>
      <c r="K227" s="1">
        <v>1</v>
      </c>
      <c r="L227" s="1">
        <v>2</v>
      </c>
      <c r="M227" s="1">
        <v>3</v>
      </c>
      <c r="N227" s="1">
        <v>4</v>
      </c>
      <c r="O227" s="1">
        <v>5</v>
      </c>
      <c r="P227" s="1">
        <v>6</v>
      </c>
      <c r="Q227" s="1">
        <v>7</v>
      </c>
      <c r="R227" s="1">
        <v>8</v>
      </c>
      <c r="S227" s="12">
        <v>9</v>
      </c>
      <c r="T227" s="12" t="s">
        <v>7</v>
      </c>
      <c r="V227" s="2" t="s">
        <v>5</v>
      </c>
      <c r="W227" s="3">
        <f>1/X226</f>
        <v>0.33333333333333331</v>
      </c>
      <c r="X227" s="3">
        <v>1</v>
      </c>
      <c r="Y227" s="3">
        <v>4</v>
      </c>
      <c r="Z227" s="3">
        <v>5</v>
      </c>
      <c r="AA227" s="3">
        <v>8</v>
      </c>
      <c r="AB227" s="3">
        <v>8</v>
      </c>
      <c r="AC227" s="3">
        <f>1/4</f>
        <v>0.25</v>
      </c>
      <c r="AD227" s="3">
        <v>2</v>
      </c>
      <c r="AE227" s="3">
        <v>2</v>
      </c>
      <c r="AF227" s="3">
        <f>1/3</f>
        <v>0.33333333333333331</v>
      </c>
      <c r="AG227" s="3">
        <v>3</v>
      </c>
      <c r="AH227" s="3">
        <v>5</v>
      </c>
      <c r="AI227" s="3">
        <f>1/3</f>
        <v>0.33333333333333331</v>
      </c>
      <c r="AJ227" s="3">
        <f>1/4</f>
        <v>0.25</v>
      </c>
      <c r="AK227" s="3">
        <v>5</v>
      </c>
    </row>
    <row r="228" spans="2:37" x14ac:dyDescent="0.5">
      <c r="B228" s="17" t="s">
        <v>4</v>
      </c>
      <c r="C228" s="11">
        <v>9</v>
      </c>
      <c r="D228" s="1">
        <v>8</v>
      </c>
      <c r="E228" s="1">
        <v>7</v>
      </c>
      <c r="F228" s="33">
        <v>6</v>
      </c>
      <c r="G228" s="1">
        <v>5</v>
      </c>
      <c r="H228" s="1">
        <v>4</v>
      </c>
      <c r="I228" s="1">
        <v>3</v>
      </c>
      <c r="J228" s="1">
        <v>2</v>
      </c>
      <c r="K228" s="1">
        <v>1</v>
      </c>
      <c r="L228" s="1">
        <v>2</v>
      </c>
      <c r="M228" s="1">
        <v>3</v>
      </c>
      <c r="N228" s="1">
        <v>4</v>
      </c>
      <c r="O228" s="1">
        <v>5</v>
      </c>
      <c r="P228" s="1">
        <v>6</v>
      </c>
      <c r="Q228" s="1">
        <v>7</v>
      </c>
      <c r="R228" s="1">
        <v>8</v>
      </c>
      <c r="S228" s="12">
        <v>9</v>
      </c>
      <c r="T228" s="12" t="s">
        <v>8</v>
      </c>
      <c r="V228" s="2" t="s">
        <v>6</v>
      </c>
      <c r="W228" s="3">
        <f>1/Y226</f>
        <v>2</v>
      </c>
      <c r="X228" s="3">
        <f>1/Y227</f>
        <v>0.25</v>
      </c>
      <c r="Y228" s="3">
        <v>1</v>
      </c>
      <c r="Z228" s="3">
        <v>4</v>
      </c>
      <c r="AA228" s="3">
        <v>8</v>
      </c>
      <c r="AB228" s="3">
        <v>8</v>
      </c>
      <c r="AC228" s="3">
        <f>1/5</f>
        <v>0.2</v>
      </c>
      <c r="AD228" s="3">
        <v>3</v>
      </c>
      <c r="AE228" s="3">
        <v>3</v>
      </c>
      <c r="AF228" s="3">
        <f>1/3</f>
        <v>0.33333333333333331</v>
      </c>
      <c r="AG228" s="3">
        <f>1/3</f>
        <v>0.33333333333333331</v>
      </c>
      <c r="AH228" s="3">
        <v>4</v>
      </c>
      <c r="AI228" s="3">
        <f>1/4</f>
        <v>0.25</v>
      </c>
      <c r="AJ228" s="3">
        <f>1/5</f>
        <v>0.2</v>
      </c>
      <c r="AK228" s="3">
        <v>4</v>
      </c>
    </row>
    <row r="229" spans="2:37" x14ac:dyDescent="0.5">
      <c r="B229" s="17" t="s">
        <v>4</v>
      </c>
      <c r="C229" s="11">
        <v>9</v>
      </c>
      <c r="D229" s="1">
        <v>8</v>
      </c>
      <c r="E229" s="1">
        <v>7</v>
      </c>
      <c r="F229" s="33">
        <v>6</v>
      </c>
      <c r="G229" s="1">
        <v>5</v>
      </c>
      <c r="H229" s="1">
        <v>4</v>
      </c>
      <c r="I229" s="1">
        <v>3</v>
      </c>
      <c r="J229" s="1">
        <v>2</v>
      </c>
      <c r="K229" s="1">
        <v>1</v>
      </c>
      <c r="L229" s="1">
        <v>2</v>
      </c>
      <c r="M229" s="1">
        <v>3</v>
      </c>
      <c r="N229" s="1">
        <v>4</v>
      </c>
      <c r="O229" s="1">
        <v>5</v>
      </c>
      <c r="P229" s="1">
        <v>6</v>
      </c>
      <c r="Q229" s="1">
        <v>7</v>
      </c>
      <c r="R229" s="1">
        <v>8</v>
      </c>
      <c r="S229" s="12">
        <v>9</v>
      </c>
      <c r="T229" s="12" t="s">
        <v>9</v>
      </c>
      <c r="V229" s="2" t="s">
        <v>7</v>
      </c>
      <c r="W229" s="3">
        <f>1/Z226</f>
        <v>0.25</v>
      </c>
      <c r="X229" s="3">
        <f>1/Z227</f>
        <v>0.2</v>
      </c>
      <c r="Y229" s="3">
        <f>1/Z228</f>
        <v>0.25</v>
      </c>
      <c r="Z229" s="3">
        <v>1</v>
      </c>
      <c r="AA229" s="3">
        <v>2</v>
      </c>
      <c r="AB229" s="3">
        <v>2</v>
      </c>
      <c r="AC229" s="3">
        <f>1/5</f>
        <v>0.2</v>
      </c>
      <c r="AD229" s="3">
        <f t="shared" ref="AD229:AE231" si="0">1/3</f>
        <v>0.33333333333333331</v>
      </c>
      <c r="AE229" s="3">
        <f t="shared" si="0"/>
        <v>0.33333333333333331</v>
      </c>
      <c r="AF229" s="3">
        <v>5</v>
      </c>
      <c r="AG229" s="3">
        <f>1/3</f>
        <v>0.33333333333333331</v>
      </c>
      <c r="AH229" s="3">
        <v>2</v>
      </c>
      <c r="AI229" s="3">
        <f>1/6</f>
        <v>0.16666666666666666</v>
      </c>
      <c r="AJ229" s="3">
        <f>1/7</f>
        <v>0.14285714285714285</v>
      </c>
      <c r="AK229" s="3">
        <v>2</v>
      </c>
    </row>
    <row r="230" spans="2:37" x14ac:dyDescent="0.5">
      <c r="B230" s="17" t="s">
        <v>4</v>
      </c>
      <c r="C230" s="11">
        <v>9</v>
      </c>
      <c r="D230" s="1">
        <v>8</v>
      </c>
      <c r="E230" s="1">
        <v>7</v>
      </c>
      <c r="F230" s="1">
        <v>6</v>
      </c>
      <c r="G230" s="1">
        <v>5</v>
      </c>
      <c r="H230" s="1">
        <v>4</v>
      </c>
      <c r="I230" s="1">
        <v>3</v>
      </c>
      <c r="J230" s="1">
        <v>2</v>
      </c>
      <c r="K230" s="1">
        <v>1</v>
      </c>
      <c r="L230" s="1">
        <v>2</v>
      </c>
      <c r="M230" s="1">
        <v>3</v>
      </c>
      <c r="N230" s="1">
        <v>4</v>
      </c>
      <c r="O230" s="33">
        <v>5</v>
      </c>
      <c r="P230" s="1">
        <v>6</v>
      </c>
      <c r="Q230" s="1">
        <v>7</v>
      </c>
      <c r="R230" s="1">
        <v>8</v>
      </c>
      <c r="S230" s="12">
        <v>9</v>
      </c>
      <c r="T230" s="12" t="s">
        <v>10</v>
      </c>
      <c r="V230" s="2" t="s">
        <v>8</v>
      </c>
      <c r="W230" s="3">
        <f>1/AA226</f>
        <v>0.16666666666666666</v>
      </c>
      <c r="X230" s="3">
        <f>1/AA227</f>
        <v>0.125</v>
      </c>
      <c r="Y230" s="3">
        <f>1/AA228</f>
        <v>0.125</v>
      </c>
      <c r="Z230" s="3">
        <f>1/AA229</f>
        <v>0.5</v>
      </c>
      <c r="AA230" s="3">
        <v>1</v>
      </c>
      <c r="AB230" s="3">
        <v>1</v>
      </c>
      <c r="AC230" s="3">
        <f>1/5</f>
        <v>0.2</v>
      </c>
      <c r="AD230" s="3">
        <f t="shared" si="0"/>
        <v>0.33333333333333331</v>
      </c>
      <c r="AE230" s="3">
        <f t="shared" si="0"/>
        <v>0.33333333333333331</v>
      </c>
      <c r="AF230" s="3">
        <f>1/4</f>
        <v>0.25</v>
      </c>
      <c r="AG230" s="3">
        <f>1/3</f>
        <v>0.33333333333333331</v>
      </c>
      <c r="AH230" s="3">
        <f>1/3</f>
        <v>0.33333333333333331</v>
      </c>
      <c r="AI230" s="3">
        <f>1/7</f>
        <v>0.14285714285714285</v>
      </c>
      <c r="AJ230" s="3">
        <f>1/8</f>
        <v>0.125</v>
      </c>
      <c r="AK230" s="3">
        <f>1/3</f>
        <v>0.33333333333333331</v>
      </c>
    </row>
    <row r="231" spans="2:37" x14ac:dyDescent="0.5">
      <c r="B231" s="17" t="s">
        <v>4</v>
      </c>
      <c r="C231" s="11">
        <v>9</v>
      </c>
      <c r="D231" s="1">
        <v>8</v>
      </c>
      <c r="E231" s="1">
        <v>7</v>
      </c>
      <c r="F231" s="1">
        <v>6</v>
      </c>
      <c r="G231" s="1">
        <v>5</v>
      </c>
      <c r="H231" s="1">
        <v>4</v>
      </c>
      <c r="I231" s="1">
        <v>3</v>
      </c>
      <c r="J231" s="33">
        <v>2</v>
      </c>
      <c r="K231" s="1">
        <v>1</v>
      </c>
      <c r="L231" s="1">
        <v>2</v>
      </c>
      <c r="M231" s="1">
        <v>3</v>
      </c>
      <c r="N231" s="1">
        <v>4</v>
      </c>
      <c r="O231" s="1">
        <v>5</v>
      </c>
      <c r="P231" s="1">
        <v>6</v>
      </c>
      <c r="Q231" s="1">
        <v>7</v>
      </c>
      <c r="R231" s="1">
        <v>8</v>
      </c>
      <c r="S231" s="12">
        <v>9</v>
      </c>
      <c r="T231" s="12" t="s">
        <v>11</v>
      </c>
      <c r="V231" s="2" t="s">
        <v>9</v>
      </c>
      <c r="W231" s="3">
        <f>1/AB226</f>
        <v>0.16666666666666666</v>
      </c>
      <c r="X231" s="3">
        <f>1/AB227</f>
        <v>0.125</v>
      </c>
      <c r="Y231" s="3">
        <f>1/AB228</f>
        <v>0.125</v>
      </c>
      <c r="Z231" s="3">
        <f>1/AB229</f>
        <v>0.5</v>
      </c>
      <c r="AA231" s="3">
        <f>1/AB230</f>
        <v>1</v>
      </c>
      <c r="AB231" s="3">
        <v>1</v>
      </c>
      <c r="AC231" s="3">
        <f>1/5</f>
        <v>0.2</v>
      </c>
      <c r="AD231" s="3">
        <f t="shared" si="0"/>
        <v>0.33333333333333331</v>
      </c>
      <c r="AE231" s="3">
        <f t="shared" si="0"/>
        <v>0.33333333333333331</v>
      </c>
      <c r="AF231" s="3">
        <f>1/4</f>
        <v>0.25</v>
      </c>
      <c r="AG231" s="3">
        <f>1/3</f>
        <v>0.33333333333333331</v>
      </c>
      <c r="AH231" s="3">
        <f>1/3</f>
        <v>0.33333333333333331</v>
      </c>
      <c r="AI231" s="3">
        <f>1/7</f>
        <v>0.14285714285714285</v>
      </c>
      <c r="AJ231" s="3">
        <f>1/8</f>
        <v>0.125</v>
      </c>
      <c r="AK231" s="3">
        <f>1/3</f>
        <v>0.33333333333333331</v>
      </c>
    </row>
    <row r="232" spans="2:37" x14ac:dyDescent="0.5">
      <c r="B232" s="17" t="s">
        <v>4</v>
      </c>
      <c r="C232" s="11">
        <v>9</v>
      </c>
      <c r="D232" s="1">
        <v>8</v>
      </c>
      <c r="E232" s="1">
        <v>7</v>
      </c>
      <c r="F232" s="1">
        <v>6</v>
      </c>
      <c r="G232" s="1">
        <v>5</v>
      </c>
      <c r="H232" s="1">
        <v>4</v>
      </c>
      <c r="I232" s="1">
        <v>3</v>
      </c>
      <c r="J232" s="1">
        <v>2</v>
      </c>
      <c r="K232" s="1">
        <v>1</v>
      </c>
      <c r="L232" s="33">
        <v>2</v>
      </c>
      <c r="M232" s="1">
        <v>3</v>
      </c>
      <c r="N232" s="1">
        <v>4</v>
      </c>
      <c r="O232" s="1">
        <v>5</v>
      </c>
      <c r="P232" s="1">
        <v>6</v>
      </c>
      <c r="Q232" s="1">
        <v>7</v>
      </c>
      <c r="R232" s="1">
        <v>8</v>
      </c>
      <c r="S232" s="12">
        <v>9</v>
      </c>
      <c r="T232" s="12" t="s">
        <v>12</v>
      </c>
      <c r="V232" s="2" t="s">
        <v>10</v>
      </c>
      <c r="W232" s="3">
        <f>1/AC226</f>
        <v>5</v>
      </c>
      <c r="X232" s="3">
        <f>1/AC227</f>
        <v>4</v>
      </c>
      <c r="Y232" s="3">
        <f>1/AC228</f>
        <v>5</v>
      </c>
      <c r="Z232" s="3">
        <f>1/AC229</f>
        <v>5</v>
      </c>
      <c r="AA232" s="3">
        <f>1/AC230</f>
        <v>5</v>
      </c>
      <c r="AB232" s="3">
        <f>1/AC231</f>
        <v>5</v>
      </c>
      <c r="AC232" s="3">
        <v>1</v>
      </c>
      <c r="AD232" s="3">
        <v>3</v>
      </c>
      <c r="AE232" s="3">
        <v>3</v>
      </c>
      <c r="AF232" s="3">
        <v>2</v>
      </c>
      <c r="AG232" s="3">
        <v>3</v>
      </c>
      <c r="AH232" s="3">
        <v>3</v>
      </c>
      <c r="AI232" s="3">
        <f>1/7</f>
        <v>0.14285714285714285</v>
      </c>
      <c r="AJ232" s="3">
        <f>1/8</f>
        <v>0.125</v>
      </c>
      <c r="AK232" s="3"/>
    </row>
    <row r="233" spans="2:37" x14ac:dyDescent="0.5">
      <c r="B233" s="17" t="s">
        <v>4</v>
      </c>
      <c r="C233" s="11">
        <v>9</v>
      </c>
      <c r="D233" s="1">
        <v>8</v>
      </c>
      <c r="E233" s="1">
        <v>7</v>
      </c>
      <c r="F233" s="1">
        <v>6</v>
      </c>
      <c r="G233" s="1">
        <v>5</v>
      </c>
      <c r="H233" s="1">
        <v>4</v>
      </c>
      <c r="I233" s="1">
        <v>3</v>
      </c>
      <c r="J233" s="1">
        <v>2</v>
      </c>
      <c r="K233" s="1">
        <v>1</v>
      </c>
      <c r="L233" s="1">
        <v>2</v>
      </c>
      <c r="M233" s="1">
        <v>3</v>
      </c>
      <c r="N233" s="32">
        <v>4</v>
      </c>
      <c r="O233" s="1">
        <v>5</v>
      </c>
      <c r="P233" s="1">
        <v>6</v>
      </c>
      <c r="Q233" s="1">
        <v>7</v>
      </c>
      <c r="R233" s="1">
        <v>8</v>
      </c>
      <c r="S233" s="12">
        <v>9</v>
      </c>
      <c r="T233" s="12" t="s">
        <v>13</v>
      </c>
      <c r="V233" s="2" t="s">
        <v>11</v>
      </c>
      <c r="W233" s="3">
        <f>1/AD226</f>
        <v>0.5</v>
      </c>
      <c r="X233" s="3">
        <f>1/AD227</f>
        <v>0.5</v>
      </c>
      <c r="Y233" s="3">
        <f>1/AD228</f>
        <v>0.33333333333333331</v>
      </c>
      <c r="Z233" s="3">
        <f>1/AD229</f>
        <v>3</v>
      </c>
      <c r="AA233" s="3">
        <f>1/AD230</f>
        <v>3</v>
      </c>
      <c r="AB233" s="3">
        <f>1/AD231</f>
        <v>3</v>
      </c>
      <c r="AC233" s="3">
        <f>1/AD232</f>
        <v>0.33333333333333331</v>
      </c>
      <c r="AD233" s="3">
        <v>1</v>
      </c>
      <c r="AE233" s="3">
        <v>1</v>
      </c>
      <c r="AF233" s="3">
        <v>1</v>
      </c>
      <c r="AG233" s="3">
        <f>1/2</f>
        <v>0.5</v>
      </c>
      <c r="AH233" s="3">
        <v>1</v>
      </c>
      <c r="AI233" s="3">
        <v>1</v>
      </c>
      <c r="AJ233" s="3">
        <f>1/6</f>
        <v>0.16666666666666666</v>
      </c>
      <c r="AK233" s="3">
        <f>1/7</f>
        <v>0.14285714285714285</v>
      </c>
    </row>
    <row r="234" spans="2:37" x14ac:dyDescent="0.5">
      <c r="B234" s="17" t="s">
        <v>4</v>
      </c>
      <c r="C234" s="11">
        <v>9</v>
      </c>
      <c r="D234" s="1">
        <v>8</v>
      </c>
      <c r="E234" s="1">
        <v>7</v>
      </c>
      <c r="F234" s="1">
        <v>6</v>
      </c>
      <c r="G234" s="1">
        <v>5</v>
      </c>
      <c r="H234" s="1">
        <v>4</v>
      </c>
      <c r="I234" s="1">
        <v>3</v>
      </c>
      <c r="J234" s="1">
        <v>2</v>
      </c>
      <c r="K234" s="1">
        <v>1</v>
      </c>
      <c r="L234" s="33">
        <v>2</v>
      </c>
      <c r="M234" s="1">
        <v>3</v>
      </c>
      <c r="N234" s="1">
        <v>4</v>
      </c>
      <c r="O234" s="1">
        <v>5</v>
      </c>
      <c r="P234" s="1">
        <v>6</v>
      </c>
      <c r="Q234" s="1">
        <v>7</v>
      </c>
      <c r="R234" s="1">
        <v>8</v>
      </c>
      <c r="S234" s="12">
        <v>9</v>
      </c>
      <c r="T234" s="12" t="s">
        <v>14</v>
      </c>
      <c r="V234" s="2" t="s">
        <v>12</v>
      </c>
      <c r="W234" s="3">
        <f>1/AE226</f>
        <v>2</v>
      </c>
      <c r="X234" s="3">
        <f>1/AE227</f>
        <v>0.5</v>
      </c>
      <c r="Y234" s="3">
        <f>1/AE228</f>
        <v>0.33333333333333331</v>
      </c>
      <c r="Z234" s="3">
        <f>1/AE229</f>
        <v>3</v>
      </c>
      <c r="AA234" s="3">
        <f>1/AE230</f>
        <v>3</v>
      </c>
      <c r="AB234" s="3">
        <f>1/AE231</f>
        <v>3</v>
      </c>
      <c r="AC234" s="3">
        <f>1/AE232</f>
        <v>0.33333333333333331</v>
      </c>
      <c r="AD234" s="3">
        <f>1/AE233</f>
        <v>1</v>
      </c>
      <c r="AE234" s="3">
        <v>1</v>
      </c>
      <c r="AF234" s="3">
        <v>1</v>
      </c>
      <c r="AG234" s="3">
        <f>1/2</f>
        <v>0.5</v>
      </c>
      <c r="AH234" s="3">
        <v>1</v>
      </c>
      <c r="AI234" s="3">
        <v>1</v>
      </c>
      <c r="AJ234" s="3">
        <f>1/6</f>
        <v>0.16666666666666666</v>
      </c>
      <c r="AK234" s="3">
        <f>1/7</f>
        <v>0.14285714285714285</v>
      </c>
    </row>
    <row r="235" spans="2:37" x14ac:dyDescent="0.5">
      <c r="B235" s="17" t="s">
        <v>4</v>
      </c>
      <c r="C235" s="11">
        <v>9</v>
      </c>
      <c r="D235" s="1">
        <v>8</v>
      </c>
      <c r="E235" s="1">
        <v>7</v>
      </c>
      <c r="F235" s="1">
        <v>6</v>
      </c>
      <c r="G235" s="1">
        <v>5</v>
      </c>
      <c r="H235" s="1">
        <v>4</v>
      </c>
      <c r="I235" s="33">
        <v>3</v>
      </c>
      <c r="J235" s="1">
        <v>2</v>
      </c>
      <c r="K235" s="1">
        <v>1</v>
      </c>
      <c r="L235" s="1">
        <v>2</v>
      </c>
      <c r="M235" s="1">
        <v>3</v>
      </c>
      <c r="N235" s="1">
        <v>4</v>
      </c>
      <c r="O235" s="1">
        <v>5</v>
      </c>
      <c r="P235" s="1">
        <v>6</v>
      </c>
      <c r="Q235" s="1">
        <v>7</v>
      </c>
      <c r="R235" s="1">
        <v>8</v>
      </c>
      <c r="S235" s="12">
        <v>9</v>
      </c>
      <c r="T235" s="12" t="s">
        <v>15</v>
      </c>
      <c r="V235" s="2" t="s">
        <v>13</v>
      </c>
      <c r="W235" s="3">
        <f>1/AF226</f>
        <v>4</v>
      </c>
      <c r="X235" s="3">
        <f>1/AF227</f>
        <v>3</v>
      </c>
      <c r="Y235" s="3">
        <f>1/AF228</f>
        <v>3</v>
      </c>
      <c r="Z235" s="3">
        <f>1/AF229</f>
        <v>0.2</v>
      </c>
      <c r="AA235" s="3">
        <f>1/AF230</f>
        <v>4</v>
      </c>
      <c r="AB235" s="3">
        <f>1/AF231</f>
        <v>4</v>
      </c>
      <c r="AC235" s="3">
        <f>1/AF232</f>
        <v>0.5</v>
      </c>
      <c r="AD235" s="3">
        <f>1/AF233</f>
        <v>1</v>
      </c>
      <c r="AE235" s="3">
        <f>1/AF234</f>
        <v>1</v>
      </c>
      <c r="AF235" s="3">
        <v>1</v>
      </c>
      <c r="AG235" s="3">
        <v>4</v>
      </c>
      <c r="AH235" s="3">
        <v>5</v>
      </c>
      <c r="AI235" s="3">
        <f>1/3</f>
        <v>0.33333333333333331</v>
      </c>
      <c r="AJ235" s="3">
        <f>1/3</f>
        <v>0.33333333333333331</v>
      </c>
      <c r="AK235" s="3">
        <v>5</v>
      </c>
    </row>
    <row r="236" spans="2:37" x14ac:dyDescent="0.5">
      <c r="B236" s="17" t="s">
        <v>4</v>
      </c>
      <c r="C236" s="11">
        <v>9</v>
      </c>
      <c r="D236" s="1">
        <v>8</v>
      </c>
      <c r="E236" s="1">
        <v>7</v>
      </c>
      <c r="F236" s="1">
        <v>6</v>
      </c>
      <c r="G236" s="1">
        <v>5</v>
      </c>
      <c r="H236" s="1">
        <v>4</v>
      </c>
      <c r="I236" s="1">
        <v>3</v>
      </c>
      <c r="J236" s="1">
        <v>2</v>
      </c>
      <c r="K236" s="1">
        <v>1</v>
      </c>
      <c r="L236" s="1">
        <v>2</v>
      </c>
      <c r="M236" s="1">
        <v>3</v>
      </c>
      <c r="N236" s="1">
        <v>4</v>
      </c>
      <c r="O236" s="33">
        <v>5</v>
      </c>
      <c r="P236" s="1">
        <v>6</v>
      </c>
      <c r="Q236" s="1">
        <v>7</v>
      </c>
      <c r="R236" s="1">
        <v>8</v>
      </c>
      <c r="S236" s="12">
        <v>9</v>
      </c>
      <c r="T236" s="12" t="s">
        <v>16</v>
      </c>
      <c r="V236" s="2" t="s">
        <v>14</v>
      </c>
      <c r="W236" s="3">
        <f>1/AG226</f>
        <v>2</v>
      </c>
      <c r="X236" s="3">
        <f>1/AG227</f>
        <v>0.33333333333333331</v>
      </c>
      <c r="Y236" s="3">
        <f>1/AG228</f>
        <v>3</v>
      </c>
      <c r="Z236" s="3">
        <f>1/AG229</f>
        <v>3</v>
      </c>
      <c r="AA236" s="3">
        <f>1/AG230</f>
        <v>3</v>
      </c>
      <c r="AB236" s="3">
        <f>1/AG231</f>
        <v>3</v>
      </c>
      <c r="AC236" s="3">
        <f>1/AG232</f>
        <v>0.33333333333333331</v>
      </c>
      <c r="AD236" s="3">
        <f>1/AG233</f>
        <v>2</v>
      </c>
      <c r="AE236" s="3">
        <f>1/AG234</f>
        <v>2</v>
      </c>
      <c r="AF236" s="3">
        <f>1/AG235</f>
        <v>0.25</v>
      </c>
      <c r="AG236" s="3">
        <v>1</v>
      </c>
      <c r="AH236" s="3">
        <v>2</v>
      </c>
      <c r="AI236" s="3">
        <f>1/5</f>
        <v>0.2</v>
      </c>
      <c r="AJ236" s="3">
        <f>1/6</f>
        <v>0.16666666666666666</v>
      </c>
      <c r="AK236" s="3">
        <v>2</v>
      </c>
    </row>
    <row r="237" spans="2:37" x14ac:dyDescent="0.5">
      <c r="B237" s="17" t="s">
        <v>4</v>
      </c>
      <c r="C237" s="11">
        <v>9</v>
      </c>
      <c r="D237" s="1">
        <v>8</v>
      </c>
      <c r="E237" s="1">
        <v>7</v>
      </c>
      <c r="F237" s="1">
        <v>6</v>
      </c>
      <c r="G237" s="1">
        <v>5</v>
      </c>
      <c r="H237" s="1">
        <v>4</v>
      </c>
      <c r="I237" s="1">
        <v>3</v>
      </c>
      <c r="J237" s="1">
        <v>2</v>
      </c>
      <c r="K237" s="1">
        <v>1</v>
      </c>
      <c r="L237" s="1">
        <v>2</v>
      </c>
      <c r="M237" s="1">
        <v>3</v>
      </c>
      <c r="N237" s="1">
        <v>4</v>
      </c>
      <c r="O237" s="1">
        <v>5</v>
      </c>
      <c r="P237" s="33">
        <v>6</v>
      </c>
      <c r="Q237" s="1">
        <v>7</v>
      </c>
      <c r="R237" s="1">
        <v>8</v>
      </c>
      <c r="S237" s="12">
        <v>9</v>
      </c>
      <c r="T237" s="12" t="s">
        <v>17</v>
      </c>
      <c r="V237" s="2" t="s">
        <v>15</v>
      </c>
      <c r="W237" s="3">
        <f>1/AH226</f>
        <v>0.33333333333333331</v>
      </c>
      <c r="X237" s="3">
        <f>1/AH227</f>
        <v>0.2</v>
      </c>
      <c r="Y237" s="3">
        <f>1/AH228</f>
        <v>0.25</v>
      </c>
      <c r="Z237" s="3">
        <f>1/AH229</f>
        <v>0.5</v>
      </c>
      <c r="AA237" s="3">
        <f>1/AH230</f>
        <v>3</v>
      </c>
      <c r="AB237" s="3">
        <f>1/AH231</f>
        <v>3</v>
      </c>
      <c r="AC237" s="3">
        <f>1/AH232</f>
        <v>0.33333333333333331</v>
      </c>
      <c r="AD237" s="3">
        <f>1/AH233</f>
        <v>1</v>
      </c>
      <c r="AE237" s="3">
        <f>1/AH234</f>
        <v>1</v>
      </c>
      <c r="AF237" s="3">
        <f>1/AH235</f>
        <v>0.2</v>
      </c>
      <c r="AG237" s="3">
        <f>1/AH236</f>
        <v>0.5</v>
      </c>
      <c r="AH237" s="3">
        <v>1</v>
      </c>
      <c r="AI237" s="3">
        <f>1/4</f>
        <v>0.25</v>
      </c>
      <c r="AJ237" s="3">
        <f>1/5</f>
        <v>0.2</v>
      </c>
      <c r="AK237" s="3">
        <v>1</v>
      </c>
    </row>
    <row r="238" spans="2:37" x14ac:dyDescent="0.5">
      <c r="B238" s="13" t="s">
        <v>4</v>
      </c>
      <c r="C238" s="13">
        <v>9</v>
      </c>
      <c r="D238" s="14">
        <v>8</v>
      </c>
      <c r="E238" s="14">
        <v>7</v>
      </c>
      <c r="F238" s="14">
        <v>6</v>
      </c>
      <c r="G238" s="14">
        <v>5</v>
      </c>
      <c r="H238" s="14">
        <v>4</v>
      </c>
      <c r="I238" s="14">
        <v>3</v>
      </c>
      <c r="J238" s="34">
        <v>2</v>
      </c>
      <c r="K238" s="14">
        <v>1</v>
      </c>
      <c r="L238" s="14">
        <v>2</v>
      </c>
      <c r="M238" s="14">
        <v>3</v>
      </c>
      <c r="N238" s="14">
        <v>4</v>
      </c>
      <c r="O238" s="14">
        <v>5</v>
      </c>
      <c r="P238" s="14">
        <v>6</v>
      </c>
      <c r="Q238" s="14">
        <v>7</v>
      </c>
      <c r="R238" s="14">
        <v>8</v>
      </c>
      <c r="S238" s="15">
        <v>9</v>
      </c>
      <c r="T238" s="15" t="s">
        <v>18</v>
      </c>
      <c r="V238" s="2" t="s">
        <v>16</v>
      </c>
      <c r="W238" s="3">
        <f>1/AI226</f>
        <v>5</v>
      </c>
      <c r="X238" s="3">
        <f>1/AI227</f>
        <v>3</v>
      </c>
      <c r="Y238" s="3">
        <f>1/AI228</f>
        <v>4</v>
      </c>
      <c r="Z238" s="3">
        <f>1/AI229</f>
        <v>6</v>
      </c>
      <c r="AA238" s="3">
        <f>1/AI230</f>
        <v>7</v>
      </c>
      <c r="AB238" s="3">
        <f>1/AI231</f>
        <v>7</v>
      </c>
      <c r="AC238" s="3">
        <f>1/AI232</f>
        <v>7</v>
      </c>
      <c r="AD238" s="3">
        <f>1/AI233</f>
        <v>1</v>
      </c>
      <c r="AE238" s="3">
        <f>1/AI234</f>
        <v>1</v>
      </c>
      <c r="AF238" s="3">
        <f>1/AI235</f>
        <v>3</v>
      </c>
      <c r="AG238" s="3">
        <f>1/AI236</f>
        <v>5</v>
      </c>
      <c r="AH238" s="3">
        <f>1/AI237</f>
        <v>4</v>
      </c>
      <c r="AI238" s="3">
        <v>1</v>
      </c>
      <c r="AJ238" s="3">
        <f>1/2</f>
        <v>0.5</v>
      </c>
      <c r="AK238" s="3">
        <v>3</v>
      </c>
    </row>
    <row r="239" spans="2:37" x14ac:dyDescent="0.5">
      <c r="B239" s="16" t="s">
        <v>5</v>
      </c>
      <c r="C239" s="11">
        <v>9</v>
      </c>
      <c r="D239" s="1">
        <v>8</v>
      </c>
      <c r="E239" s="1">
        <v>7</v>
      </c>
      <c r="F239" s="1">
        <v>6</v>
      </c>
      <c r="G239" s="1">
        <v>5</v>
      </c>
      <c r="H239" s="33">
        <v>4</v>
      </c>
      <c r="I239" s="1">
        <v>3</v>
      </c>
      <c r="J239" s="1">
        <v>2</v>
      </c>
      <c r="K239" s="1">
        <v>1</v>
      </c>
      <c r="L239" s="1">
        <v>2</v>
      </c>
      <c r="M239" s="1">
        <v>3</v>
      </c>
      <c r="N239" s="1">
        <v>4</v>
      </c>
      <c r="O239" s="1">
        <v>5</v>
      </c>
      <c r="P239" s="1">
        <v>6</v>
      </c>
      <c r="Q239" s="1">
        <v>7</v>
      </c>
      <c r="R239" s="1">
        <v>8</v>
      </c>
      <c r="S239" s="12">
        <v>9</v>
      </c>
      <c r="T239" s="12" t="s">
        <v>6</v>
      </c>
      <c r="V239" s="2" t="s">
        <v>17</v>
      </c>
      <c r="W239" s="3">
        <f>1/AJ226</f>
        <v>6</v>
      </c>
      <c r="X239" s="3">
        <f>1/AJ227</f>
        <v>4</v>
      </c>
      <c r="Y239" s="3">
        <f>1/AJ228</f>
        <v>5</v>
      </c>
      <c r="Z239" s="3">
        <f>1/AJ229</f>
        <v>7</v>
      </c>
      <c r="AA239" s="3">
        <f>1/AJ230</f>
        <v>8</v>
      </c>
      <c r="AB239" s="3">
        <f>1/AJ231</f>
        <v>8</v>
      </c>
      <c r="AC239" s="3">
        <f>1/AJ232</f>
        <v>8</v>
      </c>
      <c r="AD239" s="3">
        <f>1/AJ233</f>
        <v>6</v>
      </c>
      <c r="AE239" s="3">
        <f>1/AJ234</f>
        <v>6</v>
      </c>
      <c r="AF239" s="3">
        <f>1/AJ235</f>
        <v>3</v>
      </c>
      <c r="AG239" s="3">
        <f>1/AJ236</f>
        <v>6</v>
      </c>
      <c r="AH239" s="3">
        <f>1/AJ237</f>
        <v>5</v>
      </c>
      <c r="AI239" s="3">
        <f>1/AJ238</f>
        <v>2</v>
      </c>
      <c r="AJ239" s="3">
        <v>1</v>
      </c>
      <c r="AK239" s="3">
        <f>1/5</f>
        <v>0.2</v>
      </c>
    </row>
    <row r="240" spans="2:37" x14ac:dyDescent="0.5">
      <c r="B240" s="17" t="s">
        <v>5</v>
      </c>
      <c r="C240" s="11">
        <v>9</v>
      </c>
      <c r="D240" s="1">
        <v>8</v>
      </c>
      <c r="E240" s="1">
        <v>7</v>
      </c>
      <c r="F240" s="1">
        <v>6</v>
      </c>
      <c r="G240" s="33">
        <v>5</v>
      </c>
      <c r="H240" s="1">
        <v>4</v>
      </c>
      <c r="I240" s="18">
        <v>3</v>
      </c>
      <c r="J240" s="1">
        <v>2</v>
      </c>
      <c r="K240" s="1">
        <v>1</v>
      </c>
      <c r="L240" s="1">
        <v>2</v>
      </c>
      <c r="M240" s="1">
        <v>3</v>
      </c>
      <c r="N240" s="1">
        <v>4</v>
      </c>
      <c r="O240" s="1">
        <v>5</v>
      </c>
      <c r="P240" s="1">
        <v>6</v>
      </c>
      <c r="Q240" s="1">
        <v>7</v>
      </c>
      <c r="R240" s="1">
        <v>8</v>
      </c>
      <c r="S240" s="12">
        <v>9</v>
      </c>
      <c r="T240" s="12" t="s">
        <v>7</v>
      </c>
      <c r="V240" s="2" t="s">
        <v>18</v>
      </c>
      <c r="W240" s="3">
        <f>1/AK226</f>
        <v>0.5</v>
      </c>
      <c r="X240" s="3">
        <f>1/AK227</f>
        <v>0.2</v>
      </c>
      <c r="Y240" s="3">
        <f>1/AK228</f>
        <v>0.25</v>
      </c>
      <c r="Z240" s="3">
        <f>1/AK229</f>
        <v>0.5</v>
      </c>
      <c r="AA240" s="3">
        <f>1/AK230</f>
        <v>3</v>
      </c>
      <c r="AB240" s="3">
        <f>1/AK231</f>
        <v>3</v>
      </c>
      <c r="AC240" s="3" t="e">
        <f>1/AK232</f>
        <v>#DIV/0!</v>
      </c>
      <c r="AD240" s="3">
        <f>1/AK233</f>
        <v>7</v>
      </c>
      <c r="AE240" s="3">
        <f>1/AK234</f>
        <v>7</v>
      </c>
      <c r="AF240" s="3">
        <f>1/AK235</f>
        <v>0.2</v>
      </c>
      <c r="AG240" s="3">
        <f>1/AK236</f>
        <v>0.5</v>
      </c>
      <c r="AH240" s="3">
        <f>1/AK237</f>
        <v>1</v>
      </c>
      <c r="AI240" s="3">
        <f>1/AK238</f>
        <v>0.33333333333333331</v>
      </c>
      <c r="AJ240" s="3">
        <f>1/AK239</f>
        <v>5</v>
      </c>
      <c r="AK240" s="3">
        <v>1</v>
      </c>
    </row>
    <row r="241" spans="2:20" x14ac:dyDescent="0.5">
      <c r="B241" s="17" t="s">
        <v>5</v>
      </c>
      <c r="C241" s="11">
        <v>9</v>
      </c>
      <c r="D241" s="33">
        <v>8</v>
      </c>
      <c r="E241" s="1">
        <v>7</v>
      </c>
      <c r="F241" s="1">
        <v>6</v>
      </c>
      <c r="G241" s="1">
        <v>5</v>
      </c>
      <c r="H241" s="1">
        <v>4</v>
      </c>
      <c r="I241" s="1">
        <v>3</v>
      </c>
      <c r="J241" s="1">
        <v>2</v>
      </c>
      <c r="K241" s="1">
        <v>1</v>
      </c>
      <c r="L241" s="1">
        <v>2</v>
      </c>
      <c r="M241" s="1">
        <v>3</v>
      </c>
      <c r="N241" s="1">
        <v>4</v>
      </c>
      <c r="O241" s="1">
        <v>5</v>
      </c>
      <c r="P241" s="1">
        <v>6</v>
      </c>
      <c r="Q241" s="1">
        <v>7</v>
      </c>
      <c r="R241" s="1">
        <v>8</v>
      </c>
      <c r="S241" s="12">
        <v>9</v>
      </c>
      <c r="T241" s="12" t="s">
        <v>8</v>
      </c>
    </row>
    <row r="242" spans="2:20" x14ac:dyDescent="0.5">
      <c r="B242" s="17" t="s">
        <v>5</v>
      </c>
      <c r="C242" s="11">
        <v>9</v>
      </c>
      <c r="D242" s="33">
        <v>8</v>
      </c>
      <c r="E242" s="1">
        <v>7</v>
      </c>
      <c r="F242" s="1">
        <v>6</v>
      </c>
      <c r="G242" s="1">
        <v>5</v>
      </c>
      <c r="H242" s="1">
        <v>4</v>
      </c>
      <c r="I242" s="1">
        <v>3</v>
      </c>
      <c r="J242" s="1">
        <v>2</v>
      </c>
      <c r="K242" s="1">
        <v>1</v>
      </c>
      <c r="L242" s="1">
        <v>2</v>
      </c>
      <c r="M242" s="1">
        <v>3</v>
      </c>
      <c r="N242" s="1">
        <v>4</v>
      </c>
      <c r="O242" s="1">
        <v>5</v>
      </c>
      <c r="P242" s="1">
        <v>6</v>
      </c>
      <c r="Q242" s="1">
        <v>7</v>
      </c>
      <c r="R242" s="1">
        <v>8</v>
      </c>
      <c r="S242" s="12">
        <v>9</v>
      </c>
      <c r="T242" s="12" t="s">
        <v>9</v>
      </c>
    </row>
    <row r="243" spans="2:20" x14ac:dyDescent="0.5">
      <c r="B243" s="17" t="s">
        <v>5</v>
      </c>
      <c r="C243" s="11">
        <v>9</v>
      </c>
      <c r="D243" s="1">
        <v>8</v>
      </c>
      <c r="E243" s="1">
        <v>7</v>
      </c>
      <c r="F243" s="1">
        <v>6</v>
      </c>
      <c r="G243" s="1">
        <v>5</v>
      </c>
      <c r="H243" s="1">
        <v>4</v>
      </c>
      <c r="I243" s="1">
        <v>3</v>
      </c>
      <c r="J243" s="1">
        <v>2</v>
      </c>
      <c r="K243" s="1">
        <v>1</v>
      </c>
      <c r="L243" s="1">
        <v>2</v>
      </c>
      <c r="M243" s="1">
        <v>3</v>
      </c>
      <c r="N243" s="33">
        <v>4</v>
      </c>
      <c r="O243" s="1">
        <v>5</v>
      </c>
      <c r="P243" s="1">
        <v>6</v>
      </c>
      <c r="Q243" s="1">
        <v>7</v>
      </c>
      <c r="R243" s="1">
        <v>8</v>
      </c>
      <c r="S243" s="12">
        <v>9</v>
      </c>
      <c r="T243" s="12" t="s">
        <v>10</v>
      </c>
    </row>
    <row r="244" spans="2:20" x14ac:dyDescent="0.5">
      <c r="B244" s="17" t="s">
        <v>5</v>
      </c>
      <c r="C244" s="11">
        <v>9</v>
      </c>
      <c r="D244" s="1">
        <v>8</v>
      </c>
      <c r="E244" s="1">
        <v>7</v>
      </c>
      <c r="F244" s="1">
        <v>6</v>
      </c>
      <c r="G244" s="1">
        <v>5</v>
      </c>
      <c r="H244" s="1">
        <v>4</v>
      </c>
      <c r="I244" s="1">
        <v>3</v>
      </c>
      <c r="J244" s="33">
        <v>2</v>
      </c>
      <c r="K244" s="1">
        <v>1</v>
      </c>
      <c r="L244" s="1">
        <v>2</v>
      </c>
      <c r="M244" s="1">
        <v>3</v>
      </c>
      <c r="N244" s="1">
        <v>4</v>
      </c>
      <c r="O244" s="1">
        <v>5</v>
      </c>
      <c r="P244" s="1">
        <v>6</v>
      </c>
      <c r="Q244" s="1">
        <v>7</v>
      </c>
      <c r="R244" s="1">
        <v>8</v>
      </c>
      <c r="S244" s="12">
        <v>9</v>
      </c>
      <c r="T244" s="12" t="s">
        <v>11</v>
      </c>
    </row>
    <row r="245" spans="2:20" x14ac:dyDescent="0.5">
      <c r="B245" s="17" t="s">
        <v>5</v>
      </c>
      <c r="C245" s="11">
        <v>9</v>
      </c>
      <c r="D245" s="1">
        <v>8</v>
      </c>
      <c r="E245" s="1">
        <v>7</v>
      </c>
      <c r="F245" s="1">
        <v>6</v>
      </c>
      <c r="G245" s="1">
        <v>5</v>
      </c>
      <c r="H245" s="1">
        <v>4</v>
      </c>
      <c r="I245" s="1">
        <v>3</v>
      </c>
      <c r="J245" s="33">
        <v>2</v>
      </c>
      <c r="K245" s="1">
        <v>1</v>
      </c>
      <c r="L245" s="1">
        <v>2</v>
      </c>
      <c r="M245" s="1">
        <v>3</v>
      </c>
      <c r="N245" s="1">
        <v>4</v>
      </c>
      <c r="O245" s="1">
        <v>5</v>
      </c>
      <c r="P245" s="1">
        <v>6</v>
      </c>
      <c r="Q245" s="1">
        <v>7</v>
      </c>
      <c r="R245" s="1">
        <v>8</v>
      </c>
      <c r="S245" s="12">
        <v>9</v>
      </c>
      <c r="T245" s="12" t="s">
        <v>12</v>
      </c>
    </row>
    <row r="246" spans="2:20" x14ac:dyDescent="0.5">
      <c r="B246" s="17" t="s">
        <v>5</v>
      </c>
      <c r="C246" s="11">
        <v>9</v>
      </c>
      <c r="D246" s="1">
        <v>8</v>
      </c>
      <c r="E246" s="1">
        <v>7</v>
      </c>
      <c r="F246" s="1">
        <v>6</v>
      </c>
      <c r="G246" s="1">
        <v>5</v>
      </c>
      <c r="H246" s="1">
        <v>4</v>
      </c>
      <c r="I246" s="1">
        <v>3</v>
      </c>
      <c r="J246" s="1">
        <v>2</v>
      </c>
      <c r="K246" s="1">
        <v>1</v>
      </c>
      <c r="L246" s="1">
        <v>2</v>
      </c>
      <c r="M246" s="33">
        <v>3</v>
      </c>
      <c r="N246" s="1">
        <v>4</v>
      </c>
      <c r="O246" s="1">
        <v>5</v>
      </c>
      <c r="P246" s="1">
        <v>6</v>
      </c>
      <c r="Q246" s="1">
        <v>7</v>
      </c>
      <c r="R246" s="1">
        <v>8</v>
      </c>
      <c r="S246" s="12">
        <v>9</v>
      </c>
      <c r="T246" s="12" t="s">
        <v>13</v>
      </c>
    </row>
    <row r="247" spans="2:20" x14ac:dyDescent="0.5">
      <c r="B247" s="17" t="s">
        <v>5</v>
      </c>
      <c r="C247" s="11">
        <v>9</v>
      </c>
      <c r="D247" s="1">
        <v>8</v>
      </c>
      <c r="E247" s="1">
        <v>7</v>
      </c>
      <c r="F247" s="1">
        <v>6</v>
      </c>
      <c r="G247" s="1">
        <v>5</v>
      </c>
      <c r="H247" s="1">
        <v>4</v>
      </c>
      <c r="I247" s="33">
        <v>3</v>
      </c>
      <c r="J247" s="1">
        <v>2</v>
      </c>
      <c r="K247" s="1">
        <v>1</v>
      </c>
      <c r="L247" s="1">
        <v>2</v>
      </c>
      <c r="M247" s="1">
        <v>3</v>
      </c>
      <c r="N247" s="1">
        <v>4</v>
      </c>
      <c r="O247" s="1">
        <v>5</v>
      </c>
      <c r="P247" s="1">
        <v>6</v>
      </c>
      <c r="Q247" s="1">
        <v>7</v>
      </c>
      <c r="R247" s="1">
        <v>8</v>
      </c>
      <c r="S247" s="12">
        <v>9</v>
      </c>
      <c r="T247" s="12" t="s">
        <v>14</v>
      </c>
    </row>
    <row r="248" spans="2:20" x14ac:dyDescent="0.5">
      <c r="B248" s="17" t="s">
        <v>5</v>
      </c>
      <c r="C248" s="11">
        <v>9</v>
      </c>
      <c r="D248" s="1">
        <v>8</v>
      </c>
      <c r="E248" s="1">
        <v>7</v>
      </c>
      <c r="F248" s="1">
        <v>6</v>
      </c>
      <c r="G248" s="33">
        <v>5</v>
      </c>
      <c r="H248" s="1">
        <v>4</v>
      </c>
      <c r="I248" s="1">
        <v>3</v>
      </c>
      <c r="J248" s="1">
        <v>2</v>
      </c>
      <c r="K248" s="1">
        <v>1</v>
      </c>
      <c r="L248" s="1">
        <v>2</v>
      </c>
      <c r="M248" s="1">
        <v>3</v>
      </c>
      <c r="N248" s="1">
        <v>4</v>
      </c>
      <c r="O248" s="1">
        <v>5</v>
      </c>
      <c r="P248" s="1">
        <v>6</v>
      </c>
      <c r="Q248" s="1">
        <v>7</v>
      </c>
      <c r="R248" s="1">
        <v>8</v>
      </c>
      <c r="S248" s="12">
        <v>9</v>
      </c>
      <c r="T248" s="12" t="s">
        <v>15</v>
      </c>
    </row>
    <row r="249" spans="2:20" x14ac:dyDescent="0.5">
      <c r="B249" s="17" t="s">
        <v>5</v>
      </c>
      <c r="C249" s="11">
        <v>9</v>
      </c>
      <c r="D249" s="1">
        <v>8</v>
      </c>
      <c r="E249" s="1">
        <v>7</v>
      </c>
      <c r="F249" s="1">
        <v>6</v>
      </c>
      <c r="G249" s="1">
        <v>5</v>
      </c>
      <c r="H249" s="1">
        <v>4</v>
      </c>
      <c r="I249" s="1">
        <v>3</v>
      </c>
      <c r="J249" s="1">
        <v>2</v>
      </c>
      <c r="K249" s="1">
        <v>1</v>
      </c>
      <c r="L249" s="1">
        <v>2</v>
      </c>
      <c r="M249" s="33">
        <v>3</v>
      </c>
      <c r="N249" s="1">
        <v>4</v>
      </c>
      <c r="O249" s="1">
        <v>5</v>
      </c>
      <c r="P249" s="1">
        <v>6</v>
      </c>
      <c r="Q249" s="1">
        <v>7</v>
      </c>
      <c r="R249" s="1">
        <v>8</v>
      </c>
      <c r="S249" s="12">
        <v>9</v>
      </c>
      <c r="T249" s="12" t="s">
        <v>16</v>
      </c>
    </row>
    <row r="250" spans="2:20" x14ac:dyDescent="0.5">
      <c r="B250" s="17" t="s">
        <v>5</v>
      </c>
      <c r="C250" s="11">
        <v>9</v>
      </c>
      <c r="D250" s="1">
        <v>8</v>
      </c>
      <c r="E250" s="1">
        <v>7</v>
      </c>
      <c r="F250" s="1">
        <v>6</v>
      </c>
      <c r="G250" s="1">
        <v>5</v>
      </c>
      <c r="H250" s="1">
        <v>4</v>
      </c>
      <c r="I250" s="1">
        <v>3</v>
      </c>
      <c r="J250" s="1">
        <v>2</v>
      </c>
      <c r="K250" s="1">
        <v>1</v>
      </c>
      <c r="L250" s="1">
        <v>2</v>
      </c>
      <c r="M250" s="1">
        <v>3</v>
      </c>
      <c r="N250" s="33">
        <v>4</v>
      </c>
      <c r="O250" s="1">
        <v>5</v>
      </c>
      <c r="P250" s="1">
        <v>6</v>
      </c>
      <c r="Q250" s="1">
        <v>7</v>
      </c>
      <c r="R250" s="1">
        <v>8</v>
      </c>
      <c r="S250" s="12">
        <v>9</v>
      </c>
      <c r="T250" s="12" t="s">
        <v>17</v>
      </c>
    </row>
    <row r="251" spans="2:20" x14ac:dyDescent="0.5">
      <c r="B251" s="19" t="s">
        <v>5</v>
      </c>
      <c r="C251" s="13">
        <v>9</v>
      </c>
      <c r="D251" s="14">
        <v>8</v>
      </c>
      <c r="E251" s="14">
        <v>7</v>
      </c>
      <c r="F251" s="14">
        <v>6</v>
      </c>
      <c r="G251" s="34">
        <v>5</v>
      </c>
      <c r="H251" s="14">
        <v>4</v>
      </c>
      <c r="I251" s="14">
        <v>3</v>
      </c>
      <c r="J251" s="14">
        <v>2</v>
      </c>
      <c r="K251" s="14">
        <v>1</v>
      </c>
      <c r="L251" s="14">
        <v>2</v>
      </c>
      <c r="M251" s="14">
        <v>3</v>
      </c>
      <c r="N251" s="14">
        <v>4</v>
      </c>
      <c r="O251" s="14">
        <v>5</v>
      </c>
      <c r="P251" s="14">
        <v>6</v>
      </c>
      <c r="Q251" s="14">
        <v>7</v>
      </c>
      <c r="R251" s="14">
        <v>8</v>
      </c>
      <c r="S251" s="15">
        <v>9</v>
      </c>
      <c r="T251" s="15" t="s">
        <v>18</v>
      </c>
    </row>
    <row r="252" spans="2:20" x14ac:dyDescent="0.5">
      <c r="B252" s="16" t="s">
        <v>6</v>
      </c>
      <c r="C252" s="11">
        <v>9</v>
      </c>
      <c r="D252" s="1">
        <v>8</v>
      </c>
      <c r="E252" s="1">
        <v>7</v>
      </c>
      <c r="F252" s="1">
        <v>6</v>
      </c>
      <c r="G252" s="1">
        <v>5</v>
      </c>
      <c r="H252" s="33">
        <v>4</v>
      </c>
      <c r="I252" s="18">
        <v>3</v>
      </c>
      <c r="J252" s="1">
        <v>2</v>
      </c>
      <c r="K252" s="1">
        <v>1</v>
      </c>
      <c r="L252" s="1">
        <v>2</v>
      </c>
      <c r="M252" s="1">
        <v>3</v>
      </c>
      <c r="N252" s="1">
        <v>4</v>
      </c>
      <c r="O252" s="1">
        <v>5</v>
      </c>
      <c r="P252" s="1">
        <v>6</v>
      </c>
      <c r="Q252" s="1">
        <v>7</v>
      </c>
      <c r="R252" s="1">
        <v>8</v>
      </c>
      <c r="S252" s="12">
        <v>9</v>
      </c>
      <c r="T252" s="12" t="s">
        <v>7</v>
      </c>
    </row>
    <row r="253" spans="2:20" x14ac:dyDescent="0.5">
      <c r="B253" s="17" t="s">
        <v>6</v>
      </c>
      <c r="C253" s="11">
        <v>9</v>
      </c>
      <c r="D253" s="33">
        <v>8</v>
      </c>
      <c r="E253" s="1">
        <v>7</v>
      </c>
      <c r="F253" s="1">
        <v>6</v>
      </c>
      <c r="G253" s="1">
        <v>5</v>
      </c>
      <c r="H253" s="1">
        <v>4</v>
      </c>
      <c r="I253" s="1">
        <v>3</v>
      </c>
      <c r="J253" s="1">
        <v>2</v>
      </c>
      <c r="K253" s="1">
        <v>1</v>
      </c>
      <c r="L253" s="1">
        <v>2</v>
      </c>
      <c r="M253" s="1">
        <v>3</v>
      </c>
      <c r="N253" s="1">
        <v>4</v>
      </c>
      <c r="O253" s="1">
        <v>5</v>
      </c>
      <c r="P253" s="1">
        <v>6</v>
      </c>
      <c r="Q253" s="1">
        <v>7</v>
      </c>
      <c r="R253" s="1">
        <v>8</v>
      </c>
      <c r="S253" s="12">
        <v>9</v>
      </c>
      <c r="T253" s="12" t="s">
        <v>8</v>
      </c>
    </row>
    <row r="254" spans="2:20" x14ac:dyDescent="0.5">
      <c r="B254" s="17" t="s">
        <v>6</v>
      </c>
      <c r="C254" s="11">
        <v>9</v>
      </c>
      <c r="D254" s="33">
        <v>8</v>
      </c>
      <c r="E254" s="1">
        <v>7</v>
      </c>
      <c r="F254" s="1">
        <v>6</v>
      </c>
      <c r="G254" s="1">
        <v>5</v>
      </c>
      <c r="H254" s="1">
        <v>4</v>
      </c>
      <c r="I254" s="1">
        <v>3</v>
      </c>
      <c r="J254" s="1">
        <v>2</v>
      </c>
      <c r="K254" s="1">
        <v>1</v>
      </c>
      <c r="L254" s="1">
        <v>2</v>
      </c>
      <c r="M254" s="1">
        <v>3</v>
      </c>
      <c r="N254" s="1">
        <v>4</v>
      </c>
      <c r="O254" s="1">
        <v>5</v>
      </c>
      <c r="P254" s="1">
        <v>6</v>
      </c>
      <c r="Q254" s="1">
        <v>7</v>
      </c>
      <c r="R254" s="1">
        <v>8</v>
      </c>
      <c r="S254" s="12">
        <v>9</v>
      </c>
      <c r="T254" s="12" t="s">
        <v>9</v>
      </c>
    </row>
    <row r="255" spans="2:20" x14ac:dyDescent="0.5">
      <c r="B255" s="17" t="s">
        <v>6</v>
      </c>
      <c r="C255" s="11">
        <v>9</v>
      </c>
      <c r="D255" s="1">
        <v>8</v>
      </c>
      <c r="E255" s="1">
        <v>7</v>
      </c>
      <c r="F255" s="1">
        <v>6</v>
      </c>
      <c r="G255" s="1">
        <v>5</v>
      </c>
      <c r="H255" s="1">
        <v>4</v>
      </c>
      <c r="I255" s="1">
        <v>3</v>
      </c>
      <c r="J255" s="1">
        <v>2</v>
      </c>
      <c r="K255" s="1">
        <v>1</v>
      </c>
      <c r="L255" s="1">
        <v>2</v>
      </c>
      <c r="M255" s="1">
        <v>3</v>
      </c>
      <c r="N255" s="1">
        <v>4</v>
      </c>
      <c r="O255" s="33">
        <v>5</v>
      </c>
      <c r="P255" s="1">
        <v>6</v>
      </c>
      <c r="Q255" s="1">
        <v>7</v>
      </c>
      <c r="R255" s="1">
        <v>8</v>
      </c>
      <c r="S255" s="12">
        <v>9</v>
      </c>
      <c r="T255" s="12" t="s">
        <v>10</v>
      </c>
    </row>
    <row r="256" spans="2:20" x14ac:dyDescent="0.5">
      <c r="B256" s="17" t="s">
        <v>6</v>
      </c>
      <c r="C256" s="11">
        <v>9</v>
      </c>
      <c r="D256" s="1">
        <v>8</v>
      </c>
      <c r="E256" s="1">
        <v>7</v>
      </c>
      <c r="F256" s="1">
        <v>6</v>
      </c>
      <c r="G256" s="1">
        <v>5</v>
      </c>
      <c r="H256" s="1">
        <v>4</v>
      </c>
      <c r="I256" s="33">
        <v>3</v>
      </c>
      <c r="J256" s="1">
        <v>2</v>
      </c>
      <c r="K256" s="1">
        <v>1</v>
      </c>
      <c r="L256" s="1">
        <v>2</v>
      </c>
      <c r="M256" s="1">
        <v>3</v>
      </c>
      <c r="N256" s="1">
        <v>4</v>
      </c>
      <c r="O256" s="1">
        <v>5</v>
      </c>
      <c r="P256" s="1">
        <v>6</v>
      </c>
      <c r="Q256" s="1">
        <v>7</v>
      </c>
      <c r="R256" s="1">
        <v>8</v>
      </c>
      <c r="S256" s="12">
        <v>9</v>
      </c>
      <c r="T256" s="12" t="s">
        <v>11</v>
      </c>
    </row>
    <row r="257" spans="2:20" x14ac:dyDescent="0.5">
      <c r="B257" s="17" t="s">
        <v>6</v>
      </c>
      <c r="C257" s="11">
        <v>9</v>
      </c>
      <c r="D257" s="1">
        <v>8</v>
      </c>
      <c r="E257" s="1">
        <v>7</v>
      </c>
      <c r="F257" s="1">
        <v>6</v>
      </c>
      <c r="G257" s="1">
        <v>5</v>
      </c>
      <c r="H257" s="1">
        <v>4</v>
      </c>
      <c r="I257" s="33">
        <v>3</v>
      </c>
      <c r="J257" s="1">
        <v>2</v>
      </c>
      <c r="K257" s="1">
        <v>1</v>
      </c>
      <c r="L257" s="1">
        <v>2</v>
      </c>
      <c r="M257" s="1">
        <v>3</v>
      </c>
      <c r="N257" s="1">
        <v>4</v>
      </c>
      <c r="O257" s="1">
        <v>5</v>
      </c>
      <c r="P257" s="1">
        <v>6</v>
      </c>
      <c r="Q257" s="1">
        <v>7</v>
      </c>
      <c r="R257" s="1">
        <v>8</v>
      </c>
      <c r="S257" s="12">
        <v>9</v>
      </c>
      <c r="T257" s="12" t="s">
        <v>12</v>
      </c>
    </row>
    <row r="258" spans="2:20" x14ac:dyDescent="0.5">
      <c r="B258" s="17" t="s">
        <v>6</v>
      </c>
      <c r="C258" s="11">
        <v>9</v>
      </c>
      <c r="D258" s="1">
        <v>8</v>
      </c>
      <c r="E258" s="1">
        <v>7</v>
      </c>
      <c r="F258" s="1">
        <v>6</v>
      </c>
      <c r="G258" s="1">
        <v>5</v>
      </c>
      <c r="H258" s="1">
        <v>4</v>
      </c>
      <c r="I258" s="1">
        <v>3</v>
      </c>
      <c r="J258" s="1">
        <v>2</v>
      </c>
      <c r="K258" s="1">
        <v>1</v>
      </c>
      <c r="L258" s="1">
        <v>2</v>
      </c>
      <c r="M258" s="33">
        <v>3</v>
      </c>
      <c r="N258" s="1">
        <v>4</v>
      </c>
      <c r="O258" s="1">
        <v>5</v>
      </c>
      <c r="P258" s="1">
        <v>6</v>
      </c>
      <c r="Q258" s="1">
        <v>7</v>
      </c>
      <c r="R258" s="1">
        <v>8</v>
      </c>
      <c r="S258" s="12">
        <v>9</v>
      </c>
      <c r="T258" s="12" t="s">
        <v>13</v>
      </c>
    </row>
    <row r="259" spans="2:20" x14ac:dyDescent="0.5">
      <c r="B259" s="17" t="s">
        <v>6</v>
      </c>
      <c r="C259" s="11">
        <v>9</v>
      </c>
      <c r="D259" s="1">
        <v>8</v>
      </c>
      <c r="E259" s="1">
        <v>7</v>
      </c>
      <c r="F259" s="1">
        <v>6</v>
      </c>
      <c r="G259" s="1">
        <v>5</v>
      </c>
      <c r="H259" s="1">
        <v>4</v>
      </c>
      <c r="I259" s="1">
        <v>3</v>
      </c>
      <c r="J259" s="1">
        <v>2</v>
      </c>
      <c r="K259" s="1">
        <v>1</v>
      </c>
      <c r="L259" s="1">
        <v>2</v>
      </c>
      <c r="M259" s="33">
        <v>3</v>
      </c>
      <c r="N259" s="1">
        <v>4</v>
      </c>
      <c r="O259" s="1">
        <v>5</v>
      </c>
      <c r="P259" s="1">
        <v>6</v>
      </c>
      <c r="Q259" s="1">
        <v>7</v>
      </c>
      <c r="R259" s="1">
        <v>8</v>
      </c>
      <c r="S259" s="12">
        <v>9</v>
      </c>
      <c r="T259" s="12" t="s">
        <v>14</v>
      </c>
    </row>
    <row r="260" spans="2:20" x14ac:dyDescent="0.5">
      <c r="B260" s="17" t="s">
        <v>6</v>
      </c>
      <c r="C260" s="11">
        <v>9</v>
      </c>
      <c r="D260" s="1">
        <v>8</v>
      </c>
      <c r="E260" s="1">
        <v>7</v>
      </c>
      <c r="F260" s="1">
        <v>6</v>
      </c>
      <c r="G260" s="1">
        <v>5</v>
      </c>
      <c r="H260" s="33">
        <v>4</v>
      </c>
      <c r="I260" s="1">
        <v>3</v>
      </c>
      <c r="J260" s="1">
        <v>2</v>
      </c>
      <c r="K260" s="1">
        <v>1</v>
      </c>
      <c r="L260" s="1">
        <v>2</v>
      </c>
      <c r="M260" s="1">
        <v>3</v>
      </c>
      <c r="N260" s="1">
        <v>4</v>
      </c>
      <c r="O260" s="1">
        <v>5</v>
      </c>
      <c r="P260" s="1">
        <v>6</v>
      </c>
      <c r="Q260" s="1">
        <v>7</v>
      </c>
      <c r="R260" s="1">
        <v>8</v>
      </c>
      <c r="S260" s="12">
        <v>9</v>
      </c>
      <c r="T260" s="12" t="s">
        <v>15</v>
      </c>
    </row>
    <row r="261" spans="2:20" x14ac:dyDescent="0.5">
      <c r="B261" s="17" t="s">
        <v>6</v>
      </c>
      <c r="C261" s="11">
        <v>9</v>
      </c>
      <c r="D261" s="1">
        <v>8</v>
      </c>
      <c r="E261" s="1">
        <v>7</v>
      </c>
      <c r="F261" s="1">
        <v>6</v>
      </c>
      <c r="G261" s="1">
        <v>5</v>
      </c>
      <c r="H261" s="1">
        <v>4</v>
      </c>
      <c r="I261" s="1">
        <v>3</v>
      </c>
      <c r="J261" s="1">
        <v>2</v>
      </c>
      <c r="K261" s="1">
        <v>1</v>
      </c>
      <c r="L261" s="1">
        <v>2</v>
      </c>
      <c r="M261" s="1">
        <v>3</v>
      </c>
      <c r="N261" s="33">
        <v>4</v>
      </c>
      <c r="O261" s="1">
        <v>5</v>
      </c>
      <c r="P261" s="1">
        <v>6</v>
      </c>
      <c r="Q261" s="1">
        <v>7</v>
      </c>
      <c r="R261" s="1">
        <v>8</v>
      </c>
      <c r="S261" s="12">
        <v>9</v>
      </c>
      <c r="T261" s="12" t="s">
        <v>16</v>
      </c>
    </row>
    <row r="262" spans="2:20" x14ac:dyDescent="0.5">
      <c r="B262" s="17" t="s">
        <v>6</v>
      </c>
      <c r="C262" s="11">
        <v>9</v>
      </c>
      <c r="D262" s="1">
        <v>8</v>
      </c>
      <c r="E262" s="1">
        <v>7</v>
      </c>
      <c r="F262" s="1">
        <v>6</v>
      </c>
      <c r="G262" s="1">
        <v>5</v>
      </c>
      <c r="H262" s="1">
        <v>4</v>
      </c>
      <c r="I262" s="1">
        <v>3</v>
      </c>
      <c r="J262" s="1">
        <v>2</v>
      </c>
      <c r="K262" s="1">
        <v>1</v>
      </c>
      <c r="L262" s="1">
        <v>2</v>
      </c>
      <c r="M262" s="1">
        <v>3</v>
      </c>
      <c r="N262" s="1">
        <v>4</v>
      </c>
      <c r="O262" s="33">
        <v>5</v>
      </c>
      <c r="P262" s="1">
        <v>6</v>
      </c>
      <c r="Q262" s="1">
        <v>7</v>
      </c>
      <c r="R262" s="1">
        <v>8</v>
      </c>
      <c r="S262" s="12">
        <v>9</v>
      </c>
      <c r="T262" s="12" t="s">
        <v>17</v>
      </c>
    </row>
    <row r="263" spans="2:20" x14ac:dyDescent="0.5">
      <c r="B263" s="17" t="s">
        <v>6</v>
      </c>
      <c r="C263" s="13">
        <v>9</v>
      </c>
      <c r="D263" s="14">
        <v>8</v>
      </c>
      <c r="E263" s="14">
        <v>7</v>
      </c>
      <c r="F263" s="14">
        <v>6</v>
      </c>
      <c r="G263" s="14">
        <v>5</v>
      </c>
      <c r="H263" s="34">
        <v>4</v>
      </c>
      <c r="I263" s="14">
        <v>3</v>
      </c>
      <c r="J263" s="14">
        <v>2</v>
      </c>
      <c r="K263" s="14">
        <v>1</v>
      </c>
      <c r="L263" s="14">
        <v>2</v>
      </c>
      <c r="M263" s="14">
        <v>3</v>
      </c>
      <c r="N263" s="14">
        <v>4</v>
      </c>
      <c r="O263" s="14">
        <v>5</v>
      </c>
      <c r="P263" s="14">
        <v>6</v>
      </c>
      <c r="Q263" s="14">
        <v>7</v>
      </c>
      <c r="R263" s="14">
        <v>8</v>
      </c>
      <c r="S263" s="15">
        <v>9</v>
      </c>
      <c r="T263" s="15" t="s">
        <v>18</v>
      </c>
    </row>
    <row r="264" spans="2:20" x14ac:dyDescent="0.5">
      <c r="B264" s="16" t="s">
        <v>7</v>
      </c>
      <c r="C264" s="11">
        <v>9</v>
      </c>
      <c r="D264" s="1">
        <v>8</v>
      </c>
      <c r="E264" s="1">
        <v>7</v>
      </c>
      <c r="F264" s="1">
        <v>6</v>
      </c>
      <c r="G264" s="1">
        <v>5</v>
      </c>
      <c r="H264" s="1">
        <v>4</v>
      </c>
      <c r="I264" s="1">
        <v>3</v>
      </c>
      <c r="J264" s="33">
        <v>2</v>
      </c>
      <c r="K264" s="1">
        <v>1</v>
      </c>
      <c r="L264" s="1">
        <v>2</v>
      </c>
      <c r="M264" s="1">
        <v>3</v>
      </c>
      <c r="N264" s="1">
        <v>4</v>
      </c>
      <c r="O264" s="1">
        <v>5</v>
      </c>
      <c r="P264" s="1">
        <v>6</v>
      </c>
      <c r="Q264" s="1">
        <v>7</v>
      </c>
      <c r="R264" s="1">
        <v>8</v>
      </c>
      <c r="S264" s="12">
        <v>9</v>
      </c>
      <c r="T264" s="12" t="s">
        <v>8</v>
      </c>
    </row>
    <row r="265" spans="2:20" x14ac:dyDescent="0.5">
      <c r="B265" s="17" t="s">
        <v>7</v>
      </c>
      <c r="C265" s="11">
        <v>9</v>
      </c>
      <c r="D265" s="1">
        <v>8</v>
      </c>
      <c r="E265" s="1">
        <v>7</v>
      </c>
      <c r="F265" s="1">
        <v>6</v>
      </c>
      <c r="G265" s="1">
        <v>5</v>
      </c>
      <c r="H265" s="1">
        <v>4</v>
      </c>
      <c r="I265" s="1">
        <v>3</v>
      </c>
      <c r="J265" s="33">
        <v>2</v>
      </c>
      <c r="K265" s="1">
        <v>1</v>
      </c>
      <c r="L265" s="1">
        <v>2</v>
      </c>
      <c r="M265" s="1">
        <v>3</v>
      </c>
      <c r="N265" s="1">
        <v>4</v>
      </c>
      <c r="O265" s="1">
        <v>5</v>
      </c>
      <c r="P265" s="1">
        <v>6</v>
      </c>
      <c r="Q265" s="1">
        <v>7</v>
      </c>
      <c r="R265" s="1">
        <v>8</v>
      </c>
      <c r="S265" s="12">
        <v>9</v>
      </c>
      <c r="T265" s="12" t="s">
        <v>9</v>
      </c>
    </row>
    <row r="266" spans="2:20" x14ac:dyDescent="0.5">
      <c r="B266" s="17" t="s">
        <v>7</v>
      </c>
      <c r="C266" s="11">
        <v>9</v>
      </c>
      <c r="D266" s="1">
        <v>8</v>
      </c>
      <c r="E266" s="1">
        <v>7</v>
      </c>
      <c r="F266" s="1">
        <v>6</v>
      </c>
      <c r="G266" s="1">
        <v>5</v>
      </c>
      <c r="H266" s="1">
        <v>4</v>
      </c>
      <c r="I266" s="1">
        <v>3</v>
      </c>
      <c r="J266" s="1">
        <v>2</v>
      </c>
      <c r="K266" s="1">
        <v>1</v>
      </c>
      <c r="L266" s="1">
        <v>2</v>
      </c>
      <c r="M266" s="1">
        <v>3</v>
      </c>
      <c r="N266" s="1">
        <v>4</v>
      </c>
      <c r="O266" s="33">
        <v>5</v>
      </c>
      <c r="P266" s="1">
        <v>6</v>
      </c>
      <c r="Q266" s="1">
        <v>7</v>
      </c>
      <c r="R266" s="1">
        <v>8</v>
      </c>
      <c r="S266" s="12">
        <v>9</v>
      </c>
      <c r="T266" s="12" t="s">
        <v>10</v>
      </c>
    </row>
    <row r="267" spans="2:20" x14ac:dyDescent="0.5">
      <c r="B267" s="17" t="s">
        <v>7</v>
      </c>
      <c r="C267" s="11">
        <v>9</v>
      </c>
      <c r="D267" s="1">
        <v>8</v>
      </c>
      <c r="E267" s="1">
        <v>7</v>
      </c>
      <c r="F267" s="1">
        <v>6</v>
      </c>
      <c r="G267" s="1">
        <v>5</v>
      </c>
      <c r="H267" s="1">
        <v>4</v>
      </c>
      <c r="I267" s="1">
        <v>3</v>
      </c>
      <c r="J267" s="1">
        <v>2</v>
      </c>
      <c r="K267" s="1">
        <v>1</v>
      </c>
      <c r="L267" s="1">
        <v>2</v>
      </c>
      <c r="M267" s="33">
        <v>3</v>
      </c>
      <c r="N267" s="1">
        <v>4</v>
      </c>
      <c r="O267" s="1">
        <v>5</v>
      </c>
      <c r="P267" s="1">
        <v>6</v>
      </c>
      <c r="Q267" s="1">
        <v>7</v>
      </c>
      <c r="R267" s="1">
        <v>8</v>
      </c>
      <c r="S267" s="12">
        <v>9</v>
      </c>
      <c r="T267" s="12" t="s">
        <v>11</v>
      </c>
    </row>
    <row r="268" spans="2:20" x14ac:dyDescent="0.5">
      <c r="B268" s="17" t="s">
        <v>7</v>
      </c>
      <c r="C268" s="11">
        <v>9</v>
      </c>
      <c r="D268" s="1">
        <v>8</v>
      </c>
      <c r="E268" s="1">
        <v>7</v>
      </c>
      <c r="F268" s="1">
        <v>6</v>
      </c>
      <c r="G268" s="1">
        <v>5</v>
      </c>
      <c r="H268" s="1">
        <v>4</v>
      </c>
      <c r="I268" s="1">
        <v>3</v>
      </c>
      <c r="J268" s="1">
        <v>2</v>
      </c>
      <c r="K268" s="1">
        <v>1</v>
      </c>
      <c r="L268" s="1">
        <v>2</v>
      </c>
      <c r="M268" s="33">
        <v>3</v>
      </c>
      <c r="N268" s="1">
        <v>4</v>
      </c>
      <c r="O268" s="1">
        <v>5</v>
      </c>
      <c r="P268" s="1">
        <v>6</v>
      </c>
      <c r="Q268" s="1">
        <v>7</v>
      </c>
      <c r="R268" s="1">
        <v>8</v>
      </c>
      <c r="S268" s="12">
        <v>9</v>
      </c>
      <c r="T268" s="12" t="s">
        <v>12</v>
      </c>
    </row>
    <row r="269" spans="2:20" x14ac:dyDescent="0.5">
      <c r="B269" s="17" t="s">
        <v>7</v>
      </c>
      <c r="C269" s="11">
        <v>9</v>
      </c>
      <c r="D269" s="1">
        <v>8</v>
      </c>
      <c r="E269" s="1">
        <v>7</v>
      </c>
      <c r="F269" s="1">
        <v>6</v>
      </c>
      <c r="G269" s="1">
        <v>5</v>
      </c>
      <c r="H269" s="1">
        <v>4</v>
      </c>
      <c r="I269" s="1">
        <v>3</v>
      </c>
      <c r="J269" s="1">
        <v>2</v>
      </c>
      <c r="K269" s="1">
        <v>1</v>
      </c>
      <c r="L269" s="1">
        <v>2</v>
      </c>
      <c r="M269" s="1">
        <v>3</v>
      </c>
      <c r="N269" s="1">
        <v>4</v>
      </c>
      <c r="O269" s="33">
        <v>5</v>
      </c>
      <c r="P269" s="1">
        <v>6</v>
      </c>
      <c r="Q269" s="1">
        <v>7</v>
      </c>
      <c r="R269" s="1">
        <v>8</v>
      </c>
      <c r="S269" s="12">
        <v>9</v>
      </c>
      <c r="T269" s="12" t="s">
        <v>13</v>
      </c>
    </row>
    <row r="270" spans="2:20" x14ac:dyDescent="0.5">
      <c r="B270" s="17" t="s">
        <v>7</v>
      </c>
      <c r="C270" s="11">
        <v>9</v>
      </c>
      <c r="D270" s="1">
        <v>8</v>
      </c>
      <c r="E270" s="1">
        <v>7</v>
      </c>
      <c r="F270" s="1">
        <v>6</v>
      </c>
      <c r="G270" s="1">
        <v>5</v>
      </c>
      <c r="H270" s="1">
        <v>4</v>
      </c>
      <c r="I270" s="1">
        <v>3</v>
      </c>
      <c r="J270" s="1">
        <v>2</v>
      </c>
      <c r="K270" s="1">
        <v>1</v>
      </c>
      <c r="L270" s="1">
        <v>2</v>
      </c>
      <c r="M270" s="33">
        <v>3</v>
      </c>
      <c r="N270" s="1">
        <v>4</v>
      </c>
      <c r="O270" s="1">
        <v>5</v>
      </c>
      <c r="P270" s="1">
        <v>6</v>
      </c>
      <c r="Q270" s="1">
        <v>7</v>
      </c>
      <c r="R270" s="1">
        <v>8</v>
      </c>
      <c r="S270" s="12">
        <v>9</v>
      </c>
      <c r="T270" s="12" t="s">
        <v>14</v>
      </c>
    </row>
    <row r="271" spans="2:20" x14ac:dyDescent="0.5">
      <c r="B271" s="17" t="s">
        <v>7</v>
      </c>
      <c r="C271" s="11">
        <v>9</v>
      </c>
      <c r="D271" s="1">
        <v>8</v>
      </c>
      <c r="E271" s="1">
        <v>7</v>
      </c>
      <c r="F271" s="1">
        <v>6</v>
      </c>
      <c r="G271" s="1">
        <v>5</v>
      </c>
      <c r="H271" s="1">
        <v>4</v>
      </c>
      <c r="I271" s="1">
        <v>3</v>
      </c>
      <c r="J271" s="33">
        <v>2</v>
      </c>
      <c r="K271" s="1">
        <v>1</v>
      </c>
      <c r="L271" s="1">
        <v>2</v>
      </c>
      <c r="M271" s="1">
        <v>3</v>
      </c>
      <c r="N271" s="1">
        <v>4</v>
      </c>
      <c r="O271" s="1">
        <v>5</v>
      </c>
      <c r="P271" s="1">
        <v>6</v>
      </c>
      <c r="Q271" s="1">
        <v>7</v>
      </c>
      <c r="R271" s="1">
        <v>8</v>
      </c>
      <c r="S271" s="12">
        <v>9</v>
      </c>
      <c r="T271" s="12" t="s">
        <v>15</v>
      </c>
    </row>
    <row r="272" spans="2:20" x14ac:dyDescent="0.5">
      <c r="B272" s="17" t="s">
        <v>7</v>
      </c>
      <c r="C272" s="11">
        <v>9</v>
      </c>
      <c r="D272" s="1">
        <v>8</v>
      </c>
      <c r="E272" s="1">
        <v>7</v>
      </c>
      <c r="F272" s="1">
        <v>6</v>
      </c>
      <c r="G272" s="1">
        <v>5</v>
      </c>
      <c r="H272" s="1">
        <v>4</v>
      </c>
      <c r="I272" s="1">
        <v>3</v>
      </c>
      <c r="J272" s="1">
        <v>2</v>
      </c>
      <c r="K272" s="1">
        <v>1</v>
      </c>
      <c r="L272" s="1">
        <v>2</v>
      </c>
      <c r="M272" s="1">
        <v>3</v>
      </c>
      <c r="N272" s="1">
        <v>4</v>
      </c>
      <c r="O272" s="1">
        <v>5</v>
      </c>
      <c r="P272" s="33">
        <v>6</v>
      </c>
      <c r="Q272" s="1">
        <v>7</v>
      </c>
      <c r="R272" s="1">
        <v>8</v>
      </c>
      <c r="S272" s="12">
        <v>9</v>
      </c>
      <c r="T272" s="12" t="s">
        <v>16</v>
      </c>
    </row>
    <row r="273" spans="2:20" x14ac:dyDescent="0.5">
      <c r="B273" s="17" t="s">
        <v>7</v>
      </c>
      <c r="C273" s="11">
        <v>9</v>
      </c>
      <c r="D273" s="1">
        <v>8</v>
      </c>
      <c r="E273" s="1">
        <v>7</v>
      </c>
      <c r="F273" s="1">
        <v>6</v>
      </c>
      <c r="G273" s="1">
        <v>5</v>
      </c>
      <c r="H273" s="1">
        <v>4</v>
      </c>
      <c r="I273" s="1">
        <v>3</v>
      </c>
      <c r="J273" s="1">
        <v>2</v>
      </c>
      <c r="K273" s="1">
        <v>1</v>
      </c>
      <c r="L273" s="1">
        <v>2</v>
      </c>
      <c r="M273" s="1">
        <v>3</v>
      </c>
      <c r="N273" s="1">
        <v>4</v>
      </c>
      <c r="O273" s="1">
        <v>5</v>
      </c>
      <c r="P273" s="1">
        <v>6</v>
      </c>
      <c r="Q273" s="33">
        <v>7</v>
      </c>
      <c r="R273" s="1">
        <v>8</v>
      </c>
      <c r="S273" s="12">
        <v>9</v>
      </c>
      <c r="T273" s="12" t="s">
        <v>17</v>
      </c>
    </row>
    <row r="274" spans="2:20" x14ac:dyDescent="0.5">
      <c r="B274" s="19" t="s">
        <v>7</v>
      </c>
      <c r="C274" s="13">
        <v>9</v>
      </c>
      <c r="D274" s="14">
        <v>8</v>
      </c>
      <c r="E274" s="14">
        <v>7</v>
      </c>
      <c r="F274" s="14">
        <v>6</v>
      </c>
      <c r="G274" s="14">
        <v>5</v>
      </c>
      <c r="H274" s="14">
        <v>4</v>
      </c>
      <c r="I274" s="14">
        <v>3</v>
      </c>
      <c r="J274" s="34">
        <v>2</v>
      </c>
      <c r="K274" s="14">
        <v>1</v>
      </c>
      <c r="L274" s="14">
        <v>2</v>
      </c>
      <c r="M274" s="14">
        <v>3</v>
      </c>
      <c r="N274" s="14">
        <v>4</v>
      </c>
      <c r="O274" s="14">
        <v>5</v>
      </c>
      <c r="P274" s="14">
        <v>6</v>
      </c>
      <c r="Q274" s="14">
        <v>7</v>
      </c>
      <c r="R274" s="14">
        <v>8</v>
      </c>
      <c r="S274" s="15">
        <v>9</v>
      </c>
      <c r="T274" s="15" t="s">
        <v>18</v>
      </c>
    </row>
    <row r="275" spans="2:20" x14ac:dyDescent="0.5">
      <c r="B275" s="16" t="s">
        <v>8</v>
      </c>
      <c r="C275" s="11">
        <v>9</v>
      </c>
      <c r="D275" s="1">
        <v>8</v>
      </c>
      <c r="E275" s="1">
        <v>7</v>
      </c>
      <c r="F275" s="1">
        <v>6</v>
      </c>
      <c r="G275" s="1">
        <v>5</v>
      </c>
      <c r="H275" s="1">
        <v>4</v>
      </c>
      <c r="I275" s="1">
        <v>3</v>
      </c>
      <c r="J275" s="1">
        <v>2</v>
      </c>
      <c r="K275" s="33">
        <v>1</v>
      </c>
      <c r="L275" s="1">
        <v>2</v>
      </c>
      <c r="M275" s="1">
        <v>3</v>
      </c>
      <c r="N275" s="1">
        <v>4</v>
      </c>
      <c r="O275" s="1">
        <v>5</v>
      </c>
      <c r="P275" s="1">
        <v>6</v>
      </c>
      <c r="Q275" s="1">
        <v>7</v>
      </c>
      <c r="R275" s="1">
        <v>8</v>
      </c>
      <c r="S275" s="12">
        <v>9</v>
      </c>
      <c r="T275" s="12" t="s">
        <v>9</v>
      </c>
    </row>
    <row r="276" spans="2:20" x14ac:dyDescent="0.5">
      <c r="B276" s="17" t="s">
        <v>8</v>
      </c>
      <c r="C276" s="11">
        <v>9</v>
      </c>
      <c r="D276" s="1">
        <v>8</v>
      </c>
      <c r="E276" s="1">
        <v>7</v>
      </c>
      <c r="F276" s="1">
        <v>6</v>
      </c>
      <c r="G276" s="1">
        <v>5</v>
      </c>
      <c r="H276" s="1">
        <v>4</v>
      </c>
      <c r="I276" s="1">
        <v>3</v>
      </c>
      <c r="J276" s="1">
        <v>2</v>
      </c>
      <c r="K276" s="1">
        <v>1</v>
      </c>
      <c r="L276" s="1">
        <v>2</v>
      </c>
      <c r="M276" s="1">
        <v>3</v>
      </c>
      <c r="N276" s="1">
        <v>4</v>
      </c>
      <c r="O276" s="33">
        <v>5</v>
      </c>
      <c r="P276" s="1">
        <v>6</v>
      </c>
      <c r="Q276" s="1">
        <v>7</v>
      </c>
      <c r="R276" s="1">
        <v>8</v>
      </c>
      <c r="S276" s="12">
        <v>9</v>
      </c>
      <c r="T276" s="12" t="s">
        <v>10</v>
      </c>
    </row>
    <row r="277" spans="2:20" x14ac:dyDescent="0.5">
      <c r="B277" s="17" t="s">
        <v>8</v>
      </c>
      <c r="C277" s="11">
        <v>9</v>
      </c>
      <c r="D277" s="1">
        <v>8</v>
      </c>
      <c r="E277" s="1">
        <v>7</v>
      </c>
      <c r="F277" s="1">
        <v>6</v>
      </c>
      <c r="G277" s="1">
        <v>5</v>
      </c>
      <c r="H277" s="1">
        <v>4</v>
      </c>
      <c r="I277" s="1">
        <v>3</v>
      </c>
      <c r="J277" s="1">
        <v>2</v>
      </c>
      <c r="K277" s="1">
        <v>1</v>
      </c>
      <c r="L277" s="1">
        <v>2</v>
      </c>
      <c r="M277" s="33">
        <v>3</v>
      </c>
      <c r="N277" s="1">
        <v>4</v>
      </c>
      <c r="O277" s="1">
        <v>5</v>
      </c>
      <c r="P277" s="1">
        <v>6</v>
      </c>
      <c r="Q277" s="1">
        <v>7</v>
      </c>
      <c r="R277" s="1">
        <v>8</v>
      </c>
      <c r="S277" s="12">
        <v>9</v>
      </c>
      <c r="T277" s="12" t="s">
        <v>11</v>
      </c>
    </row>
    <row r="278" spans="2:20" x14ac:dyDescent="0.5">
      <c r="B278" s="17" t="s">
        <v>8</v>
      </c>
      <c r="C278" s="11">
        <v>9</v>
      </c>
      <c r="D278" s="1">
        <v>8</v>
      </c>
      <c r="E278" s="1">
        <v>7</v>
      </c>
      <c r="F278" s="1">
        <v>6</v>
      </c>
      <c r="G278" s="1">
        <v>5</v>
      </c>
      <c r="H278" s="1">
        <v>4</v>
      </c>
      <c r="I278" s="1">
        <v>3</v>
      </c>
      <c r="J278" s="1">
        <v>2</v>
      </c>
      <c r="K278" s="1">
        <v>1</v>
      </c>
      <c r="L278" s="1">
        <v>2</v>
      </c>
      <c r="M278" s="33">
        <v>3</v>
      </c>
      <c r="N278" s="1">
        <v>4</v>
      </c>
      <c r="O278" s="1">
        <v>5</v>
      </c>
      <c r="P278" s="1">
        <v>6</v>
      </c>
      <c r="Q278" s="1">
        <v>7</v>
      </c>
      <c r="R278" s="1">
        <v>8</v>
      </c>
      <c r="S278" s="12">
        <v>9</v>
      </c>
      <c r="T278" s="12" t="s">
        <v>12</v>
      </c>
    </row>
    <row r="279" spans="2:20" x14ac:dyDescent="0.5">
      <c r="B279" s="17" t="s">
        <v>8</v>
      </c>
      <c r="C279" s="11">
        <v>9</v>
      </c>
      <c r="D279" s="1">
        <v>8</v>
      </c>
      <c r="E279" s="1">
        <v>7</v>
      </c>
      <c r="F279" s="1">
        <v>6</v>
      </c>
      <c r="G279" s="1">
        <v>5</v>
      </c>
      <c r="H279" s="1">
        <v>4</v>
      </c>
      <c r="I279" s="1">
        <v>3</v>
      </c>
      <c r="J279" s="1">
        <v>2</v>
      </c>
      <c r="K279" s="1">
        <v>1</v>
      </c>
      <c r="L279" s="1">
        <v>2</v>
      </c>
      <c r="M279" s="1">
        <v>3</v>
      </c>
      <c r="N279" s="33">
        <v>4</v>
      </c>
      <c r="O279" s="1">
        <v>5</v>
      </c>
      <c r="P279" s="1">
        <v>6</v>
      </c>
      <c r="Q279" s="1">
        <v>7</v>
      </c>
      <c r="R279" s="1">
        <v>8</v>
      </c>
      <c r="S279" s="12">
        <v>9</v>
      </c>
      <c r="T279" s="12" t="s">
        <v>13</v>
      </c>
    </row>
    <row r="280" spans="2:20" x14ac:dyDescent="0.5">
      <c r="B280" s="17" t="s">
        <v>8</v>
      </c>
      <c r="C280" s="11">
        <v>9</v>
      </c>
      <c r="D280" s="1">
        <v>8</v>
      </c>
      <c r="E280" s="1">
        <v>7</v>
      </c>
      <c r="F280" s="1">
        <v>6</v>
      </c>
      <c r="G280" s="1">
        <v>5</v>
      </c>
      <c r="H280" s="1">
        <v>4</v>
      </c>
      <c r="I280" s="1">
        <v>3</v>
      </c>
      <c r="J280" s="1">
        <v>2</v>
      </c>
      <c r="K280" s="1">
        <v>1</v>
      </c>
      <c r="L280" s="1">
        <v>2</v>
      </c>
      <c r="M280" s="33">
        <v>3</v>
      </c>
      <c r="N280" s="1">
        <v>4</v>
      </c>
      <c r="O280" s="1">
        <v>5</v>
      </c>
      <c r="P280" s="1">
        <v>6</v>
      </c>
      <c r="Q280" s="1">
        <v>7</v>
      </c>
      <c r="R280" s="1">
        <v>8</v>
      </c>
      <c r="S280" s="12">
        <v>9</v>
      </c>
      <c r="T280" s="12" t="s">
        <v>14</v>
      </c>
    </row>
    <row r="281" spans="2:20" x14ac:dyDescent="0.5">
      <c r="B281" s="17" t="s">
        <v>8</v>
      </c>
      <c r="C281" s="11">
        <v>9</v>
      </c>
      <c r="D281" s="1">
        <v>8</v>
      </c>
      <c r="E281" s="1">
        <v>7</v>
      </c>
      <c r="F281" s="1">
        <v>6</v>
      </c>
      <c r="G281" s="1">
        <v>5</v>
      </c>
      <c r="H281" s="1">
        <v>4</v>
      </c>
      <c r="I281" s="1">
        <v>3</v>
      </c>
      <c r="J281" s="1">
        <v>2</v>
      </c>
      <c r="K281" s="1">
        <v>1</v>
      </c>
      <c r="L281" s="1">
        <v>2</v>
      </c>
      <c r="M281" s="33">
        <v>3</v>
      </c>
      <c r="N281" s="1">
        <v>4</v>
      </c>
      <c r="O281" s="1">
        <v>5</v>
      </c>
      <c r="P281" s="1">
        <v>6</v>
      </c>
      <c r="Q281" s="1">
        <v>7</v>
      </c>
      <c r="R281" s="1">
        <v>8</v>
      </c>
      <c r="S281" s="12">
        <v>9</v>
      </c>
      <c r="T281" s="12" t="s">
        <v>15</v>
      </c>
    </row>
    <row r="282" spans="2:20" x14ac:dyDescent="0.5">
      <c r="B282" s="17" t="s">
        <v>8</v>
      </c>
      <c r="C282" s="11">
        <v>9</v>
      </c>
      <c r="D282" s="1">
        <v>8</v>
      </c>
      <c r="E282" s="1">
        <v>7</v>
      </c>
      <c r="F282" s="1">
        <v>6</v>
      </c>
      <c r="G282" s="1">
        <v>5</v>
      </c>
      <c r="H282" s="1">
        <v>4</v>
      </c>
      <c r="I282" s="1">
        <v>3</v>
      </c>
      <c r="J282" s="1">
        <v>2</v>
      </c>
      <c r="K282" s="1">
        <v>1</v>
      </c>
      <c r="L282" s="1">
        <v>2</v>
      </c>
      <c r="M282" s="1">
        <v>3</v>
      </c>
      <c r="N282" s="1">
        <v>4</v>
      </c>
      <c r="O282" s="1">
        <v>5</v>
      </c>
      <c r="P282" s="1">
        <v>6</v>
      </c>
      <c r="Q282" s="33">
        <v>7</v>
      </c>
      <c r="R282" s="1">
        <v>8</v>
      </c>
      <c r="S282" s="12">
        <v>9</v>
      </c>
      <c r="T282" s="12" t="s">
        <v>16</v>
      </c>
    </row>
    <row r="283" spans="2:20" x14ac:dyDescent="0.5">
      <c r="B283" s="17" t="s">
        <v>8</v>
      </c>
      <c r="C283" s="11">
        <v>9</v>
      </c>
      <c r="D283" s="1">
        <v>8</v>
      </c>
      <c r="E283" s="1">
        <v>7</v>
      </c>
      <c r="F283" s="1">
        <v>6</v>
      </c>
      <c r="G283" s="1">
        <v>5</v>
      </c>
      <c r="H283" s="1">
        <v>4</v>
      </c>
      <c r="I283" s="1">
        <v>3</v>
      </c>
      <c r="J283" s="1">
        <v>2</v>
      </c>
      <c r="K283" s="1">
        <v>1</v>
      </c>
      <c r="L283" s="1">
        <v>2</v>
      </c>
      <c r="M283" s="1">
        <v>3</v>
      </c>
      <c r="N283" s="1">
        <v>4</v>
      </c>
      <c r="O283" s="1">
        <v>5</v>
      </c>
      <c r="P283" s="1">
        <v>6</v>
      </c>
      <c r="Q283" s="1">
        <v>7</v>
      </c>
      <c r="R283" s="33">
        <v>8</v>
      </c>
      <c r="S283" s="12">
        <v>9</v>
      </c>
      <c r="T283" s="12" t="s">
        <v>17</v>
      </c>
    </row>
    <row r="284" spans="2:20" x14ac:dyDescent="0.5">
      <c r="B284" s="19" t="s">
        <v>8</v>
      </c>
      <c r="C284" s="13">
        <v>9</v>
      </c>
      <c r="D284" s="14">
        <v>8</v>
      </c>
      <c r="E284" s="14">
        <v>7</v>
      </c>
      <c r="F284" s="14">
        <v>6</v>
      </c>
      <c r="G284" s="14">
        <v>5</v>
      </c>
      <c r="H284" s="14">
        <v>4</v>
      </c>
      <c r="I284" s="14">
        <v>3</v>
      </c>
      <c r="J284" s="14">
        <v>2</v>
      </c>
      <c r="K284" s="14">
        <v>1</v>
      </c>
      <c r="L284" s="14">
        <v>2</v>
      </c>
      <c r="M284" s="34">
        <v>3</v>
      </c>
      <c r="N284" s="14">
        <v>4</v>
      </c>
      <c r="O284" s="14">
        <v>5</v>
      </c>
      <c r="P284" s="14">
        <v>6</v>
      </c>
      <c r="Q284" s="14">
        <v>7</v>
      </c>
      <c r="R284" s="14">
        <v>8</v>
      </c>
      <c r="S284" s="15">
        <v>9</v>
      </c>
      <c r="T284" s="15" t="s">
        <v>18</v>
      </c>
    </row>
    <row r="285" spans="2:20" x14ac:dyDescent="0.5">
      <c r="B285" s="16" t="s">
        <v>9</v>
      </c>
      <c r="C285" s="11">
        <v>9</v>
      </c>
      <c r="D285" s="1">
        <v>8</v>
      </c>
      <c r="E285" s="1">
        <v>7</v>
      </c>
      <c r="F285" s="1">
        <v>6</v>
      </c>
      <c r="G285" s="1">
        <v>5</v>
      </c>
      <c r="H285" s="1">
        <v>4</v>
      </c>
      <c r="I285" s="1">
        <v>3</v>
      </c>
      <c r="J285" s="1">
        <v>2</v>
      </c>
      <c r="K285" s="1">
        <v>1</v>
      </c>
      <c r="L285" s="1">
        <v>2</v>
      </c>
      <c r="M285" s="1">
        <v>3</v>
      </c>
      <c r="N285" s="1">
        <v>4</v>
      </c>
      <c r="O285" s="33">
        <v>5</v>
      </c>
      <c r="P285" s="1">
        <v>6</v>
      </c>
      <c r="Q285" s="1">
        <v>7</v>
      </c>
      <c r="R285" s="1">
        <v>8</v>
      </c>
      <c r="S285" s="12">
        <v>9</v>
      </c>
      <c r="T285" s="12" t="s">
        <v>10</v>
      </c>
    </row>
    <row r="286" spans="2:20" x14ac:dyDescent="0.5">
      <c r="B286" s="17" t="s">
        <v>9</v>
      </c>
      <c r="C286" s="11">
        <v>9</v>
      </c>
      <c r="D286" s="1">
        <v>8</v>
      </c>
      <c r="E286" s="1">
        <v>7</v>
      </c>
      <c r="F286" s="1">
        <v>6</v>
      </c>
      <c r="G286" s="1">
        <v>5</v>
      </c>
      <c r="H286" s="1">
        <v>4</v>
      </c>
      <c r="I286" s="1">
        <v>3</v>
      </c>
      <c r="J286" s="1">
        <v>2</v>
      </c>
      <c r="K286" s="1">
        <v>1</v>
      </c>
      <c r="L286" s="1">
        <v>2</v>
      </c>
      <c r="M286" s="33">
        <v>3</v>
      </c>
      <c r="N286" s="1">
        <v>4</v>
      </c>
      <c r="O286" s="1">
        <v>5</v>
      </c>
      <c r="P286" s="1">
        <v>6</v>
      </c>
      <c r="Q286" s="1">
        <v>7</v>
      </c>
      <c r="R286" s="1">
        <v>8</v>
      </c>
      <c r="S286" s="12">
        <v>9</v>
      </c>
      <c r="T286" s="12" t="s">
        <v>11</v>
      </c>
    </row>
    <row r="287" spans="2:20" x14ac:dyDescent="0.5">
      <c r="B287" s="17" t="s">
        <v>9</v>
      </c>
      <c r="C287" s="11">
        <v>9</v>
      </c>
      <c r="D287" s="1">
        <v>8</v>
      </c>
      <c r="E287" s="1">
        <v>7</v>
      </c>
      <c r="F287" s="1">
        <v>6</v>
      </c>
      <c r="G287" s="1">
        <v>5</v>
      </c>
      <c r="H287" s="1">
        <v>4</v>
      </c>
      <c r="I287" s="1">
        <v>3</v>
      </c>
      <c r="J287" s="1">
        <v>2</v>
      </c>
      <c r="K287" s="1">
        <v>1</v>
      </c>
      <c r="L287" s="1">
        <v>2</v>
      </c>
      <c r="M287" s="33">
        <v>3</v>
      </c>
      <c r="N287" s="1">
        <v>4</v>
      </c>
      <c r="O287" s="1">
        <v>5</v>
      </c>
      <c r="P287" s="1">
        <v>6</v>
      </c>
      <c r="Q287" s="1">
        <v>7</v>
      </c>
      <c r="R287" s="1">
        <v>8</v>
      </c>
      <c r="S287" s="12">
        <v>9</v>
      </c>
      <c r="T287" s="12" t="s">
        <v>12</v>
      </c>
    </row>
    <row r="288" spans="2:20" x14ac:dyDescent="0.5">
      <c r="B288" s="17" t="s">
        <v>9</v>
      </c>
      <c r="C288" s="11">
        <v>9</v>
      </c>
      <c r="D288" s="1">
        <v>8</v>
      </c>
      <c r="E288" s="1">
        <v>7</v>
      </c>
      <c r="F288" s="1">
        <v>6</v>
      </c>
      <c r="G288" s="1">
        <v>5</v>
      </c>
      <c r="H288" s="1">
        <v>4</v>
      </c>
      <c r="I288" s="1">
        <v>3</v>
      </c>
      <c r="J288" s="1">
        <v>2</v>
      </c>
      <c r="K288" s="1">
        <v>1</v>
      </c>
      <c r="L288" s="1">
        <v>2</v>
      </c>
      <c r="M288" s="1">
        <v>3</v>
      </c>
      <c r="N288" s="33">
        <v>4</v>
      </c>
      <c r="O288" s="1">
        <v>5</v>
      </c>
      <c r="P288" s="1">
        <v>6</v>
      </c>
      <c r="Q288" s="1">
        <v>7</v>
      </c>
      <c r="R288" s="1">
        <v>8</v>
      </c>
      <c r="S288" s="12">
        <v>9</v>
      </c>
      <c r="T288" s="12" t="s">
        <v>13</v>
      </c>
    </row>
    <row r="289" spans="2:20" x14ac:dyDescent="0.5">
      <c r="B289" s="17" t="s">
        <v>9</v>
      </c>
      <c r="C289" s="11">
        <v>9</v>
      </c>
      <c r="D289" s="1">
        <v>8</v>
      </c>
      <c r="E289" s="1">
        <v>7</v>
      </c>
      <c r="F289" s="1">
        <v>6</v>
      </c>
      <c r="G289" s="1">
        <v>5</v>
      </c>
      <c r="H289" s="1">
        <v>4</v>
      </c>
      <c r="I289" s="1">
        <v>3</v>
      </c>
      <c r="J289" s="1">
        <v>2</v>
      </c>
      <c r="K289" s="1">
        <v>1</v>
      </c>
      <c r="L289" s="1">
        <v>2</v>
      </c>
      <c r="M289" s="33">
        <v>3</v>
      </c>
      <c r="N289" s="1">
        <v>4</v>
      </c>
      <c r="O289" s="1">
        <v>5</v>
      </c>
      <c r="P289" s="1">
        <v>6</v>
      </c>
      <c r="Q289" s="1">
        <v>7</v>
      </c>
      <c r="R289" s="1">
        <v>8</v>
      </c>
      <c r="S289" s="12">
        <v>9</v>
      </c>
      <c r="T289" s="12" t="s">
        <v>14</v>
      </c>
    </row>
    <row r="290" spans="2:20" x14ac:dyDescent="0.5">
      <c r="B290" s="17" t="s">
        <v>9</v>
      </c>
      <c r="C290" s="11">
        <v>9</v>
      </c>
      <c r="D290" s="1">
        <v>8</v>
      </c>
      <c r="E290" s="1">
        <v>7</v>
      </c>
      <c r="F290" s="1">
        <v>6</v>
      </c>
      <c r="G290" s="1">
        <v>5</v>
      </c>
      <c r="H290" s="1">
        <v>4</v>
      </c>
      <c r="I290" s="1">
        <v>3</v>
      </c>
      <c r="J290" s="1">
        <v>2</v>
      </c>
      <c r="K290" s="1">
        <v>1</v>
      </c>
      <c r="L290" s="1">
        <v>2</v>
      </c>
      <c r="M290" s="33">
        <v>3</v>
      </c>
      <c r="N290" s="1">
        <v>4</v>
      </c>
      <c r="O290" s="1">
        <v>5</v>
      </c>
      <c r="P290" s="1">
        <v>6</v>
      </c>
      <c r="Q290" s="1">
        <v>7</v>
      </c>
      <c r="R290" s="1">
        <v>8</v>
      </c>
      <c r="S290" s="12">
        <v>9</v>
      </c>
      <c r="T290" s="12" t="s">
        <v>15</v>
      </c>
    </row>
    <row r="291" spans="2:20" x14ac:dyDescent="0.5">
      <c r="B291" s="17" t="s">
        <v>9</v>
      </c>
      <c r="C291" s="11">
        <v>9</v>
      </c>
      <c r="D291" s="1">
        <v>8</v>
      </c>
      <c r="E291" s="1">
        <v>7</v>
      </c>
      <c r="F291" s="1">
        <v>6</v>
      </c>
      <c r="G291" s="1">
        <v>5</v>
      </c>
      <c r="H291" s="1">
        <v>4</v>
      </c>
      <c r="I291" s="1">
        <v>3</v>
      </c>
      <c r="J291" s="1">
        <v>2</v>
      </c>
      <c r="K291" s="1">
        <v>1</v>
      </c>
      <c r="L291" s="1">
        <v>2</v>
      </c>
      <c r="M291" s="1">
        <v>3</v>
      </c>
      <c r="N291" s="1">
        <v>4</v>
      </c>
      <c r="O291" s="1">
        <v>5</v>
      </c>
      <c r="P291" s="1">
        <v>6</v>
      </c>
      <c r="Q291" s="33">
        <v>7</v>
      </c>
      <c r="R291" s="1">
        <v>8</v>
      </c>
      <c r="S291" s="12">
        <v>9</v>
      </c>
      <c r="T291" s="12" t="s">
        <v>16</v>
      </c>
    </row>
    <row r="292" spans="2:20" x14ac:dyDescent="0.5">
      <c r="B292" s="17" t="s">
        <v>9</v>
      </c>
      <c r="C292" s="11">
        <v>9</v>
      </c>
      <c r="D292" s="1">
        <v>8</v>
      </c>
      <c r="E292" s="1">
        <v>7</v>
      </c>
      <c r="F292" s="1">
        <v>6</v>
      </c>
      <c r="G292" s="1">
        <v>5</v>
      </c>
      <c r="H292" s="1">
        <v>4</v>
      </c>
      <c r="I292" s="1">
        <v>3</v>
      </c>
      <c r="J292" s="1">
        <v>2</v>
      </c>
      <c r="K292" s="1">
        <v>1</v>
      </c>
      <c r="L292" s="1">
        <v>2</v>
      </c>
      <c r="M292" s="1">
        <v>3</v>
      </c>
      <c r="N292" s="1">
        <v>4</v>
      </c>
      <c r="O292" s="1">
        <v>5</v>
      </c>
      <c r="P292" s="1">
        <v>6</v>
      </c>
      <c r="Q292" s="1">
        <v>7</v>
      </c>
      <c r="R292" s="33">
        <v>8</v>
      </c>
      <c r="S292" s="12">
        <v>9</v>
      </c>
      <c r="T292" s="12" t="s">
        <v>17</v>
      </c>
    </row>
    <row r="293" spans="2:20" x14ac:dyDescent="0.5">
      <c r="B293" s="19" t="s">
        <v>9</v>
      </c>
      <c r="C293" s="13">
        <v>9</v>
      </c>
      <c r="D293" s="14">
        <v>8</v>
      </c>
      <c r="E293" s="14">
        <v>7</v>
      </c>
      <c r="F293" s="14">
        <v>6</v>
      </c>
      <c r="G293" s="14">
        <v>5</v>
      </c>
      <c r="H293" s="14">
        <v>4</v>
      </c>
      <c r="I293" s="14">
        <v>3</v>
      </c>
      <c r="J293" s="14">
        <v>2</v>
      </c>
      <c r="K293" s="14">
        <v>1</v>
      </c>
      <c r="L293" s="14">
        <v>2</v>
      </c>
      <c r="M293" s="34">
        <v>3</v>
      </c>
      <c r="N293" s="14">
        <v>4</v>
      </c>
      <c r="O293" s="14">
        <v>5</v>
      </c>
      <c r="P293" s="14">
        <v>6</v>
      </c>
      <c r="Q293" s="14">
        <v>7</v>
      </c>
      <c r="R293" s="14">
        <v>8</v>
      </c>
      <c r="S293" s="15">
        <v>9</v>
      </c>
      <c r="T293" s="15" t="s">
        <v>18</v>
      </c>
    </row>
    <row r="294" spans="2:20" x14ac:dyDescent="0.5">
      <c r="B294" s="16" t="s">
        <v>10</v>
      </c>
      <c r="C294" s="11">
        <v>9</v>
      </c>
      <c r="D294" s="1">
        <v>8</v>
      </c>
      <c r="E294" s="1">
        <v>7</v>
      </c>
      <c r="F294" s="1">
        <v>6</v>
      </c>
      <c r="G294" s="1">
        <v>5</v>
      </c>
      <c r="H294" s="1">
        <v>4</v>
      </c>
      <c r="I294" s="33">
        <v>3</v>
      </c>
      <c r="J294" s="1">
        <v>2</v>
      </c>
      <c r="K294" s="1">
        <v>1</v>
      </c>
      <c r="L294" s="1">
        <v>2</v>
      </c>
      <c r="M294" s="1">
        <v>3</v>
      </c>
      <c r="N294" s="1">
        <v>4</v>
      </c>
      <c r="O294" s="1">
        <v>5</v>
      </c>
      <c r="P294" s="1">
        <v>6</v>
      </c>
      <c r="Q294" s="1">
        <v>7</v>
      </c>
      <c r="R294" s="1">
        <v>8</v>
      </c>
      <c r="S294" s="12">
        <v>9</v>
      </c>
      <c r="T294" s="12" t="s">
        <v>11</v>
      </c>
    </row>
    <row r="295" spans="2:20" x14ac:dyDescent="0.5">
      <c r="B295" s="17" t="s">
        <v>10</v>
      </c>
      <c r="C295" s="11">
        <v>9</v>
      </c>
      <c r="D295" s="1">
        <v>8</v>
      </c>
      <c r="E295" s="1">
        <v>7</v>
      </c>
      <c r="F295" s="1">
        <v>6</v>
      </c>
      <c r="G295" s="1">
        <v>5</v>
      </c>
      <c r="H295" s="1">
        <v>4</v>
      </c>
      <c r="I295" s="33">
        <v>3</v>
      </c>
      <c r="J295" s="1">
        <v>2</v>
      </c>
      <c r="K295" s="1">
        <v>1</v>
      </c>
      <c r="L295" s="1">
        <v>2</v>
      </c>
      <c r="M295" s="1">
        <v>3</v>
      </c>
      <c r="N295" s="1">
        <v>4</v>
      </c>
      <c r="O295" s="1">
        <v>5</v>
      </c>
      <c r="P295" s="1">
        <v>6</v>
      </c>
      <c r="Q295" s="1">
        <v>7</v>
      </c>
      <c r="R295" s="1">
        <v>8</v>
      </c>
      <c r="S295" s="12">
        <v>9</v>
      </c>
      <c r="T295" s="12" t="s">
        <v>12</v>
      </c>
    </row>
    <row r="296" spans="2:20" x14ac:dyDescent="0.5">
      <c r="B296" s="17" t="s">
        <v>10</v>
      </c>
      <c r="C296" s="11">
        <v>9</v>
      </c>
      <c r="D296" s="1">
        <v>8</v>
      </c>
      <c r="E296" s="1">
        <v>7</v>
      </c>
      <c r="F296" s="1">
        <v>6</v>
      </c>
      <c r="G296" s="1">
        <v>5</v>
      </c>
      <c r="H296" s="1">
        <v>4</v>
      </c>
      <c r="I296" s="1">
        <v>3</v>
      </c>
      <c r="J296" s="33">
        <v>2</v>
      </c>
      <c r="K296" s="1">
        <v>1</v>
      </c>
      <c r="L296" s="1">
        <v>2</v>
      </c>
      <c r="M296" s="1">
        <v>3</v>
      </c>
      <c r="N296" s="1">
        <v>4</v>
      </c>
      <c r="O296" s="1">
        <v>5</v>
      </c>
      <c r="P296" s="1">
        <v>6</v>
      </c>
      <c r="Q296" s="1">
        <v>7</v>
      </c>
      <c r="R296" s="1">
        <v>8</v>
      </c>
      <c r="S296" s="12">
        <v>9</v>
      </c>
      <c r="T296" s="12" t="s">
        <v>13</v>
      </c>
    </row>
    <row r="297" spans="2:20" x14ac:dyDescent="0.5">
      <c r="B297" s="17" t="s">
        <v>10</v>
      </c>
      <c r="C297" s="11">
        <v>9</v>
      </c>
      <c r="D297" s="1">
        <v>8</v>
      </c>
      <c r="E297" s="1">
        <v>7</v>
      </c>
      <c r="F297" s="1">
        <v>6</v>
      </c>
      <c r="G297" s="1">
        <v>5</v>
      </c>
      <c r="H297" s="1">
        <v>4</v>
      </c>
      <c r="I297" s="33">
        <v>3</v>
      </c>
      <c r="J297" s="1">
        <v>2</v>
      </c>
      <c r="K297" s="1">
        <v>1</v>
      </c>
      <c r="L297" s="1">
        <v>2</v>
      </c>
      <c r="M297" s="1">
        <v>3</v>
      </c>
      <c r="N297" s="1">
        <v>4</v>
      </c>
      <c r="O297" s="1">
        <v>5</v>
      </c>
      <c r="P297" s="1">
        <v>6</v>
      </c>
      <c r="Q297" s="1">
        <v>7</v>
      </c>
      <c r="R297" s="1">
        <v>8</v>
      </c>
      <c r="S297" s="12">
        <v>9</v>
      </c>
      <c r="T297" s="12" t="s">
        <v>14</v>
      </c>
    </row>
    <row r="298" spans="2:20" x14ac:dyDescent="0.5">
      <c r="B298" s="17" t="s">
        <v>10</v>
      </c>
      <c r="C298" s="11">
        <v>9</v>
      </c>
      <c r="D298" s="1">
        <v>8</v>
      </c>
      <c r="E298" s="1">
        <v>7</v>
      </c>
      <c r="F298" s="1">
        <v>6</v>
      </c>
      <c r="G298" s="1">
        <v>5</v>
      </c>
      <c r="H298" s="1">
        <v>4</v>
      </c>
      <c r="I298" s="33">
        <v>3</v>
      </c>
      <c r="J298" s="1">
        <v>2</v>
      </c>
      <c r="K298" s="1">
        <v>1</v>
      </c>
      <c r="L298" s="1">
        <v>2</v>
      </c>
      <c r="M298" s="1">
        <v>3</v>
      </c>
      <c r="N298" s="1">
        <v>4</v>
      </c>
      <c r="O298" s="1">
        <v>5</v>
      </c>
      <c r="P298" s="1">
        <v>6</v>
      </c>
      <c r="Q298" s="1">
        <v>7</v>
      </c>
      <c r="R298" s="1">
        <v>8</v>
      </c>
      <c r="S298" s="12">
        <v>9</v>
      </c>
      <c r="T298" s="12" t="s">
        <v>15</v>
      </c>
    </row>
    <row r="299" spans="2:20" x14ac:dyDescent="0.5">
      <c r="B299" s="17" t="s">
        <v>10</v>
      </c>
      <c r="C299" s="11">
        <v>9</v>
      </c>
      <c r="D299" s="1">
        <v>8</v>
      </c>
      <c r="E299" s="1">
        <v>7</v>
      </c>
      <c r="F299" s="1">
        <v>6</v>
      </c>
      <c r="G299" s="1">
        <v>5</v>
      </c>
      <c r="H299" s="1">
        <v>4</v>
      </c>
      <c r="I299" s="1">
        <v>3</v>
      </c>
      <c r="J299" s="1">
        <v>2</v>
      </c>
      <c r="K299" s="1">
        <v>1</v>
      </c>
      <c r="L299" s="1">
        <v>2</v>
      </c>
      <c r="M299" s="1">
        <v>3</v>
      </c>
      <c r="N299" s="1">
        <v>4</v>
      </c>
      <c r="O299" s="1">
        <v>5</v>
      </c>
      <c r="P299" s="1">
        <v>6</v>
      </c>
      <c r="Q299" s="33">
        <v>7</v>
      </c>
      <c r="R299" s="1">
        <v>8</v>
      </c>
      <c r="S299" s="12">
        <v>9</v>
      </c>
      <c r="T299" s="12" t="s">
        <v>16</v>
      </c>
    </row>
    <row r="300" spans="2:20" x14ac:dyDescent="0.5">
      <c r="B300" s="17" t="s">
        <v>10</v>
      </c>
      <c r="C300" s="11">
        <v>9</v>
      </c>
      <c r="D300" s="1">
        <v>8</v>
      </c>
      <c r="E300" s="1">
        <v>7</v>
      </c>
      <c r="F300" s="1">
        <v>6</v>
      </c>
      <c r="G300" s="1">
        <v>5</v>
      </c>
      <c r="H300" s="1">
        <v>4</v>
      </c>
      <c r="I300" s="1">
        <v>3</v>
      </c>
      <c r="J300" s="1">
        <v>2</v>
      </c>
      <c r="K300" s="1">
        <v>1</v>
      </c>
      <c r="L300" s="1">
        <v>2</v>
      </c>
      <c r="M300" s="1">
        <v>3</v>
      </c>
      <c r="N300" s="1">
        <v>4</v>
      </c>
      <c r="O300" s="1">
        <v>5</v>
      </c>
      <c r="P300" s="1">
        <v>6</v>
      </c>
      <c r="Q300" s="1">
        <v>7</v>
      </c>
      <c r="R300" s="33">
        <v>8</v>
      </c>
      <c r="S300" s="12">
        <v>9</v>
      </c>
      <c r="T300" s="12" t="s">
        <v>17</v>
      </c>
    </row>
    <row r="301" spans="2:20" x14ac:dyDescent="0.5">
      <c r="B301" s="19" t="s">
        <v>10</v>
      </c>
      <c r="C301" s="13">
        <v>9</v>
      </c>
      <c r="D301" s="14">
        <v>8</v>
      </c>
      <c r="E301" s="14">
        <v>7</v>
      </c>
      <c r="F301" s="14">
        <v>6</v>
      </c>
      <c r="G301" s="14">
        <v>5</v>
      </c>
      <c r="H301" s="14">
        <v>4</v>
      </c>
      <c r="I301" s="14">
        <v>3</v>
      </c>
      <c r="J301" s="14">
        <v>2</v>
      </c>
      <c r="K301" s="14">
        <v>1</v>
      </c>
      <c r="L301" s="14">
        <v>2</v>
      </c>
      <c r="M301" s="14">
        <v>3</v>
      </c>
      <c r="N301" s="14">
        <v>4</v>
      </c>
      <c r="O301" s="14">
        <v>5</v>
      </c>
      <c r="P301" s="14">
        <v>6</v>
      </c>
      <c r="Q301" s="14">
        <v>7</v>
      </c>
      <c r="R301" s="14">
        <v>8</v>
      </c>
      <c r="S301" s="15">
        <v>9</v>
      </c>
      <c r="T301" s="15" t="s">
        <v>18</v>
      </c>
    </row>
    <row r="302" spans="2:20" x14ac:dyDescent="0.5">
      <c r="B302" s="16" t="s">
        <v>11</v>
      </c>
      <c r="C302" s="11">
        <v>9</v>
      </c>
      <c r="D302" s="1">
        <v>8</v>
      </c>
      <c r="E302" s="1">
        <v>7</v>
      </c>
      <c r="F302" s="1">
        <v>6</v>
      </c>
      <c r="G302" s="1">
        <v>5</v>
      </c>
      <c r="H302" s="1">
        <v>4</v>
      </c>
      <c r="I302" s="1">
        <v>3</v>
      </c>
      <c r="J302" s="1">
        <v>2</v>
      </c>
      <c r="K302" s="33">
        <v>1</v>
      </c>
      <c r="L302" s="1">
        <v>2</v>
      </c>
      <c r="M302" s="1">
        <v>3</v>
      </c>
      <c r="N302" s="1">
        <v>4</v>
      </c>
      <c r="O302" s="1">
        <v>5</v>
      </c>
      <c r="P302" s="1">
        <v>6</v>
      </c>
      <c r="Q302" s="1">
        <v>7</v>
      </c>
      <c r="R302" s="1">
        <v>8</v>
      </c>
      <c r="S302" s="12">
        <v>9</v>
      </c>
      <c r="T302" s="12" t="s">
        <v>12</v>
      </c>
    </row>
    <row r="303" spans="2:20" x14ac:dyDescent="0.5">
      <c r="B303" s="17" t="s">
        <v>11</v>
      </c>
      <c r="C303" s="11">
        <v>9</v>
      </c>
      <c r="D303" s="1">
        <v>8</v>
      </c>
      <c r="E303" s="1">
        <v>7</v>
      </c>
      <c r="F303" s="1">
        <v>6</v>
      </c>
      <c r="G303" s="1">
        <v>5</v>
      </c>
      <c r="H303" s="1">
        <v>4</v>
      </c>
      <c r="I303" s="1">
        <v>3</v>
      </c>
      <c r="J303" s="1">
        <v>2</v>
      </c>
      <c r="K303" s="33">
        <v>1</v>
      </c>
      <c r="L303" s="1">
        <v>2</v>
      </c>
      <c r="M303" s="1">
        <v>3</v>
      </c>
      <c r="N303" s="1">
        <v>4</v>
      </c>
      <c r="O303" s="1">
        <v>5</v>
      </c>
      <c r="P303" s="1">
        <v>6</v>
      </c>
      <c r="Q303" s="1">
        <v>7</v>
      </c>
      <c r="R303" s="1">
        <v>8</v>
      </c>
      <c r="S303" s="12">
        <v>9</v>
      </c>
      <c r="T303" s="12" t="s">
        <v>13</v>
      </c>
    </row>
    <row r="304" spans="2:20" x14ac:dyDescent="0.5">
      <c r="B304" s="17" t="s">
        <v>11</v>
      </c>
      <c r="C304" s="11">
        <v>9</v>
      </c>
      <c r="D304" s="1">
        <v>8</v>
      </c>
      <c r="E304" s="1">
        <v>7</v>
      </c>
      <c r="F304" s="1">
        <v>6</v>
      </c>
      <c r="G304" s="1">
        <v>5</v>
      </c>
      <c r="H304" s="1">
        <v>4</v>
      </c>
      <c r="I304" s="1">
        <v>3</v>
      </c>
      <c r="J304" s="1">
        <v>2</v>
      </c>
      <c r="K304" s="1">
        <v>1</v>
      </c>
      <c r="L304" s="33">
        <v>2</v>
      </c>
      <c r="M304" s="1">
        <v>3</v>
      </c>
      <c r="N304" s="1">
        <v>4</v>
      </c>
      <c r="O304" s="1">
        <v>5</v>
      </c>
      <c r="P304" s="1">
        <v>6</v>
      </c>
      <c r="Q304" s="1">
        <v>7</v>
      </c>
      <c r="R304" s="1">
        <v>8</v>
      </c>
      <c r="S304" s="12">
        <v>9</v>
      </c>
      <c r="T304" s="12" t="s">
        <v>14</v>
      </c>
    </row>
    <row r="305" spans="2:20" x14ac:dyDescent="0.5">
      <c r="B305" s="17" t="s">
        <v>11</v>
      </c>
      <c r="C305" s="11">
        <v>9</v>
      </c>
      <c r="D305" s="1">
        <v>8</v>
      </c>
      <c r="E305" s="1">
        <v>7</v>
      </c>
      <c r="F305" s="1">
        <v>6</v>
      </c>
      <c r="G305" s="1">
        <v>5</v>
      </c>
      <c r="H305" s="1">
        <v>4</v>
      </c>
      <c r="I305" s="1">
        <v>3</v>
      </c>
      <c r="J305" s="1">
        <v>2</v>
      </c>
      <c r="K305" s="33">
        <v>1</v>
      </c>
      <c r="L305" s="1">
        <v>2</v>
      </c>
      <c r="M305" s="1">
        <v>3</v>
      </c>
      <c r="N305" s="1">
        <v>4</v>
      </c>
      <c r="O305" s="1">
        <v>5</v>
      </c>
      <c r="P305" s="1">
        <v>6</v>
      </c>
      <c r="Q305" s="1">
        <v>7</v>
      </c>
      <c r="R305" s="1">
        <v>8</v>
      </c>
      <c r="S305" s="12">
        <v>9</v>
      </c>
      <c r="T305" s="12" t="s">
        <v>15</v>
      </c>
    </row>
    <row r="306" spans="2:20" x14ac:dyDescent="0.5">
      <c r="B306" s="17" t="s">
        <v>11</v>
      </c>
      <c r="C306" s="11">
        <v>9</v>
      </c>
      <c r="D306" s="1">
        <v>8</v>
      </c>
      <c r="E306" s="1">
        <v>7</v>
      </c>
      <c r="F306" s="1">
        <v>6</v>
      </c>
      <c r="G306" s="1">
        <v>5</v>
      </c>
      <c r="H306" s="1">
        <v>4</v>
      </c>
      <c r="I306" s="1">
        <v>3</v>
      </c>
      <c r="J306" s="1">
        <v>2</v>
      </c>
      <c r="K306" s="33">
        <v>1</v>
      </c>
      <c r="L306" s="1">
        <v>2</v>
      </c>
      <c r="M306" s="1">
        <v>3</v>
      </c>
      <c r="N306" s="1">
        <v>4</v>
      </c>
      <c r="O306" s="1">
        <v>5</v>
      </c>
      <c r="P306" s="1">
        <v>6</v>
      </c>
      <c r="Q306" s="1">
        <v>7</v>
      </c>
      <c r="R306" s="1">
        <v>8</v>
      </c>
      <c r="S306" s="12">
        <v>9</v>
      </c>
      <c r="T306" s="12" t="s">
        <v>16</v>
      </c>
    </row>
    <row r="307" spans="2:20" x14ac:dyDescent="0.5">
      <c r="B307" s="17" t="s">
        <v>11</v>
      </c>
      <c r="C307" s="11">
        <v>9</v>
      </c>
      <c r="D307" s="1">
        <v>8</v>
      </c>
      <c r="E307" s="1">
        <v>7</v>
      </c>
      <c r="F307" s="1">
        <v>6</v>
      </c>
      <c r="G307" s="1">
        <v>5</v>
      </c>
      <c r="H307" s="1">
        <v>4</v>
      </c>
      <c r="I307" s="1">
        <v>3</v>
      </c>
      <c r="J307" s="1">
        <v>2</v>
      </c>
      <c r="K307" s="1">
        <v>1</v>
      </c>
      <c r="L307" s="1">
        <v>2</v>
      </c>
      <c r="M307" s="1">
        <v>3</v>
      </c>
      <c r="N307" s="1">
        <v>4</v>
      </c>
      <c r="O307" s="1">
        <v>5</v>
      </c>
      <c r="P307" s="33">
        <v>6</v>
      </c>
      <c r="Q307" s="1">
        <v>7</v>
      </c>
      <c r="R307" s="1">
        <v>8</v>
      </c>
      <c r="S307" s="12">
        <v>9</v>
      </c>
      <c r="T307" s="12" t="s">
        <v>17</v>
      </c>
    </row>
    <row r="308" spans="2:20" x14ac:dyDescent="0.5">
      <c r="B308" s="19" t="s">
        <v>11</v>
      </c>
      <c r="C308" s="13">
        <v>9</v>
      </c>
      <c r="D308" s="14">
        <v>8</v>
      </c>
      <c r="E308" s="14">
        <v>7</v>
      </c>
      <c r="F308" s="14">
        <v>6</v>
      </c>
      <c r="G308" s="14">
        <v>5</v>
      </c>
      <c r="H308" s="14">
        <v>4</v>
      </c>
      <c r="I308" s="14">
        <v>3</v>
      </c>
      <c r="J308" s="14">
        <v>2</v>
      </c>
      <c r="K308" s="14">
        <v>1</v>
      </c>
      <c r="L308" s="14">
        <v>2</v>
      </c>
      <c r="M308" s="14">
        <v>3</v>
      </c>
      <c r="N308" s="14">
        <v>4</v>
      </c>
      <c r="O308" s="14">
        <v>5</v>
      </c>
      <c r="P308" s="14">
        <v>6</v>
      </c>
      <c r="Q308" s="34">
        <v>7</v>
      </c>
      <c r="R308" s="14">
        <v>8</v>
      </c>
      <c r="S308" s="15">
        <v>9</v>
      </c>
      <c r="T308" s="15" t="s">
        <v>18</v>
      </c>
    </row>
    <row r="309" spans="2:20" x14ac:dyDescent="0.5">
      <c r="B309" s="16" t="s">
        <v>12</v>
      </c>
      <c r="C309" s="11">
        <v>9</v>
      </c>
      <c r="D309" s="1">
        <v>8</v>
      </c>
      <c r="E309" s="1">
        <v>7</v>
      </c>
      <c r="F309" s="1">
        <v>6</v>
      </c>
      <c r="G309" s="1">
        <v>5</v>
      </c>
      <c r="H309" s="1">
        <v>4</v>
      </c>
      <c r="I309" s="1">
        <v>3</v>
      </c>
      <c r="J309" s="1">
        <v>2</v>
      </c>
      <c r="K309" s="33">
        <v>1</v>
      </c>
      <c r="L309" s="1">
        <v>2</v>
      </c>
      <c r="M309" s="1">
        <v>3</v>
      </c>
      <c r="N309" s="1">
        <v>4</v>
      </c>
      <c r="O309" s="1">
        <v>5</v>
      </c>
      <c r="P309" s="1">
        <v>6</v>
      </c>
      <c r="Q309" s="1">
        <v>7</v>
      </c>
      <c r="R309" s="1">
        <v>8</v>
      </c>
      <c r="S309" s="12">
        <v>9</v>
      </c>
      <c r="T309" s="12" t="s">
        <v>13</v>
      </c>
    </row>
    <row r="310" spans="2:20" x14ac:dyDescent="0.5">
      <c r="B310" s="17" t="s">
        <v>12</v>
      </c>
      <c r="C310" s="11">
        <v>9</v>
      </c>
      <c r="D310" s="1">
        <v>8</v>
      </c>
      <c r="E310" s="1">
        <v>7</v>
      </c>
      <c r="F310" s="1">
        <v>6</v>
      </c>
      <c r="G310" s="1">
        <v>5</v>
      </c>
      <c r="H310" s="1">
        <v>4</v>
      </c>
      <c r="I310" s="1">
        <v>3</v>
      </c>
      <c r="J310" s="1">
        <v>2</v>
      </c>
      <c r="K310" s="1">
        <v>1</v>
      </c>
      <c r="L310" s="33">
        <v>2</v>
      </c>
      <c r="M310" s="1">
        <v>3</v>
      </c>
      <c r="N310" s="1">
        <v>4</v>
      </c>
      <c r="O310" s="1">
        <v>5</v>
      </c>
      <c r="P310" s="1">
        <v>6</v>
      </c>
      <c r="Q310" s="1">
        <v>7</v>
      </c>
      <c r="R310" s="1">
        <v>8</v>
      </c>
      <c r="S310" s="12">
        <v>9</v>
      </c>
      <c r="T310" s="12" t="s">
        <v>14</v>
      </c>
    </row>
    <row r="311" spans="2:20" x14ac:dyDescent="0.5">
      <c r="B311" s="17" t="s">
        <v>12</v>
      </c>
      <c r="C311" s="11">
        <v>9</v>
      </c>
      <c r="D311" s="1">
        <v>8</v>
      </c>
      <c r="E311" s="1">
        <v>7</v>
      </c>
      <c r="F311" s="1">
        <v>6</v>
      </c>
      <c r="G311" s="1">
        <v>5</v>
      </c>
      <c r="H311" s="1">
        <v>4</v>
      </c>
      <c r="I311" s="1">
        <v>3</v>
      </c>
      <c r="J311" s="1">
        <v>2</v>
      </c>
      <c r="K311" s="33">
        <v>1</v>
      </c>
      <c r="L311" s="1">
        <v>2</v>
      </c>
      <c r="M311" s="1">
        <v>3</v>
      </c>
      <c r="N311" s="1">
        <v>4</v>
      </c>
      <c r="O311" s="1">
        <v>5</v>
      </c>
      <c r="P311" s="1">
        <v>6</v>
      </c>
      <c r="Q311" s="1">
        <v>7</v>
      </c>
      <c r="R311" s="1">
        <v>8</v>
      </c>
      <c r="S311" s="12">
        <v>9</v>
      </c>
      <c r="T311" s="12" t="s">
        <v>15</v>
      </c>
    </row>
    <row r="312" spans="2:20" x14ac:dyDescent="0.5">
      <c r="B312" s="17" t="s">
        <v>12</v>
      </c>
      <c r="C312" s="11">
        <v>9</v>
      </c>
      <c r="D312" s="1">
        <v>8</v>
      </c>
      <c r="E312" s="1">
        <v>7</v>
      </c>
      <c r="F312" s="1">
        <v>6</v>
      </c>
      <c r="G312" s="1">
        <v>5</v>
      </c>
      <c r="H312" s="1">
        <v>4</v>
      </c>
      <c r="I312" s="1">
        <v>3</v>
      </c>
      <c r="J312" s="1">
        <v>2</v>
      </c>
      <c r="K312" s="33">
        <v>1</v>
      </c>
      <c r="L312" s="1">
        <v>2</v>
      </c>
      <c r="M312" s="1">
        <v>3</v>
      </c>
      <c r="N312" s="1">
        <v>4</v>
      </c>
      <c r="O312" s="1">
        <v>5</v>
      </c>
      <c r="P312" s="1">
        <v>6</v>
      </c>
      <c r="Q312" s="1">
        <v>7</v>
      </c>
      <c r="R312" s="1">
        <v>8</v>
      </c>
      <c r="S312" s="12">
        <v>9</v>
      </c>
      <c r="T312" s="12" t="s">
        <v>16</v>
      </c>
    </row>
    <row r="313" spans="2:20" x14ac:dyDescent="0.5">
      <c r="B313" s="17" t="s">
        <v>12</v>
      </c>
      <c r="C313" s="11">
        <v>9</v>
      </c>
      <c r="D313" s="1">
        <v>8</v>
      </c>
      <c r="E313" s="1">
        <v>7</v>
      </c>
      <c r="F313" s="1">
        <v>6</v>
      </c>
      <c r="G313" s="1">
        <v>5</v>
      </c>
      <c r="H313" s="1">
        <v>4</v>
      </c>
      <c r="I313" s="1">
        <v>3</v>
      </c>
      <c r="J313" s="1">
        <v>2</v>
      </c>
      <c r="K313" s="1">
        <v>1</v>
      </c>
      <c r="L313" s="1">
        <v>2</v>
      </c>
      <c r="M313" s="1">
        <v>3</v>
      </c>
      <c r="N313" s="1">
        <v>4</v>
      </c>
      <c r="O313" s="1">
        <v>5</v>
      </c>
      <c r="P313" s="33">
        <v>6</v>
      </c>
      <c r="Q313" s="1">
        <v>7</v>
      </c>
      <c r="R313" s="1">
        <v>8</v>
      </c>
      <c r="S313" s="12">
        <v>9</v>
      </c>
      <c r="T313" s="12" t="s">
        <v>17</v>
      </c>
    </row>
    <row r="314" spans="2:20" x14ac:dyDescent="0.5">
      <c r="B314" s="19" t="s">
        <v>12</v>
      </c>
      <c r="C314" s="13">
        <v>9</v>
      </c>
      <c r="D314" s="14">
        <v>8</v>
      </c>
      <c r="E314" s="14">
        <v>7</v>
      </c>
      <c r="F314" s="14">
        <v>6</v>
      </c>
      <c r="G314" s="14">
        <v>5</v>
      </c>
      <c r="H314" s="14">
        <v>4</v>
      </c>
      <c r="I314" s="14">
        <v>3</v>
      </c>
      <c r="J314" s="14">
        <v>2</v>
      </c>
      <c r="K314" s="14">
        <v>1</v>
      </c>
      <c r="L314" s="14">
        <v>2</v>
      </c>
      <c r="M314" s="14">
        <v>3</v>
      </c>
      <c r="N314" s="14">
        <v>4</v>
      </c>
      <c r="O314" s="14">
        <v>5</v>
      </c>
      <c r="P314" s="14">
        <v>6</v>
      </c>
      <c r="Q314" s="34">
        <v>7</v>
      </c>
      <c r="R314" s="14">
        <v>8</v>
      </c>
      <c r="S314" s="15">
        <v>9</v>
      </c>
      <c r="T314" s="15" t="s">
        <v>18</v>
      </c>
    </row>
    <row r="315" spans="2:20" x14ac:dyDescent="0.5">
      <c r="B315" s="16" t="s">
        <v>13</v>
      </c>
      <c r="C315" s="11">
        <v>9</v>
      </c>
      <c r="D315" s="1">
        <v>8</v>
      </c>
      <c r="E315" s="1">
        <v>7</v>
      </c>
      <c r="F315" s="1">
        <v>6</v>
      </c>
      <c r="G315" s="1">
        <v>5</v>
      </c>
      <c r="H315" s="33">
        <v>4</v>
      </c>
      <c r="I315" s="1">
        <v>3</v>
      </c>
      <c r="J315" s="1">
        <v>2</v>
      </c>
      <c r="K315" s="1">
        <v>1</v>
      </c>
      <c r="L315" s="1">
        <v>2</v>
      </c>
      <c r="M315" s="1">
        <v>3</v>
      </c>
      <c r="N315" s="1">
        <v>4</v>
      </c>
      <c r="O315" s="1">
        <v>5</v>
      </c>
      <c r="P315" s="1">
        <v>6</v>
      </c>
      <c r="Q315" s="1">
        <v>7</v>
      </c>
      <c r="R315" s="1">
        <v>8</v>
      </c>
      <c r="S315" s="12">
        <v>9</v>
      </c>
      <c r="T315" s="7" t="s">
        <v>14</v>
      </c>
    </row>
    <row r="316" spans="2:20" x14ac:dyDescent="0.5">
      <c r="B316" s="17" t="s">
        <v>13</v>
      </c>
      <c r="C316" s="11">
        <v>9</v>
      </c>
      <c r="D316" s="1">
        <v>8</v>
      </c>
      <c r="E316" s="1">
        <v>7</v>
      </c>
      <c r="F316" s="1">
        <v>6</v>
      </c>
      <c r="G316" s="33">
        <v>5</v>
      </c>
      <c r="H316" s="1">
        <v>4</v>
      </c>
      <c r="I316" s="1">
        <v>3</v>
      </c>
      <c r="J316" s="1">
        <v>2</v>
      </c>
      <c r="K316" s="1">
        <v>1</v>
      </c>
      <c r="L316" s="1">
        <v>2</v>
      </c>
      <c r="M316" s="1">
        <v>3</v>
      </c>
      <c r="N316" s="1">
        <v>4</v>
      </c>
      <c r="O316" s="1">
        <v>5</v>
      </c>
      <c r="P316" s="1">
        <v>6</v>
      </c>
      <c r="Q316" s="1">
        <v>7</v>
      </c>
      <c r="R316" s="1">
        <v>8</v>
      </c>
      <c r="S316" s="12">
        <v>9</v>
      </c>
      <c r="T316" s="12" t="s">
        <v>15</v>
      </c>
    </row>
    <row r="317" spans="2:20" x14ac:dyDescent="0.5">
      <c r="B317" s="17" t="s">
        <v>13</v>
      </c>
      <c r="C317" s="11">
        <v>9</v>
      </c>
      <c r="D317" s="1">
        <v>8</v>
      </c>
      <c r="E317" s="1">
        <v>7</v>
      </c>
      <c r="F317" s="1">
        <v>6</v>
      </c>
      <c r="G317" s="1">
        <v>5</v>
      </c>
      <c r="H317" s="1">
        <v>4</v>
      </c>
      <c r="I317" s="1">
        <v>3</v>
      </c>
      <c r="J317" s="1">
        <v>2</v>
      </c>
      <c r="K317" s="1">
        <v>1</v>
      </c>
      <c r="L317" s="1">
        <v>2</v>
      </c>
      <c r="M317" s="33">
        <v>3</v>
      </c>
      <c r="N317" s="1">
        <v>4</v>
      </c>
      <c r="O317" s="1">
        <v>5</v>
      </c>
      <c r="P317" s="1">
        <v>6</v>
      </c>
      <c r="Q317" s="1">
        <v>7</v>
      </c>
      <c r="R317" s="1">
        <v>8</v>
      </c>
      <c r="S317" s="12">
        <v>9</v>
      </c>
      <c r="T317" s="12" t="s">
        <v>16</v>
      </c>
    </row>
    <row r="318" spans="2:20" x14ac:dyDescent="0.5">
      <c r="B318" s="17" t="s">
        <v>13</v>
      </c>
      <c r="C318" s="11">
        <v>9</v>
      </c>
      <c r="D318" s="1">
        <v>8</v>
      </c>
      <c r="E318" s="1">
        <v>7</v>
      </c>
      <c r="F318" s="1">
        <v>6</v>
      </c>
      <c r="G318" s="1">
        <v>5</v>
      </c>
      <c r="H318" s="1">
        <v>4</v>
      </c>
      <c r="I318" s="1">
        <v>3</v>
      </c>
      <c r="J318" s="1">
        <v>2</v>
      </c>
      <c r="K318" s="1">
        <v>1</v>
      </c>
      <c r="L318" s="1">
        <v>2</v>
      </c>
      <c r="M318" s="33">
        <v>3</v>
      </c>
      <c r="N318" s="1">
        <v>4</v>
      </c>
      <c r="O318" s="1">
        <v>5</v>
      </c>
      <c r="P318" s="1">
        <v>6</v>
      </c>
      <c r="Q318" s="1">
        <v>7</v>
      </c>
      <c r="R318" s="1">
        <v>8</v>
      </c>
      <c r="S318" s="12">
        <v>9</v>
      </c>
      <c r="T318" s="12" t="s">
        <v>17</v>
      </c>
    </row>
    <row r="319" spans="2:20" x14ac:dyDescent="0.5">
      <c r="B319" s="17" t="s">
        <v>13</v>
      </c>
      <c r="C319" s="11">
        <v>9</v>
      </c>
      <c r="D319" s="1">
        <v>8</v>
      </c>
      <c r="E319" s="1">
        <v>7</v>
      </c>
      <c r="F319" s="1">
        <v>6</v>
      </c>
      <c r="G319" s="33">
        <v>5</v>
      </c>
      <c r="H319" s="1">
        <v>4</v>
      </c>
      <c r="I319" s="1">
        <v>3</v>
      </c>
      <c r="J319" s="1">
        <v>2</v>
      </c>
      <c r="K319" s="1">
        <v>1</v>
      </c>
      <c r="L319" s="1">
        <v>2</v>
      </c>
      <c r="M319" s="1">
        <v>3</v>
      </c>
      <c r="N319" s="1">
        <v>4</v>
      </c>
      <c r="O319" s="1">
        <v>5</v>
      </c>
      <c r="P319" s="1">
        <v>6</v>
      </c>
      <c r="Q319" s="1">
        <v>7</v>
      </c>
      <c r="R319" s="1">
        <v>8</v>
      </c>
      <c r="S319" s="12">
        <v>9</v>
      </c>
      <c r="T319" s="15" t="s">
        <v>18</v>
      </c>
    </row>
    <row r="320" spans="2:20" x14ac:dyDescent="0.5">
      <c r="B320" s="4" t="s">
        <v>14</v>
      </c>
      <c r="C320" s="4">
        <v>9</v>
      </c>
      <c r="D320" s="5">
        <v>8</v>
      </c>
      <c r="E320" s="5">
        <v>7</v>
      </c>
      <c r="F320" s="5">
        <v>6</v>
      </c>
      <c r="G320" s="5">
        <v>5</v>
      </c>
      <c r="H320" s="5">
        <v>4</v>
      </c>
      <c r="I320" s="5">
        <v>3</v>
      </c>
      <c r="J320" s="6">
        <v>2</v>
      </c>
      <c r="K320" s="5">
        <v>1</v>
      </c>
      <c r="L320" s="5">
        <v>2</v>
      </c>
      <c r="M320" s="5">
        <v>3</v>
      </c>
      <c r="N320" s="5">
        <v>4</v>
      </c>
      <c r="O320" s="5">
        <v>5</v>
      </c>
      <c r="P320" s="5">
        <v>6</v>
      </c>
      <c r="Q320" s="5">
        <v>7</v>
      </c>
      <c r="R320" s="5">
        <v>8</v>
      </c>
      <c r="S320" s="7">
        <v>9</v>
      </c>
      <c r="T320" s="12" t="s">
        <v>15</v>
      </c>
    </row>
    <row r="321" spans="2:20" x14ac:dyDescent="0.5">
      <c r="B321" s="11" t="s">
        <v>14</v>
      </c>
      <c r="C321" s="11">
        <v>9</v>
      </c>
      <c r="D321" s="1">
        <v>8</v>
      </c>
      <c r="E321" s="1">
        <v>7</v>
      </c>
      <c r="F321" s="1">
        <v>6</v>
      </c>
      <c r="G321" s="1">
        <v>5</v>
      </c>
      <c r="H321" s="1">
        <v>4</v>
      </c>
      <c r="I321" s="1">
        <v>3</v>
      </c>
      <c r="J321" s="1">
        <v>2</v>
      </c>
      <c r="K321" s="1">
        <v>1</v>
      </c>
      <c r="L321" s="1">
        <v>2</v>
      </c>
      <c r="M321" s="1">
        <v>3</v>
      </c>
      <c r="N321" s="1">
        <v>4</v>
      </c>
      <c r="O321" s="33">
        <v>5</v>
      </c>
      <c r="P321" s="1">
        <v>6</v>
      </c>
      <c r="Q321" s="1">
        <v>7</v>
      </c>
      <c r="R321" s="1">
        <v>8</v>
      </c>
      <c r="S321" s="12">
        <v>9</v>
      </c>
      <c r="T321" s="12" t="s">
        <v>16</v>
      </c>
    </row>
    <row r="322" spans="2:20" x14ac:dyDescent="0.5">
      <c r="B322" s="11" t="s">
        <v>14</v>
      </c>
      <c r="C322" s="11">
        <v>9</v>
      </c>
      <c r="D322" s="1">
        <v>8</v>
      </c>
      <c r="E322" s="1">
        <v>7</v>
      </c>
      <c r="F322" s="1">
        <v>6</v>
      </c>
      <c r="G322" s="1">
        <v>5</v>
      </c>
      <c r="H322" s="1">
        <v>4</v>
      </c>
      <c r="I322" s="1">
        <v>3</v>
      </c>
      <c r="J322" s="1">
        <v>2</v>
      </c>
      <c r="K322" s="1">
        <v>1</v>
      </c>
      <c r="L322" s="1">
        <v>2</v>
      </c>
      <c r="M322" s="1">
        <v>3</v>
      </c>
      <c r="N322" s="1">
        <v>4</v>
      </c>
      <c r="O322" s="1">
        <v>5</v>
      </c>
      <c r="P322" s="33">
        <v>6</v>
      </c>
      <c r="Q322" s="1">
        <v>7</v>
      </c>
      <c r="R322" s="1">
        <v>8</v>
      </c>
      <c r="S322" s="12">
        <v>9</v>
      </c>
      <c r="T322" s="12" t="s">
        <v>17</v>
      </c>
    </row>
    <row r="323" spans="2:20" x14ac:dyDescent="0.5">
      <c r="B323" s="13" t="s">
        <v>14</v>
      </c>
      <c r="C323" s="13">
        <v>9</v>
      </c>
      <c r="D323" s="14">
        <v>8</v>
      </c>
      <c r="E323" s="14">
        <v>7</v>
      </c>
      <c r="F323" s="14">
        <v>6</v>
      </c>
      <c r="G323" s="14">
        <v>5</v>
      </c>
      <c r="H323" s="14">
        <v>4</v>
      </c>
      <c r="I323" s="14">
        <v>3</v>
      </c>
      <c r="J323" s="34">
        <v>2</v>
      </c>
      <c r="K323" s="14">
        <v>1</v>
      </c>
      <c r="L323" s="14">
        <v>2</v>
      </c>
      <c r="M323" s="14">
        <v>3</v>
      </c>
      <c r="N323" s="14">
        <v>4</v>
      </c>
      <c r="O323" s="14">
        <v>5</v>
      </c>
      <c r="P323" s="14">
        <v>6</v>
      </c>
      <c r="Q323" s="14">
        <v>7</v>
      </c>
      <c r="R323" s="14">
        <v>8</v>
      </c>
      <c r="S323" s="15">
        <v>9</v>
      </c>
      <c r="T323" s="15" t="s">
        <v>18</v>
      </c>
    </row>
    <row r="324" spans="2:20" x14ac:dyDescent="0.5">
      <c r="B324" s="16" t="s">
        <v>15</v>
      </c>
      <c r="C324" s="11">
        <v>9</v>
      </c>
      <c r="D324" s="1">
        <v>8</v>
      </c>
      <c r="E324" s="1">
        <v>7</v>
      </c>
      <c r="F324" s="1">
        <v>6</v>
      </c>
      <c r="G324" s="1">
        <v>5</v>
      </c>
      <c r="H324" s="1">
        <v>4</v>
      </c>
      <c r="I324" s="1">
        <v>3</v>
      </c>
      <c r="J324" s="1">
        <v>2</v>
      </c>
      <c r="K324" s="1">
        <v>1</v>
      </c>
      <c r="L324" s="1">
        <v>2</v>
      </c>
      <c r="M324" s="1">
        <v>3</v>
      </c>
      <c r="N324" s="33">
        <v>4</v>
      </c>
      <c r="O324" s="1">
        <v>5</v>
      </c>
      <c r="P324" s="1">
        <v>6</v>
      </c>
      <c r="Q324" s="1">
        <v>7</v>
      </c>
      <c r="R324" s="1">
        <v>8</v>
      </c>
      <c r="S324" s="12">
        <v>9</v>
      </c>
      <c r="T324" s="12" t="s">
        <v>16</v>
      </c>
    </row>
    <row r="325" spans="2:20" x14ac:dyDescent="0.5">
      <c r="B325" s="17" t="s">
        <v>15</v>
      </c>
      <c r="C325" s="11">
        <v>9</v>
      </c>
      <c r="D325" s="1">
        <v>8</v>
      </c>
      <c r="E325" s="1">
        <v>7</v>
      </c>
      <c r="F325" s="1">
        <v>6</v>
      </c>
      <c r="G325" s="1">
        <v>5</v>
      </c>
      <c r="H325" s="1">
        <v>4</v>
      </c>
      <c r="I325" s="1">
        <v>3</v>
      </c>
      <c r="J325" s="1">
        <v>2</v>
      </c>
      <c r="K325" s="1">
        <v>1</v>
      </c>
      <c r="L325" s="1">
        <v>2</v>
      </c>
      <c r="M325" s="1">
        <v>3</v>
      </c>
      <c r="N325" s="1">
        <v>4</v>
      </c>
      <c r="O325" s="33">
        <v>5</v>
      </c>
      <c r="P325" s="1">
        <v>6</v>
      </c>
      <c r="Q325" s="1">
        <v>7</v>
      </c>
      <c r="R325" s="1">
        <v>8</v>
      </c>
      <c r="S325" s="12">
        <v>9</v>
      </c>
      <c r="T325" s="12" t="s">
        <v>17</v>
      </c>
    </row>
    <row r="326" spans="2:20" x14ac:dyDescent="0.5">
      <c r="B326" s="19" t="s">
        <v>15</v>
      </c>
      <c r="C326" s="13">
        <v>9</v>
      </c>
      <c r="D326" s="14">
        <v>8</v>
      </c>
      <c r="E326" s="14">
        <v>7</v>
      </c>
      <c r="F326" s="14">
        <v>6</v>
      </c>
      <c r="G326" s="14">
        <v>5</v>
      </c>
      <c r="H326" s="14">
        <v>4</v>
      </c>
      <c r="I326" s="14">
        <v>3</v>
      </c>
      <c r="J326" s="14">
        <v>2</v>
      </c>
      <c r="K326" s="34">
        <v>1</v>
      </c>
      <c r="L326" s="14">
        <v>2</v>
      </c>
      <c r="M326" s="14">
        <v>3</v>
      </c>
      <c r="N326" s="14">
        <v>4</v>
      </c>
      <c r="O326" s="14">
        <v>5</v>
      </c>
      <c r="P326" s="14">
        <v>6</v>
      </c>
      <c r="Q326" s="14">
        <v>7</v>
      </c>
      <c r="R326" s="14">
        <v>8</v>
      </c>
      <c r="S326" s="15">
        <v>9</v>
      </c>
      <c r="T326" s="15" t="s">
        <v>18</v>
      </c>
    </row>
    <row r="327" spans="2:20" x14ac:dyDescent="0.5">
      <c r="B327" s="16" t="s">
        <v>16</v>
      </c>
      <c r="C327" s="11">
        <v>9</v>
      </c>
      <c r="D327" s="1">
        <v>8</v>
      </c>
      <c r="E327" s="1">
        <v>7</v>
      </c>
      <c r="F327" s="1">
        <v>6</v>
      </c>
      <c r="G327" s="1">
        <v>5</v>
      </c>
      <c r="H327" s="1">
        <v>4</v>
      </c>
      <c r="I327" s="1">
        <v>3</v>
      </c>
      <c r="J327" s="1">
        <v>2</v>
      </c>
      <c r="K327" s="1">
        <v>1</v>
      </c>
      <c r="L327" s="33">
        <v>2</v>
      </c>
      <c r="M327" s="1">
        <v>3</v>
      </c>
      <c r="N327" s="1">
        <v>4</v>
      </c>
      <c r="O327" s="1">
        <v>5</v>
      </c>
      <c r="P327" s="1">
        <v>6</v>
      </c>
      <c r="Q327" s="1">
        <v>7</v>
      </c>
      <c r="R327" s="1">
        <v>8</v>
      </c>
      <c r="S327" s="12">
        <v>9</v>
      </c>
      <c r="T327" s="7" t="s">
        <v>17</v>
      </c>
    </row>
    <row r="328" spans="2:20" x14ac:dyDescent="0.5">
      <c r="B328" s="19" t="s">
        <v>16</v>
      </c>
      <c r="C328" s="13">
        <v>9</v>
      </c>
      <c r="D328" s="14">
        <v>8</v>
      </c>
      <c r="E328" s="14">
        <v>7</v>
      </c>
      <c r="F328" s="14">
        <v>6</v>
      </c>
      <c r="G328" s="14">
        <v>5</v>
      </c>
      <c r="H328" s="14">
        <v>4</v>
      </c>
      <c r="I328" s="34">
        <v>3</v>
      </c>
      <c r="J328" s="14">
        <v>2</v>
      </c>
      <c r="K328" s="14">
        <v>1</v>
      </c>
      <c r="L328" s="14">
        <v>2</v>
      </c>
      <c r="M328" s="14">
        <v>3</v>
      </c>
      <c r="N328" s="14">
        <v>4</v>
      </c>
      <c r="O328" s="14">
        <v>5</v>
      </c>
      <c r="P328" s="14">
        <v>6</v>
      </c>
      <c r="Q328" s="14">
        <v>7</v>
      </c>
      <c r="R328" s="14">
        <v>8</v>
      </c>
      <c r="S328" s="15">
        <v>9</v>
      </c>
      <c r="T328" s="15" t="s">
        <v>18</v>
      </c>
    </row>
    <row r="329" spans="2:20" x14ac:dyDescent="0.5">
      <c r="B329" s="3" t="s">
        <v>17</v>
      </c>
      <c r="C329" s="13">
        <v>9</v>
      </c>
      <c r="D329" s="14">
        <v>8</v>
      </c>
      <c r="E329" s="14">
        <v>7</v>
      </c>
      <c r="F329" s="14">
        <v>6</v>
      </c>
      <c r="G329" s="14">
        <v>5</v>
      </c>
      <c r="H329" s="14">
        <v>4</v>
      </c>
      <c r="I329" s="14">
        <v>3</v>
      </c>
      <c r="J329" s="14">
        <v>2</v>
      </c>
      <c r="K329" s="14">
        <v>1</v>
      </c>
      <c r="L329" s="14">
        <v>2</v>
      </c>
      <c r="M329" s="14">
        <v>3</v>
      </c>
      <c r="N329" s="14">
        <v>4</v>
      </c>
      <c r="O329" s="34">
        <v>5</v>
      </c>
      <c r="P329" s="14">
        <v>6</v>
      </c>
      <c r="Q329" s="14">
        <v>7</v>
      </c>
      <c r="R329" s="14">
        <v>8</v>
      </c>
      <c r="S329" s="15">
        <v>9</v>
      </c>
      <c r="T329" s="15" t="s">
        <v>18</v>
      </c>
    </row>
  </sheetData>
  <mergeCells count="15"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  <mergeCell ref="B111:T111"/>
    <mergeCell ref="B1:T1"/>
    <mergeCell ref="B2:T2"/>
    <mergeCell ref="B3:B4"/>
    <mergeCell ref="C3:S3"/>
    <mergeCell ref="T3:T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23DB-BDB8-43AB-8F32-AE7402EFD75F}">
  <dimension ref="A1:R124"/>
  <sheetViews>
    <sheetView topLeftCell="A12" zoomScale="55" zoomScaleNormal="55" workbookViewId="0">
      <selection activeCell="O14" sqref="O14"/>
    </sheetView>
  </sheetViews>
  <sheetFormatPr defaultRowHeight="15.75" x14ac:dyDescent="0.5"/>
  <cols>
    <col min="1" max="1" width="36.8125" bestFit="1" customWidth="1"/>
    <col min="2" max="2" width="10.625" customWidth="1"/>
  </cols>
  <sheetData>
    <row r="1" spans="1:16" x14ac:dyDescent="0.5">
      <c r="A1" s="63" t="s">
        <v>20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16" x14ac:dyDescent="0.5">
      <c r="A2" s="2" t="s">
        <v>4</v>
      </c>
      <c r="B2" s="3">
        <v>1</v>
      </c>
      <c r="C2" s="3">
        <f>GEOMEAN('NORMALISASI USIA BANGUNAN'!X6,'NORMALISASI USIA BANGUNAN'!X116,'NORMALISASI USIA BANGUNAN'!X226)</f>
        <v>3.6342411856642793</v>
      </c>
      <c r="D2" s="3">
        <f>GEOMEAN('NORMALISASI USIA BANGUNAN'!Y6,'NORMALISASI USIA BANGUNAN'!Y116,'NORMALISASI USIA BANGUNAN'!Y226)</f>
        <v>0.3149802624737183</v>
      </c>
      <c r="E2" s="3">
        <f>GEOMEAN('NORMALISASI USIA BANGUNAN'!Z6,'NORMALISASI USIA BANGUNAN'!Z116,'NORMALISASI USIA BANGUNAN'!Z226)</f>
        <v>3.3019272488946267</v>
      </c>
      <c r="F2" s="3">
        <f>GEOMEAN('NORMALISASI USIA BANGUNAN'!AA6,'NORMALISASI USIA BANGUNAN'!AA116,'NORMALISASI USIA BANGUNAN'!AA226)</f>
        <v>4.5788569702133275</v>
      </c>
      <c r="G2" s="3">
        <f>GEOMEAN('NORMALISASI USIA BANGUNAN'!AB6,'NORMALISASI USIA BANGUNAN'!AB116,'NORMALISASI USIA BANGUNAN'!AB226)</f>
        <v>4.5788569702133275</v>
      </c>
      <c r="H2" s="3">
        <f>GEOMEAN('NORMALISASI USIA BANGUNAN'!AC6,'NORMALISASI USIA BANGUNAN'!AC116,'NORMALISASI USIA BANGUNAN'!AC226)</f>
        <v>1.2164403991146799</v>
      </c>
      <c r="I2" s="3">
        <f>GEOMEAN('NORMALISASI USIA BANGUNAN'!AD6,'NORMALISASI USIA BANGUNAN'!AD116,'NORMALISASI USIA BANGUNAN'!AD226)</f>
        <v>3.1748021039363987</v>
      </c>
      <c r="J2" s="3">
        <f>GEOMEAN('NORMALISASI USIA BANGUNAN'!AE6,'NORMALISASI USIA BANGUNAN'!AE116,'NORMALISASI USIA BANGUNAN'!AE226)</f>
        <v>0.6299605249474366</v>
      </c>
      <c r="K2" s="3">
        <f>GEOMEAN('NORMALISASI USIA BANGUNAN'!AF6,'NORMALISASI USIA BANGUNAN'!AF116,'NORMALISASI USIA BANGUNAN'!AF226)</f>
        <v>0.16465843900208738</v>
      </c>
      <c r="L2" s="3">
        <f>GEOMEAN('NORMALISASI USIA BANGUNAN'!AG6,'NORMALISASI USIA BANGUNAN'!AG116,'NORMALISASI USIA BANGUNAN'!AG226)</f>
        <v>2</v>
      </c>
      <c r="M2" s="3">
        <f>GEOMEAN('NORMALISASI USIA BANGUNAN'!AH6,'NORMALISASI USIA BANGUNAN'!AH116,'NORMALISASI USIA BANGUNAN'!AH226)</f>
        <v>3</v>
      </c>
      <c r="N2" s="3">
        <f>GEOMEAN('NORMALISASI USIA BANGUNAN'!AI6,'NORMALISASI USIA BANGUNAN'!AI116,'NORMALISASI USIA BANGUNAN'!AI226)</f>
        <v>1.2164403991146799</v>
      </c>
      <c r="O2" s="3">
        <f>GEOMEAN('NORMALISASI USIA BANGUNAN'!AJ6,'NORMALISASI USIA BANGUNAN'!AJ116,'NORMALISASI USIA BANGUNAN'!AJ226)</f>
        <v>0.143842395666197</v>
      </c>
      <c r="P2" s="3">
        <f>GEOMEAN('NORMALISASI USIA BANGUNAN'!AK6,'NORMALISASI USIA BANGUNAN'!AK116,'NORMALISASI USIA BANGUNAN'!AK226)</f>
        <v>2</v>
      </c>
    </row>
    <row r="3" spans="1:16" x14ac:dyDescent="0.5">
      <c r="A3" s="2" t="s">
        <v>5</v>
      </c>
      <c r="B3" s="3">
        <f>1/C2</f>
        <v>0.27516060407455223</v>
      </c>
      <c r="C3" s="3">
        <v>1</v>
      </c>
      <c r="D3" s="3">
        <f>GEOMEAN('NORMALISASI USIA BANGUNAN'!Y7,'NORMALISASI USIA BANGUNAN'!Y117,'NORMALISASI USIA BANGUNAN'!Y227)</f>
        <v>1</v>
      </c>
      <c r="E3" s="3">
        <f>GEOMEAN('NORMALISASI USIA BANGUNAN'!Z7,'NORMALISASI USIA BANGUNAN'!Z117,'NORMALISASI USIA BANGUNAN'!Z227)</f>
        <v>1.0772173450159419</v>
      </c>
      <c r="F3" s="3">
        <f>GEOMEAN('NORMALISASI USIA BANGUNAN'!AA7,'NORMALISASI USIA BANGUNAN'!AA117,'NORMALISASI USIA BANGUNAN'!AA227)</f>
        <v>2.5198420997897464</v>
      </c>
      <c r="G3" s="3">
        <f>GEOMEAN('NORMALISASI USIA BANGUNAN'!AB7,'NORMALISASI USIA BANGUNAN'!AB117,'NORMALISASI USIA BANGUNAN'!AB227)</f>
        <v>3.6342411856642793</v>
      </c>
      <c r="H3" s="3">
        <f>GEOMEAN('NORMALISASI USIA BANGUNAN'!AC7,'NORMALISASI USIA BANGUNAN'!AC117,'NORMALISASI USIA BANGUNAN'!AC227)</f>
        <v>0.3968502629920499</v>
      </c>
      <c r="I3" s="3">
        <f>GEOMEAN('NORMALISASI USIA BANGUNAN'!AD7,'NORMALISASI USIA BANGUNAN'!AD117,'NORMALISASI USIA BANGUNAN'!AD227)</f>
        <v>0.79370052598409979</v>
      </c>
      <c r="J3" s="3">
        <f>GEOMEAN('NORMALISASI USIA BANGUNAN'!AE7,'NORMALISASI USIA BANGUNAN'!AE117,'NORMALISASI USIA BANGUNAN'!AE227)</f>
        <v>0.69336127435063466</v>
      </c>
      <c r="K3" s="3">
        <f>GEOMEAN('NORMALISASI USIA BANGUNAN'!AF7,'NORMALISASI USIA BANGUNAN'!AF117,'NORMALISASI USIA BANGUNAN'!AF227)</f>
        <v>0.19078570709222198</v>
      </c>
      <c r="L3" s="3">
        <f>GEOMEAN('NORMALISASI USIA BANGUNAN'!AG7,'NORMALISASI USIA BANGUNAN'!AG117,'NORMALISASI USIA BANGUNAN'!AG227)</f>
        <v>0.79370052598409979</v>
      </c>
      <c r="M3" s="3">
        <f>GEOMEAN('NORMALISASI USIA BANGUNAN'!AH7,'NORMALISASI USIA BANGUNAN'!AH117,'NORMALISASI USIA BANGUNAN'!AH227)</f>
        <v>0.94103602888102844</v>
      </c>
      <c r="N3" s="3">
        <f>GEOMEAN('NORMALISASI USIA BANGUNAN'!AI7,'NORMALISASI USIA BANGUNAN'!AI117,'NORMALISASI USIA BANGUNAN'!AI227)</f>
        <v>0.30285343213868993</v>
      </c>
      <c r="O3" s="3">
        <f>GEOMEAN('NORMALISASI USIA BANGUNAN'!AJ7,'NORMALISASI USIA BANGUNAN'!AJ117,'NORMALISASI USIA BANGUNAN'!AJ227)</f>
        <v>0.17334031858765866</v>
      </c>
      <c r="P3" s="3">
        <f>GEOMEAN('NORMALISASI USIA BANGUNAN'!AK7,'NORMALISASI USIA BANGUNAN'!AK117,'NORMALISASI USIA BANGUNAN'!AK227)</f>
        <v>0.74690079109286078</v>
      </c>
    </row>
    <row r="4" spans="1:16" x14ac:dyDescent="0.5">
      <c r="A4" s="2" t="s">
        <v>6</v>
      </c>
      <c r="B4" s="3">
        <f>1/D2</f>
        <v>3.1748021039363987</v>
      </c>
      <c r="C4" s="3">
        <f>1/D3</f>
        <v>1</v>
      </c>
      <c r="D4" s="3">
        <v>1</v>
      </c>
      <c r="E4" s="3">
        <f>GEOMEAN('NORMALISASI USIA BANGUNAN'!Z8,'NORMALISASI USIA BANGUNAN'!Z118,'NORMALISASI USIA BANGUNAN'!Z228)</f>
        <v>3.6342411856642793</v>
      </c>
      <c r="F4" s="3">
        <f>GEOMEAN('NORMALISASI USIA BANGUNAN'!AA8,'NORMALISASI USIA BANGUNAN'!AA118,'NORMALISASI USIA BANGUNAN'!AA228)</f>
        <v>7.6517247310895558</v>
      </c>
      <c r="G4" s="3">
        <f>GEOMEAN('NORMALISASI USIA BANGUNAN'!AB8,'NORMALISASI USIA BANGUNAN'!AB118,'NORMALISASI USIA BANGUNAN'!AB228)</f>
        <v>5.8480354764257321</v>
      </c>
      <c r="H4" s="3">
        <f>GEOMEAN('NORMALISASI USIA BANGUNAN'!AC8,'NORMALISASI USIA BANGUNAN'!AC118,'NORMALISASI USIA BANGUNAN'!AC228)</f>
        <v>0.36840314986403866</v>
      </c>
      <c r="I4" s="3">
        <f>GEOMEAN('NORMALISASI USIA BANGUNAN'!AD8,'NORMALISASI USIA BANGUNAN'!AD118,'NORMALISASI USIA BANGUNAN'!AD228)</f>
        <v>2.6207413942088964</v>
      </c>
      <c r="J4" s="3">
        <f>GEOMEAN('NORMALISASI USIA BANGUNAN'!AE8,'NORMALISASI USIA BANGUNAN'!AE118,'NORMALISASI USIA BANGUNAN'!AE228)</f>
        <v>3.3019272488946267</v>
      </c>
      <c r="K4" s="3">
        <f>GEOMEAN('NORMALISASI USIA BANGUNAN'!AF8,'NORMALISASI USIA BANGUNAN'!AF118,'NORMALISASI USIA BANGUNAN'!AF228)</f>
        <v>0.30285343213868993</v>
      </c>
      <c r="L4" s="3">
        <f>GEOMEAN('NORMALISASI USIA BANGUNAN'!AG8,'NORMALISASI USIA BANGUNAN'!AG118,'NORMALISASI USIA BANGUNAN'!AG228)</f>
        <v>1</v>
      </c>
      <c r="M4" s="3">
        <f>GEOMEAN('NORMALISASI USIA BANGUNAN'!AH8,'NORMALISASI USIA BANGUNAN'!AH118,'NORMALISASI USIA BANGUNAN'!AH228)</f>
        <v>2.8844991406148166</v>
      </c>
      <c r="N4" s="3">
        <f>GEOMEAN('NORMALISASI USIA BANGUNAN'!AI8,'NORMALISASI USIA BANGUNAN'!AI118,'NORMALISASI USIA BANGUNAN'!AI228)</f>
        <v>1</v>
      </c>
      <c r="O4" s="3">
        <f>GEOMEAN('NORMALISASI USIA BANGUNAN'!AJ8,'NORMALISASI USIA BANGUNAN'!AJ118,'NORMALISASI USIA BANGUNAN'!AJ228)</f>
        <v>0.28114422176724974</v>
      </c>
      <c r="P4" s="3">
        <f>GEOMEAN('NORMALISASI USIA BANGUNAN'!AK8,'NORMALISASI USIA BANGUNAN'!AK118,'NORMALISASI USIA BANGUNAN'!AK228)</f>
        <v>3.3019272488946267</v>
      </c>
    </row>
    <row r="5" spans="1:16" x14ac:dyDescent="0.5">
      <c r="A5" s="2" t="s">
        <v>7</v>
      </c>
      <c r="B5" s="3">
        <f>1/E2</f>
        <v>0.30285343213868993</v>
      </c>
      <c r="C5" s="3">
        <f>1/E3</f>
        <v>0.92831776672255573</v>
      </c>
      <c r="D5" s="3">
        <f>1/E4</f>
        <v>0.27516060407455223</v>
      </c>
      <c r="E5" s="3">
        <v>1</v>
      </c>
      <c r="F5" s="3">
        <f>GEOMEAN('NORMALISASI USIA BANGUNAN'!AA9,'NORMALISASI USIA BANGUNAN'!AA119,'NORMALISASI USIA BANGUNAN'!AA229)</f>
        <v>2</v>
      </c>
      <c r="G5" s="3">
        <f>GEOMEAN('NORMALISASI USIA BANGUNAN'!AB9,'NORMALISASI USIA BANGUNAN'!AB119,'NORMALISASI USIA BANGUNAN'!AB229)</f>
        <v>2.8844991406148166</v>
      </c>
      <c r="H5" s="3">
        <f>GEOMEAN('NORMALISASI USIA BANGUNAN'!AC9,'NORMALISASI USIA BANGUNAN'!AC119,'NORMALISASI USIA BANGUNAN'!AC229)</f>
        <v>0.58480354764257325</v>
      </c>
      <c r="I5" s="3">
        <f>GEOMEAN('NORMALISASI USIA BANGUNAN'!AD9,'NORMALISASI USIA BANGUNAN'!AD119,'NORMALISASI USIA BANGUNAN'!AD229)</f>
        <v>1.2599210498948732</v>
      </c>
      <c r="J5" s="3">
        <f>GEOMEAN('NORMALISASI USIA BANGUNAN'!AE9,'NORMALISASI USIA BANGUNAN'!AE119,'NORMALISASI USIA BANGUNAN'!AE229)</f>
        <v>1.2599210498948732</v>
      </c>
      <c r="K5" s="3">
        <f>GEOMEAN('NORMALISASI USIA BANGUNAN'!AF9,'NORMALISASI USIA BANGUNAN'!AF119,'NORMALISASI USIA BANGUNAN'!AF229)</f>
        <v>0.6299605249474366</v>
      </c>
      <c r="L5" s="3">
        <f>GEOMEAN('NORMALISASI USIA BANGUNAN'!AG9,'NORMALISASI USIA BANGUNAN'!AG119,'NORMALISASI USIA BANGUNAN'!AG229)</f>
        <v>1.2599210498948732</v>
      </c>
      <c r="M5" s="3">
        <f>GEOMEAN('NORMALISASI USIA BANGUNAN'!AH9,'NORMALISASI USIA BANGUNAN'!AH119,'NORMALISASI USIA BANGUNAN'!AH229)</f>
        <v>0.79370052598409979</v>
      </c>
      <c r="N5" s="3">
        <f>GEOMEAN('NORMALISASI USIA BANGUNAN'!AI9,'NORMALISASI USIA BANGUNAN'!AI119,'NORMALISASI USIA BANGUNAN'!AI229)</f>
        <v>0.30285343213868993</v>
      </c>
      <c r="O5" s="3">
        <f>GEOMEAN('NORMALISASI USIA BANGUNAN'!AJ9,'NORMALISASI USIA BANGUNAN'!AJ119,'NORMALISASI USIA BANGUNAN'!AJ229)</f>
        <v>0.12565790685485898</v>
      </c>
      <c r="P5" s="3">
        <f>GEOMEAN('NORMALISASI USIA BANGUNAN'!AK9,'NORMALISASI USIA BANGUNAN'!AK119,'NORMALISASI USIA BANGUNAN'!AK229)</f>
        <v>0.55032120814910446</v>
      </c>
    </row>
    <row r="6" spans="1:16" x14ac:dyDescent="0.5">
      <c r="A6" s="2" t="s">
        <v>8</v>
      </c>
      <c r="B6" s="3">
        <f>1/F2</f>
        <v>0.21839511618407473</v>
      </c>
      <c r="C6" s="3">
        <f>1/F3</f>
        <v>0.39685026299204984</v>
      </c>
      <c r="D6" s="3">
        <f>1/F4</f>
        <v>0.13068948964367758</v>
      </c>
      <c r="E6" s="3">
        <f>1/F5</f>
        <v>0.5</v>
      </c>
      <c r="F6" s="3">
        <v>1</v>
      </c>
      <c r="G6" s="3">
        <f>GEOMEAN('NORMALISASI USIA BANGUNAN'!AB10,'NORMALISASI USIA BANGUNAN'!AB120,'NORMALISASI USIA BANGUNAN'!AB230)</f>
        <v>1.8171205928321397</v>
      </c>
      <c r="H6" s="3">
        <f>GEOMEAN('NORMALISASI USIA BANGUNAN'!AC10,'NORMALISASI USIA BANGUNAN'!AC120,'NORMALISASI USIA BANGUNAN'!AC230)</f>
        <v>0.32182979486854324</v>
      </c>
      <c r="I6" s="3">
        <f>GEOMEAN('NORMALISASI USIA BANGUNAN'!AD10,'NORMALISASI USIA BANGUNAN'!AD120,'NORMALISASI USIA BANGUNAN'!AD230)</f>
        <v>0.43679023236814946</v>
      </c>
      <c r="J6" s="3">
        <f>GEOMEAN('NORMALISASI USIA BANGUNAN'!AE10,'NORMALISASI USIA BANGUNAN'!AE120,'NORMALISASI USIA BANGUNAN'!AE230)</f>
        <v>0.43679023236814946</v>
      </c>
      <c r="K6" s="3">
        <f>GEOMEAN('NORMALISASI USIA BANGUNAN'!AF10,'NORMALISASI USIA BANGUNAN'!AF120,'NORMALISASI USIA BANGUNAN'!AF230)</f>
        <v>0.23207944168063896</v>
      </c>
      <c r="L6" s="3">
        <f>GEOMEAN('NORMALISASI USIA BANGUNAN'!AG10,'NORMALISASI USIA BANGUNAN'!AG120,'NORMALISASI USIA BANGUNAN'!AG230)</f>
        <v>0.38157141418444396</v>
      </c>
      <c r="M6" s="3">
        <f>GEOMEAN('NORMALISASI USIA BANGUNAN'!AH10,'NORMALISASI USIA BANGUNAN'!AH120,'NORMALISASI USIA BANGUNAN'!AH230)</f>
        <v>0.34668063717531733</v>
      </c>
      <c r="N6" s="3">
        <f>GEOMEAN('NORMALISASI USIA BANGUNAN'!AI10,'NORMALISASI USIA BANGUNAN'!AI120,'NORMALISASI USIA BANGUNAN'!AI230)</f>
        <v>0.25131581370971795</v>
      </c>
      <c r="O6" s="3">
        <f>GEOMEAN('NORMALISASI USIA BANGUNAN'!AJ11,'NORMALISASI USIA BANGUNAN'!AJ120,'NORMALISASI USIA BANGUNAN'!AJ230)</f>
        <v>0.12018746419228403</v>
      </c>
      <c r="P6" s="3">
        <f>GEOMEAN('NORMALISASI USIA BANGUNAN'!AK10,'NORMALISASI USIA BANGUNAN'!AK120,'NORMALISASI USIA BANGUNAN'!AK230)</f>
        <v>0.28114422176724974</v>
      </c>
    </row>
    <row r="7" spans="1:16" x14ac:dyDescent="0.5">
      <c r="A7" s="2" t="s">
        <v>9</v>
      </c>
      <c r="B7" s="3">
        <f>1/G2</f>
        <v>0.21839511618407473</v>
      </c>
      <c r="C7" s="3">
        <f>1/G3</f>
        <v>0.27516060407455223</v>
      </c>
      <c r="D7" s="3">
        <f>1/G4</f>
        <v>0.1709975946676697</v>
      </c>
      <c r="E7" s="3">
        <f>1/G5</f>
        <v>0.34668063717531739</v>
      </c>
      <c r="F7" s="3">
        <f>1/G6</f>
        <v>0.55032120814910446</v>
      </c>
      <c r="G7" s="3">
        <v>1</v>
      </c>
      <c r="H7" s="3">
        <f>GEOMEAN('NORMALISASI USIA BANGUNAN'!AC11,'NORMALISASI USIA BANGUNAN'!AC121,'NORMALISASI USIA BANGUNAN'!AC231)</f>
        <v>0.2554364774645177</v>
      </c>
      <c r="I7" s="3">
        <f>GEOMEAN('NORMALISASI USIA BANGUNAN'!AD11,'NORMALISASI USIA BANGUNAN'!AD121,'NORMALISASI USIA BANGUNAN'!AD231)</f>
        <v>0.38157141418444396</v>
      </c>
      <c r="J7" s="3">
        <f>GEOMEAN('NORMALISASI USIA BANGUNAN'!AE11,'NORMALISASI USIA BANGUNAN'!AE121,'NORMALISASI USIA BANGUNAN'!AE231)</f>
        <v>0.43679023236814946</v>
      </c>
      <c r="K7" s="3">
        <f>GEOMEAN('NORMALISASI USIA BANGUNAN'!AF11,'NORMALISASI USIA BANGUNAN'!AF121,'NORMALISASI USIA BANGUNAN'!AF231)</f>
        <v>0.14559674412271648</v>
      </c>
      <c r="L7" s="3">
        <f>GEOMEAN('NORMALISASI USIA BANGUNAN'!AG11,'NORMALISASI USIA BANGUNAN'!AG121,'NORMALISASI USIA BANGUNAN'!AG231)</f>
        <v>0.43679023236814946</v>
      </c>
      <c r="M7" s="3">
        <f>GEOMEAN('NORMALISASI USIA BANGUNAN'!AH11,'NORMALISASI USIA BANGUNAN'!AH121,'NORMALISASI USIA BANGUNAN'!AH231)</f>
        <v>0.30285343213868993</v>
      </c>
      <c r="N7" s="3">
        <f>GEOMEAN('NORMALISASI USIA BANGUNAN'!AI11,'NORMALISASI USIA BANGUNAN'!AI121,'NORMALISASI USIA BANGUNAN'!AI231)</f>
        <v>0.25131581370971795</v>
      </c>
      <c r="O7" s="3">
        <f>GEOMEAN('NORMALISASI USIA BANGUNAN'!AJ12,'NORMALISASI USIA BANGUNAN'!AJ121,'NORMALISASI USIA BANGUNAN'!AJ231)</f>
        <v>0.12018746419228403</v>
      </c>
      <c r="P7" s="3">
        <f>GEOMEAN('NORMALISASI USIA BANGUNAN'!AK11,'NORMALISASI USIA BANGUNAN'!AK121,'NORMALISASI USIA BANGUNAN'!AK231)</f>
        <v>0.27516060407455223</v>
      </c>
    </row>
    <row r="8" spans="1:16" x14ac:dyDescent="0.5">
      <c r="A8" s="2" t="s">
        <v>10</v>
      </c>
      <c r="B8" s="3">
        <f>1/H2</f>
        <v>0.8220706914434901</v>
      </c>
      <c r="C8" s="3">
        <f>1/H3</f>
        <v>2.5198420997897459</v>
      </c>
      <c r="D8" s="3">
        <f>1/H4</f>
        <v>2.7144176165949068</v>
      </c>
      <c r="E8" s="3">
        <f>1/H5</f>
        <v>1.7099759466766968</v>
      </c>
      <c r="F8" s="3">
        <f>1/H6</f>
        <v>3.107232505953859</v>
      </c>
      <c r="G8" s="3">
        <f>1/H7</f>
        <v>3.9148676411688639</v>
      </c>
      <c r="H8" s="3">
        <v>1</v>
      </c>
      <c r="I8" s="3">
        <f>GEOMEAN('NORMALISASI USIA BANGUNAN'!AD12,'NORMALISASI USIA BANGUNAN'!AD122,'NORMALISASI USIA BANGUNAN'!AD232)</f>
        <v>2.6207413942088964</v>
      </c>
      <c r="J8" s="3">
        <f>GEOMEAN('NORMALISASI USIA BANGUNAN'!AE12,'NORMALISASI USIA BANGUNAN'!AE122,'NORMALISASI USIA BANGUNAN'!AE232)</f>
        <v>2.2894284851066637</v>
      </c>
      <c r="K8" s="3">
        <f>GEOMEAN('NORMALISASI USIA BANGUNAN'!AF12,'NORMALISASI USIA BANGUNAN'!AF122,'NORMALISASI USIA BANGUNAN'!AF232)</f>
        <v>0.3149802624737183</v>
      </c>
      <c r="L8" s="3">
        <f>GEOMEAN('NORMALISASI USIA BANGUNAN'!AG12,'NORMALISASI USIA BANGUNAN'!AG122,'NORMALISASI USIA BANGUNAN'!AG232)</f>
        <v>2.2894284851066637</v>
      </c>
      <c r="M8" s="3">
        <f>GEOMEAN('NORMALISASI USIA BANGUNAN'!AH12,'NORMALISASI USIA BANGUNAN'!AH122,'NORMALISASI USIA BANGUNAN'!AH232)</f>
        <v>1.1447142425533319</v>
      </c>
      <c r="N8" s="3">
        <f>GEOMEAN('NORMALISASI USIA BANGUNAN'!AI12,'NORMALISASI USIA BANGUNAN'!AI122,'NORMALISASI USIA BANGUNAN'!AI232)</f>
        <v>0.287684791332394</v>
      </c>
      <c r="O8" s="3">
        <f>GEOMEAN('NORMALISASI USIA BANGUNAN'!AJ13,'NORMALISASI USIA BANGUNAN'!AJ122,'NORMALISASI USIA BANGUNAN'!AJ232)</f>
        <v>0.125</v>
      </c>
      <c r="P8" s="3">
        <f>GEOMEAN('NORMALISASI % KERUSAKAN GEDUNG'!AK12,'NORMALISASI % KERUSAKAN GEDUNG'!AK122,'NORMALISASI % KERUSAKAN GEDUNG'!AK232)</f>
        <v>4.1601676461038082</v>
      </c>
    </row>
    <row r="9" spans="1:16" x14ac:dyDescent="0.5">
      <c r="A9" s="2" t="s">
        <v>11</v>
      </c>
      <c r="B9" s="3">
        <f>1/I2</f>
        <v>0.3149802624737183</v>
      </c>
      <c r="C9" s="3">
        <f>1/I3</f>
        <v>1.259921049894873</v>
      </c>
      <c r="D9" s="3">
        <f>1/I4</f>
        <v>0.38157141418444401</v>
      </c>
      <c r="E9" s="3">
        <f>1/I5</f>
        <v>0.79370052598409968</v>
      </c>
      <c r="F9" s="3">
        <f>1/I6</f>
        <v>2.2894284851066637</v>
      </c>
      <c r="G9" s="3">
        <f>1/I7</f>
        <v>2.6207413942088964</v>
      </c>
      <c r="H9" s="3">
        <f>1/I8</f>
        <v>0.38157141418444401</v>
      </c>
      <c r="I9" s="3">
        <v>1</v>
      </c>
      <c r="J9" s="3">
        <f>GEOMEAN('NORMALISASI USIA BANGUNAN'!AE13,'NORMALISASI USIA BANGUNAN'!AE123,'NORMALISASI USIA BANGUNAN'!AE233)</f>
        <v>1.8171205928321397</v>
      </c>
      <c r="K9" s="3">
        <f>GEOMEAN('NORMALISASI USIA BANGUNAN'!AF13,'NORMALISASI USIA BANGUNAN'!AF123,'NORMALISASI USIA BANGUNAN'!AF233)</f>
        <v>0.32182979486854324</v>
      </c>
      <c r="L9" s="3">
        <f>GEOMEAN('NORMALISASI USIA BANGUNAN'!AG13,'NORMALISASI USIA BANGUNAN'!AG123,'NORMALISASI USIA BANGUNAN'!AG233)</f>
        <v>1.2599210498948732</v>
      </c>
      <c r="M9" s="3">
        <f>GEOMEAN('NORMALISASI USIA BANGUNAN'!AH13,'NORMALISASI USIA BANGUNAN'!AH123,'NORMALISASI USIA BANGUNAN'!AH233)</f>
        <v>0.55032120814910446</v>
      </c>
      <c r="N9" s="3">
        <f>GEOMEAN('NORMALISASI USIA BANGUNAN'!AI13,'NORMALISASI USIA BANGUNAN'!AI123,'NORMALISASI USIA BANGUNAN'!AI233)</f>
        <v>0.55032120814910446</v>
      </c>
      <c r="O9" s="3">
        <f>GEOMEAN('NORMALISASI USIA BANGUNAN'!AJ14,'NORMALISASI USIA BANGUNAN'!AJ123,'NORMALISASI USIA BANGUNAN'!AJ233)</f>
        <v>0.143842395666197</v>
      </c>
      <c r="P9" s="3">
        <f>GEOMEAN('NORMALISASI USIA BANGUNAN'!AK13,'NORMALISASI USIA BANGUNAN'!AK123,'NORMALISASI USIA BANGUNAN'!AK233)</f>
        <v>0.25131581370971795</v>
      </c>
    </row>
    <row r="10" spans="1:16" x14ac:dyDescent="0.5">
      <c r="A10" s="2" t="s">
        <v>12</v>
      </c>
      <c r="B10" s="3">
        <f>1/J2</f>
        <v>1.5874010519681994</v>
      </c>
      <c r="C10" s="3">
        <f>1/J3</f>
        <v>1.4422495703074085</v>
      </c>
      <c r="D10" s="3">
        <f>1/J4</f>
        <v>0.30285343213868993</v>
      </c>
      <c r="E10" s="3">
        <f>1/J5</f>
        <v>0.79370052598409968</v>
      </c>
      <c r="F10" s="3">
        <f>1/J6</f>
        <v>2.2894284851066637</v>
      </c>
      <c r="G10" s="3">
        <f>1/J7</f>
        <v>2.2894284851066637</v>
      </c>
      <c r="H10" s="3">
        <f>1/J8</f>
        <v>0.43679023236814946</v>
      </c>
      <c r="I10" s="3">
        <f>1/J9</f>
        <v>0.55032120814910446</v>
      </c>
      <c r="J10" s="3">
        <v>1</v>
      </c>
      <c r="K10" s="3">
        <f>GEOMEAN('NORMALISASI USIA BANGUNAN'!AF14,'NORMALISASI USIA BANGUNAN'!AF124,'NORMALISASI USIA BANGUNAN'!AF234)</f>
        <v>0.2613789792873551</v>
      </c>
      <c r="L10" s="3">
        <f>GEOMEAN('NORMALISASI USIA BANGUNAN'!AG14,'NORMALISASI USIA BANGUNAN'!AG124,'NORMALISASI USIA BANGUNAN'!AG234)</f>
        <v>1</v>
      </c>
      <c r="M10" s="3">
        <f>GEOMEAN('NORMALISASI USIA BANGUNAN'!AH14,'NORMALISASI USIA BANGUNAN'!AH124,'NORMALISASI USIA BANGUNAN'!AH234)</f>
        <v>0.6299605249474366</v>
      </c>
      <c r="N10" s="3">
        <f>GEOMEAN('NORMALISASI USIA BANGUNAN'!AI14,'NORMALISASI USIA BANGUNAN'!AI124,'NORMALISASI USIA BANGUNAN'!AI234)</f>
        <v>0.55032120814910446</v>
      </c>
      <c r="O10" s="3">
        <f>GEOMEAN('NORMALISASI USIA BANGUNAN'!AJ15,'NORMALISASI USIA BANGUNAN'!AJ124,'NORMALISASI USIA BANGUNAN'!AJ234)</f>
        <v>0.34668063717531733</v>
      </c>
      <c r="P10" s="3">
        <f>GEOMEAN('NORMALISASI USIA BANGUNAN'!AK14,'NORMALISASI USIA BANGUNAN'!AK124,'NORMALISASI USIA BANGUNAN'!AK234)</f>
        <v>0.25131581370971795</v>
      </c>
    </row>
    <row r="11" spans="1:16" x14ac:dyDescent="0.5">
      <c r="A11" s="2" t="s">
        <v>13</v>
      </c>
      <c r="B11" s="3">
        <f>1/K2</f>
        <v>6.0731779437513254</v>
      </c>
      <c r="C11" s="3">
        <f>1/K3</f>
        <v>5.2414827884177928</v>
      </c>
      <c r="D11" s="3">
        <f>1/K4</f>
        <v>3.3019272488946267</v>
      </c>
      <c r="E11" s="3">
        <f>1/K5</f>
        <v>1.5874010519681994</v>
      </c>
      <c r="F11" s="3">
        <f>1/K6</f>
        <v>4.3088693800637667</v>
      </c>
      <c r="G11" s="3">
        <f>1/K7</f>
        <v>6.8682854553199917</v>
      </c>
      <c r="H11" s="3">
        <f>1/K8</f>
        <v>3.1748021039363987</v>
      </c>
      <c r="I11" s="3">
        <f>1/K9</f>
        <v>3.107232505953859</v>
      </c>
      <c r="J11" s="3">
        <f>1/K10</f>
        <v>3.8258623655447783</v>
      </c>
      <c r="K11" s="3">
        <v>1</v>
      </c>
      <c r="L11" s="3">
        <f>GEOMEAN('NORMALISASI USIA BANGUNAN'!AG15,'NORMALISASI USIA BANGUNAN'!AG125,'NORMALISASI USIA BANGUNAN'!AG235)</f>
        <v>6.0731779437513254</v>
      </c>
      <c r="M11" s="3">
        <f>GEOMEAN('NORMALISASI USIA BANGUNAN'!AH15,'NORMALISASI USIA BANGUNAN'!AH125,'NORMALISASI USIA BANGUNAN'!AH235)</f>
        <v>6.8399037867067873</v>
      </c>
      <c r="N11" s="3">
        <f>GEOMEAN('NORMALISASI USIA BANGUNAN'!AI15,'NORMALISASI USIA BANGUNAN'!AI125,'NORMALISASI USIA BANGUNAN'!AI235)</f>
        <v>2.0274006651911334</v>
      </c>
      <c r="O11" s="3">
        <f>GEOMEAN('NORMALISASI USIA BANGUNAN'!AJ16,'NORMALISASI USIA BANGUNAN'!AJ125,'NORMALISASI USIA BANGUNAN'!AJ235)</f>
        <v>0.69336127435063466</v>
      </c>
      <c r="P11" s="3">
        <f>GEOMEAN('NORMALISASI USIA BANGUNAN'!AK15,'NORMALISASI USIA BANGUNAN'!AK125,'NORMALISASI USIA BANGUNAN'!AK235)</f>
        <v>6.2573247456759731</v>
      </c>
    </row>
    <row r="12" spans="1:16" x14ac:dyDescent="0.5">
      <c r="A12" s="2" t="s">
        <v>14</v>
      </c>
      <c r="B12" s="3">
        <f>1/L2</f>
        <v>0.5</v>
      </c>
      <c r="C12" s="3">
        <f>1/L3</f>
        <v>1.259921049894873</v>
      </c>
      <c r="D12" s="3">
        <f>1/L4</f>
        <v>1</v>
      </c>
      <c r="E12" s="3">
        <f>1/L5</f>
        <v>0.79370052598409968</v>
      </c>
      <c r="F12" s="3">
        <f>1/L6</f>
        <v>2.6207413942088964</v>
      </c>
      <c r="G12" s="3">
        <f>1/L7</f>
        <v>2.2894284851066637</v>
      </c>
      <c r="H12" s="3">
        <f>1/L8</f>
        <v>0.43679023236814946</v>
      </c>
      <c r="I12" s="3">
        <f>1/L9</f>
        <v>0.79370052598409968</v>
      </c>
      <c r="J12" s="3">
        <f>1/L10</f>
        <v>1</v>
      </c>
      <c r="K12" s="3">
        <f>1/L11</f>
        <v>0.16465843900208738</v>
      </c>
      <c r="L12" s="3">
        <v>1</v>
      </c>
      <c r="M12" s="3">
        <f>GEOMEAN('NORMALISASI USIA BANGUNAN'!AH16,'NORMALISASI USIA BANGUNAN'!AH126,'NORMALISASI USIA BANGUNAN'!AH236)</f>
        <v>0.79370052598409979</v>
      </c>
      <c r="N12" s="3">
        <f>GEOMEAN('NORMALISASI USIA BANGUNAN'!AI16,'NORMALISASI USIA BANGUNAN'!AI126,'NORMALISASI USIA BANGUNAN'!AI236)</f>
        <v>0.2554364774645177</v>
      </c>
      <c r="O12" s="3">
        <f>GEOMEAN('NORMALISASI USIA BANGUNAN'!AJ17,'NORMALISASI USIA BANGUNAN'!AJ126,'NORMALISASI USIA BANGUNAN'!AJ236)</f>
        <v>0.22314431669405652</v>
      </c>
      <c r="P12" s="3">
        <f>GEOMEAN('NORMALISASI USIA BANGUNAN'!AK16,'NORMALISASI USIA BANGUNAN'!AK126,'NORMALISASI USIA BANGUNAN'!AK236)</f>
        <v>0.5</v>
      </c>
    </row>
    <row r="13" spans="1:16" x14ac:dyDescent="0.5">
      <c r="A13" s="2" t="s">
        <v>15</v>
      </c>
      <c r="B13" s="3">
        <f>1/M2</f>
        <v>0.33333333333333331</v>
      </c>
      <c r="C13" s="3">
        <f>1/M3</f>
        <v>1.0626585691826111</v>
      </c>
      <c r="D13" s="3">
        <f>1/M4</f>
        <v>0.34668063717531739</v>
      </c>
      <c r="E13" s="3">
        <f>1/M5</f>
        <v>1.259921049894873</v>
      </c>
      <c r="F13" s="3">
        <f>1/M6</f>
        <v>2.884499140614817</v>
      </c>
      <c r="G13" s="3">
        <f>1/M7</f>
        <v>3.3019272488946267</v>
      </c>
      <c r="H13" s="3">
        <f>1/M8</f>
        <v>0.87358046473629891</v>
      </c>
      <c r="I13" s="3">
        <f>1/M9</f>
        <v>1.8171205928321397</v>
      </c>
      <c r="J13" s="3">
        <f>1/M10</f>
        <v>1.5874010519681994</v>
      </c>
      <c r="K13" s="3">
        <f>1/M11</f>
        <v>0.14620088691064331</v>
      </c>
      <c r="L13" s="3">
        <f>1/M12</f>
        <v>1.259921049894873</v>
      </c>
      <c r="M13" s="3">
        <v>1</v>
      </c>
      <c r="N13" s="3">
        <f>GEOMEAN('NORMALISASI USIA BANGUNAN'!AI17,'NORMALISASI USIA BANGUNAN'!AI127,'NORMALISASI USIA BANGUNAN'!AI237)</f>
        <v>0.27516060407455223</v>
      </c>
      <c r="O13" s="3">
        <f>GEOMEAN('NORMALISASI USIA BANGUNAN'!AJ17,'NORMALISASI USIA BANGUNAN'!AJ127,'NORMALISASI USIA BANGUNAN'!AJ237)</f>
        <v>0.23712622029933753</v>
      </c>
      <c r="P13" s="3">
        <f>GEOMEAN('NORMALISASI USIA BANGUNAN'!AK17,'NORMALISASI USIA BANGUNAN'!AK127,'NORMALISASI USIA BANGUNAN'!AK237)</f>
        <v>0.43679023236814946</v>
      </c>
    </row>
    <row r="14" spans="1:16" x14ac:dyDescent="0.5">
      <c r="A14" s="2" t="s">
        <v>16</v>
      </c>
      <c r="B14" s="3">
        <f>1/N2</f>
        <v>0.8220706914434901</v>
      </c>
      <c r="C14" s="3">
        <f>1/N3</f>
        <v>3.3019272488946267</v>
      </c>
      <c r="D14" s="3">
        <f>1/N4</f>
        <v>1</v>
      </c>
      <c r="E14" s="3">
        <f>1/N5</f>
        <v>3.3019272488946267</v>
      </c>
      <c r="F14" s="3">
        <f>1/N6</f>
        <v>3.9790572078963917</v>
      </c>
      <c r="G14" s="3">
        <f>1/N7</f>
        <v>3.9790572078963917</v>
      </c>
      <c r="H14" s="3">
        <f>1/N8</f>
        <v>3.4760266448864501</v>
      </c>
      <c r="I14" s="3">
        <f>1/N9</f>
        <v>1.8171205928321397</v>
      </c>
      <c r="J14" s="3">
        <f>1/N10</f>
        <v>1.8171205928321397</v>
      </c>
      <c r="K14" s="3">
        <f>1/N11</f>
        <v>0.49324241486609405</v>
      </c>
      <c r="L14" s="3">
        <f>1/N12</f>
        <v>3.9148676411688639</v>
      </c>
      <c r="M14" s="3">
        <f>1/N13</f>
        <v>3.6342411856642793</v>
      </c>
      <c r="N14" s="3">
        <v>1</v>
      </c>
      <c r="O14" s="3">
        <f>GEOMEAN('NORMALISASI USIA BANGUNAN'!AJ18,'NORMALISASI USIA BANGUNAN'!AJ128,'NORMALISASI USIA BANGUNAN'!AJ238)</f>
        <v>0.3149802624737183</v>
      </c>
      <c r="P14" s="3">
        <f>GEOMEAN('NORMALISASI USIA BANGUNAN'!AK18,'NORMALISASI USIA BANGUNAN'!AK128,'NORMALISASI USIA BANGUNAN'!AK238)</f>
        <v>0.69336127435063466</v>
      </c>
    </row>
    <row r="15" spans="1:16" x14ac:dyDescent="0.5">
      <c r="A15" s="2" t="s">
        <v>17</v>
      </c>
      <c r="B15" s="3">
        <f>1/O2</f>
        <v>6.9520532897729002</v>
      </c>
      <c r="C15" s="3">
        <f>1/O3</f>
        <v>5.7689982812296341</v>
      </c>
      <c r="D15" s="3">
        <f>1/O4</f>
        <v>3.556893304490063</v>
      </c>
      <c r="E15" s="3">
        <f>1/O5</f>
        <v>7.9581144157927834</v>
      </c>
      <c r="F15" s="3">
        <f>1/O6</f>
        <v>8.3203352922076164</v>
      </c>
      <c r="G15" s="3">
        <f>1/O7</f>
        <v>8.3203352922076164</v>
      </c>
      <c r="H15" s="3">
        <f>1/O8</f>
        <v>8</v>
      </c>
      <c r="I15" s="3">
        <f>1/O9</f>
        <v>6.9520532897729002</v>
      </c>
      <c r="J15" s="3">
        <f>1/O10</f>
        <v>2.884499140614817</v>
      </c>
      <c r="K15" s="3">
        <f>1/O11</f>
        <v>1.4422495703074085</v>
      </c>
      <c r="L15" s="3">
        <f>1/O12</f>
        <v>4.4814047465571649</v>
      </c>
      <c r="M15" s="3">
        <f>1/O13</f>
        <v>4.2171633265087465</v>
      </c>
      <c r="N15" s="3">
        <f>1/O14</f>
        <v>3.1748021039363987</v>
      </c>
      <c r="O15" s="3">
        <v>1</v>
      </c>
      <c r="P15" s="3">
        <f>GEOMEAN('NORMALISASI USIA BANGUNAN'!AK19,'NORMALISASI USIA BANGUNAN'!AK129,'NORMALISASI USIA BANGUNAN'!AK239)</f>
        <v>1.0626585691826111</v>
      </c>
    </row>
    <row r="16" spans="1:16" x14ac:dyDescent="0.5">
      <c r="A16" s="2" t="s">
        <v>18</v>
      </c>
      <c r="B16" s="3">
        <f>1/P2</f>
        <v>0.5</v>
      </c>
      <c r="C16" s="3">
        <f>1/P3</f>
        <v>1.338865900164339</v>
      </c>
      <c r="D16" s="3">
        <f>1/P4</f>
        <v>0.30285343213868993</v>
      </c>
      <c r="E16" s="3">
        <f>1/P5</f>
        <v>1.8171205928321397</v>
      </c>
      <c r="F16" s="3">
        <f>1/P6</f>
        <v>3.556893304490063</v>
      </c>
      <c r="G16" s="3">
        <f>1/P7</f>
        <v>3.6342411856642793</v>
      </c>
      <c r="H16" s="3">
        <f>1/P8</f>
        <v>0.24037492838456806</v>
      </c>
      <c r="I16" s="3">
        <f>1/P9</f>
        <v>3.9790572078963917</v>
      </c>
      <c r="J16" s="3">
        <f>1/P10</f>
        <v>3.9790572078963917</v>
      </c>
      <c r="K16" s="3">
        <f>1/P11</f>
        <v>0.15981270601162811</v>
      </c>
      <c r="L16" s="3">
        <f>1/P12</f>
        <v>2</v>
      </c>
      <c r="M16" s="3">
        <f>1/P13</f>
        <v>2.2894284851066637</v>
      </c>
      <c r="N16" s="3">
        <f>1/P14</f>
        <v>1.4422495703074085</v>
      </c>
      <c r="O16" s="3">
        <f>1/P15</f>
        <v>0.94103602888102844</v>
      </c>
      <c r="P16" s="3">
        <v>1</v>
      </c>
    </row>
    <row r="17" spans="1:17" x14ac:dyDescent="0.5">
      <c r="A17" s="75" t="s">
        <v>67</v>
      </c>
      <c r="B17">
        <f>SUM(B2:B16)</f>
        <v>23.09469363670425</v>
      </c>
      <c r="C17">
        <f t="shared" ref="C17:P17" si="0">SUM(C2:C16)</f>
        <v>30.430436377229345</v>
      </c>
      <c r="D17">
        <f t="shared" si="0"/>
        <v>15.799025036476358</v>
      </c>
      <c r="E17">
        <f t="shared" si="0"/>
        <v>29.87562830076179</v>
      </c>
      <c r="F17">
        <f t="shared" si="0"/>
        <v>51.657230204890467</v>
      </c>
      <c r="G17">
        <f t="shared" si="0"/>
        <v>56.981065761324288</v>
      </c>
      <c r="H17">
        <f t="shared" si="0"/>
        <v>21.163699652810863</v>
      </c>
      <c r="I17">
        <f t="shared" si="0"/>
        <v>31.304874038206396</v>
      </c>
      <c r="J17">
        <f t="shared" si="0"/>
        <v>26.959239999619005</v>
      </c>
      <c r="K17">
        <f t="shared" si="0"/>
        <v>5.9702873427112699</v>
      </c>
      <c r="L17">
        <f t="shared" si="0"/>
        <v>29.150704138805331</v>
      </c>
      <c r="M17">
        <f t="shared" si="0"/>
        <v>29.368203050414404</v>
      </c>
      <c r="N17">
        <f t="shared" si="0"/>
        <v>12.888155519416108</v>
      </c>
      <c r="O17">
        <f t="shared" si="0"/>
        <v>4.9895309068008222</v>
      </c>
      <c r="P17">
        <f t="shared" si="0"/>
        <v>21.76838816907901</v>
      </c>
    </row>
    <row r="20" spans="1:17" x14ac:dyDescent="0.5">
      <c r="A20" s="63" t="s">
        <v>20</v>
      </c>
      <c r="B20" s="2" t="s">
        <v>4</v>
      </c>
      <c r="C20" s="2" t="s">
        <v>5</v>
      </c>
      <c r="D20" s="2" t="s">
        <v>6</v>
      </c>
      <c r="E20" s="2" t="s">
        <v>7</v>
      </c>
      <c r="F20" s="2" t="s">
        <v>8</v>
      </c>
      <c r="G20" s="2" t="s">
        <v>9</v>
      </c>
      <c r="H20" s="2" t="s">
        <v>10</v>
      </c>
      <c r="I20" s="2" t="s">
        <v>11</v>
      </c>
      <c r="J20" s="2" t="s">
        <v>12</v>
      </c>
      <c r="K20" s="2" t="s">
        <v>13</v>
      </c>
      <c r="L20" s="2" t="s">
        <v>14</v>
      </c>
      <c r="M20" s="2" t="s">
        <v>15</v>
      </c>
      <c r="N20" s="2" t="s">
        <v>16</v>
      </c>
      <c r="O20" s="2" t="s">
        <v>17</v>
      </c>
      <c r="P20" s="2" t="s">
        <v>18</v>
      </c>
      <c r="Q20" s="75" t="s">
        <v>68</v>
      </c>
    </row>
    <row r="21" spans="1:17" x14ac:dyDescent="0.5">
      <c r="A21" s="2" t="s">
        <v>4</v>
      </c>
      <c r="B21" s="3">
        <f t="shared" ref="B21:B35" si="1">B2/$B$17</f>
        <v>4.329998984748195E-2</v>
      </c>
      <c r="C21" s="3">
        <f t="shared" ref="C21:C35" si="2">C2/$C$17</f>
        <v>0.11942783667682562</v>
      </c>
      <c r="D21" s="3">
        <f t="shared" ref="D21:D35" si="3">D2/$D$17</f>
        <v>1.9936689874628367E-2</v>
      </c>
      <c r="E21" s="3">
        <f t="shared" ref="E21:E35" si="4">E2/$E$17</f>
        <v>0.11052243707324581</v>
      </c>
      <c r="F21" s="3">
        <f t="shared" ref="F21:F35" si="5">F2/$F$17</f>
        <v>8.8639227307619764E-2</v>
      </c>
      <c r="G21" s="3">
        <f t="shared" ref="G21:G35" si="6">G2/$G$17</f>
        <v>8.0357517168820863E-2</v>
      </c>
      <c r="H21" s="3">
        <f t="shared" ref="H21:H35" si="7">H2/$H$17</f>
        <v>5.7477682024896726E-2</v>
      </c>
      <c r="I21" s="3">
        <f t="shared" ref="I21:I35" si="8">I2/$I$17</f>
        <v>0.10141558468057321</v>
      </c>
      <c r="J21" s="3">
        <f t="shared" ref="J21:J35" si="9">J2/$J$17</f>
        <v>2.3367147032198957E-2</v>
      </c>
      <c r="K21" s="3">
        <f t="shared" ref="K21:K35" si="10">K2/$K$17</f>
        <v>2.7579650618174686E-2</v>
      </c>
      <c r="L21" s="3">
        <f t="shared" ref="L21:L35" si="11">L2/$L$17</f>
        <v>6.86089773501425E-2</v>
      </c>
      <c r="M21" s="3">
        <f t="shared" ref="M21:M35" si="12">M2/$M$17</f>
        <v>0.10215129590496576</v>
      </c>
      <c r="N21" s="3">
        <f t="shared" ref="N21:N35" si="13">N2/$N$17</f>
        <v>9.4384366892694846E-2</v>
      </c>
      <c r="O21" s="3">
        <f t="shared" ref="O21:O35" si="14">O2/$O$17</f>
        <v>2.8828841498934735E-2</v>
      </c>
      <c r="P21" s="3">
        <f t="shared" ref="P21:P35" si="15">P2/$P$17</f>
        <v>9.187634768663798E-2</v>
      </c>
      <c r="Q21">
        <f>AVERAGE(B21:P21)</f>
        <v>7.0524906109189447E-2</v>
      </c>
    </row>
    <row r="22" spans="1:17" x14ac:dyDescent="0.5">
      <c r="A22" s="2" t="s">
        <v>5</v>
      </c>
      <c r="B22" s="3">
        <f t="shared" si="1"/>
        <v>1.1914451362855112E-2</v>
      </c>
      <c r="C22" s="3">
        <f t="shared" si="2"/>
        <v>3.2861835683312302E-2</v>
      </c>
      <c r="D22" s="3">
        <f t="shared" si="3"/>
        <v>6.3295044959497643E-2</v>
      </c>
      <c r="E22" s="3">
        <f t="shared" si="4"/>
        <v>3.6056726043430999E-2</v>
      </c>
      <c r="F22" s="3">
        <f t="shared" si="5"/>
        <v>4.8780046661332399E-2</v>
      </c>
      <c r="G22" s="3">
        <f t="shared" si="6"/>
        <v>6.3779803643669447E-2</v>
      </c>
      <c r="H22" s="3">
        <f t="shared" si="7"/>
        <v>1.8751459787388455E-2</v>
      </c>
      <c r="I22" s="3">
        <f t="shared" si="8"/>
        <v>2.5353896170143306E-2</v>
      </c>
      <c r="J22" s="3">
        <f t="shared" si="9"/>
        <v>2.5718873171514976E-2</v>
      </c>
      <c r="K22" s="3">
        <f t="shared" si="10"/>
        <v>3.1955866801811415E-2</v>
      </c>
      <c r="L22" s="3">
        <f t="shared" si="11"/>
        <v>2.7227490705019643E-2</v>
      </c>
      <c r="M22" s="3">
        <f t="shared" si="12"/>
        <v>3.2042683281153284E-2</v>
      </c>
      <c r="N22" s="3">
        <f t="shared" si="13"/>
        <v>2.3498586099650866E-2</v>
      </c>
      <c r="O22" s="3">
        <f t="shared" si="14"/>
        <v>3.4740804661895698E-2</v>
      </c>
      <c r="P22" s="3">
        <f t="shared" si="15"/>
        <v>3.4311258384936323E-2</v>
      </c>
      <c r="Q22">
        <f t="shared" ref="Q22:Q35" si="16">AVERAGE(B22:P22)</f>
        <v>3.4019255161174128E-2</v>
      </c>
    </row>
    <row r="23" spans="1:17" x14ac:dyDescent="0.5">
      <c r="A23" s="2" t="s">
        <v>6</v>
      </c>
      <c r="B23" s="3">
        <f t="shared" si="1"/>
        <v>0.1374688988682104</v>
      </c>
      <c r="C23" s="3">
        <f t="shared" si="2"/>
        <v>3.2861835683312302E-2</v>
      </c>
      <c r="D23" s="3">
        <f t="shared" si="3"/>
        <v>6.3295044959497643E-2</v>
      </c>
      <c r="E23" s="3">
        <f t="shared" si="4"/>
        <v>0.12164568219546401</v>
      </c>
      <c r="F23" s="3">
        <f t="shared" si="5"/>
        <v>0.14812495173938217</v>
      </c>
      <c r="G23" s="3">
        <f t="shared" si="6"/>
        <v>0.10263120561699053</v>
      </c>
      <c r="H23" s="3">
        <f t="shared" si="7"/>
        <v>1.740731327261626E-2</v>
      </c>
      <c r="I23" s="3">
        <f t="shared" si="8"/>
        <v>8.3716720629841285E-2</v>
      </c>
      <c r="J23" s="3">
        <f t="shared" si="9"/>
        <v>0.12247849898369874</v>
      </c>
      <c r="K23" s="3">
        <f t="shared" si="10"/>
        <v>5.0726776577751105E-2</v>
      </c>
      <c r="L23" s="3">
        <f t="shared" si="11"/>
        <v>3.430448867507125E-2</v>
      </c>
      <c r="M23" s="3">
        <f t="shared" si="12"/>
        <v>9.821844175018786E-2</v>
      </c>
      <c r="N23" s="3">
        <f t="shared" si="13"/>
        <v>7.75906217529337E-2</v>
      </c>
      <c r="O23" s="3">
        <f t="shared" si="14"/>
        <v>5.6346824384642051E-2</v>
      </c>
      <c r="P23" s="3">
        <f t="shared" si="15"/>
        <v>0.15168450797771338</v>
      </c>
      <c r="Q23">
        <f t="shared" si="16"/>
        <v>8.6566787537820863E-2</v>
      </c>
    </row>
    <row r="24" spans="1:17" x14ac:dyDescent="0.5">
      <c r="A24" s="2" t="s">
        <v>7</v>
      </c>
      <c r="B24" s="3">
        <f t="shared" si="1"/>
        <v>1.3113550536880337E-2</v>
      </c>
      <c r="C24" s="3">
        <f t="shared" si="2"/>
        <v>3.0506225911936066E-2</v>
      </c>
      <c r="D24" s="3">
        <f t="shared" si="3"/>
        <v>1.7416302805981314E-2</v>
      </c>
      <c r="E24" s="3">
        <f t="shared" si="4"/>
        <v>3.3472099395964884E-2</v>
      </c>
      <c r="F24" s="3">
        <f t="shared" si="5"/>
        <v>3.871674869262845E-2</v>
      </c>
      <c r="G24" s="3">
        <f t="shared" si="6"/>
        <v>5.0622063699143037E-2</v>
      </c>
      <c r="H24" s="3">
        <f t="shared" si="7"/>
        <v>2.7632387400891054E-2</v>
      </c>
      <c r="I24" s="3">
        <f t="shared" si="8"/>
        <v>4.0246801451977988E-2</v>
      </c>
      <c r="J24" s="3">
        <f t="shared" si="9"/>
        <v>4.6734294064397913E-2</v>
      </c>
      <c r="K24" s="3">
        <f t="shared" si="10"/>
        <v>0.10551594735494831</v>
      </c>
      <c r="L24" s="3">
        <f t="shared" si="11"/>
        <v>4.322094738760255E-2</v>
      </c>
      <c r="M24" s="3">
        <f t="shared" si="12"/>
        <v>2.7025845763242917E-2</v>
      </c>
      <c r="N24" s="3">
        <f t="shared" si="13"/>
        <v>2.3498586099650866E-2</v>
      </c>
      <c r="O24" s="3">
        <f t="shared" si="14"/>
        <v>2.5184312754448508E-2</v>
      </c>
      <c r="P24" s="3">
        <f t="shared" si="15"/>
        <v>2.5280751329618899E-2</v>
      </c>
      <c r="Q24">
        <f t="shared" si="16"/>
        <v>3.6545790976620876E-2</v>
      </c>
    </row>
    <row r="25" spans="1:17" x14ac:dyDescent="0.5">
      <c r="A25" s="2" t="s">
        <v>8</v>
      </c>
      <c r="B25" s="3">
        <f t="shared" si="1"/>
        <v>9.4565063135100772E-3</v>
      </c>
      <c r="C25" s="3">
        <f t="shared" si="2"/>
        <v>1.3041228133324015E-2</v>
      </c>
      <c r="D25" s="3">
        <f t="shared" si="3"/>
        <v>8.2719971227303742E-3</v>
      </c>
      <c r="E25" s="3">
        <f t="shared" si="4"/>
        <v>1.6736049697982442E-2</v>
      </c>
      <c r="F25" s="3">
        <f t="shared" si="5"/>
        <v>1.9358374346314225E-2</v>
      </c>
      <c r="G25" s="3">
        <f t="shared" si="6"/>
        <v>3.1889901821834724E-2</v>
      </c>
      <c r="H25" s="3">
        <f t="shared" si="7"/>
        <v>1.5206688818502455E-2</v>
      </c>
      <c r="I25" s="3">
        <f t="shared" si="8"/>
        <v>1.3952786771640217E-2</v>
      </c>
      <c r="J25" s="3">
        <f t="shared" si="9"/>
        <v>1.620187484418412E-2</v>
      </c>
      <c r="K25" s="3">
        <f t="shared" si="10"/>
        <v>3.8872407366451041E-2</v>
      </c>
      <c r="L25" s="3">
        <f t="shared" si="11"/>
        <v>1.3089612256621178E-2</v>
      </c>
      <c r="M25" s="3">
        <f t="shared" si="12"/>
        <v>1.1804625450872639E-2</v>
      </c>
      <c r="N25" s="3">
        <f t="shared" si="13"/>
        <v>1.9499750242081476E-2</v>
      </c>
      <c r="O25" s="3">
        <f t="shared" si="14"/>
        <v>2.4087928592338471E-2</v>
      </c>
      <c r="P25" s="3">
        <f t="shared" si="15"/>
        <v>1.2915252134588545E-2</v>
      </c>
      <c r="Q25">
        <f t="shared" si="16"/>
        <v>1.7625665594198401E-2</v>
      </c>
    </row>
    <row r="26" spans="1:17" x14ac:dyDescent="0.5">
      <c r="A26" s="2" t="s">
        <v>9</v>
      </c>
      <c r="B26" s="3">
        <f t="shared" si="1"/>
        <v>9.4565063135100772E-3</v>
      </c>
      <c r="C26" s="3">
        <f t="shared" si="2"/>
        <v>9.042282557618889E-3</v>
      </c>
      <c r="D26" s="3">
        <f t="shared" si="3"/>
        <v>1.0823300442456107E-2</v>
      </c>
      <c r="E26" s="3">
        <f t="shared" si="4"/>
        <v>1.1604128746188661E-2</v>
      </c>
      <c r="F26" s="3">
        <f t="shared" si="5"/>
        <v>1.0653323958066275E-2</v>
      </c>
      <c r="G26" s="3">
        <f t="shared" si="6"/>
        <v>1.7549689298348412E-2</v>
      </c>
      <c r="H26" s="3">
        <f t="shared" si="7"/>
        <v>1.2069556913721927E-2</v>
      </c>
      <c r="I26" s="3">
        <f t="shared" si="8"/>
        <v>1.2188881952335943E-2</v>
      </c>
      <c r="J26" s="3">
        <f t="shared" si="9"/>
        <v>1.620187484418412E-2</v>
      </c>
      <c r="K26" s="3">
        <f t="shared" si="10"/>
        <v>2.4386890574113813E-2</v>
      </c>
      <c r="L26" s="3">
        <f t="shared" si="11"/>
        <v>1.4983865579654922E-2</v>
      </c>
      <c r="M26" s="3">
        <f t="shared" si="12"/>
        <v>1.0312290187411262E-2</v>
      </c>
      <c r="N26" s="3">
        <f t="shared" si="13"/>
        <v>1.9499750242081476E-2</v>
      </c>
      <c r="O26" s="3">
        <f t="shared" si="14"/>
        <v>2.4087928592338471E-2</v>
      </c>
      <c r="P26" s="3">
        <f t="shared" si="15"/>
        <v>1.2640375664809449E-2</v>
      </c>
      <c r="Q26">
        <f t="shared" si="16"/>
        <v>1.4366709724455985E-2</v>
      </c>
    </row>
    <row r="27" spans="1:17" x14ac:dyDescent="0.5">
      <c r="A27" s="2" t="s">
        <v>10</v>
      </c>
      <c r="B27" s="3">
        <f t="shared" si="1"/>
        <v>3.5595652593415586E-2</v>
      </c>
      <c r="C27" s="3">
        <f t="shared" si="2"/>
        <v>8.2806637031183267E-2</v>
      </c>
      <c r="D27" s="3">
        <f t="shared" si="3"/>
        <v>0.17180918508122706</v>
      </c>
      <c r="E27" s="3">
        <f t="shared" si="4"/>
        <v>5.7236484851871543E-2</v>
      </c>
      <c r="F27" s="3">
        <f t="shared" si="5"/>
        <v>6.015097003129085E-2</v>
      </c>
      <c r="G27" s="3">
        <f t="shared" si="6"/>
        <v>6.8704710746671699E-2</v>
      </c>
      <c r="H27" s="3">
        <f t="shared" si="7"/>
        <v>4.725071780477591E-2</v>
      </c>
      <c r="I27" s="3">
        <f t="shared" si="8"/>
        <v>8.3716720629841285E-2</v>
      </c>
      <c r="J27" s="3">
        <f t="shared" si="9"/>
        <v>8.4921848135890279E-2</v>
      </c>
      <c r="K27" s="3">
        <f t="shared" si="10"/>
        <v>5.2757973677474153E-2</v>
      </c>
      <c r="L27" s="3">
        <f t="shared" si="11"/>
        <v>7.8537673539727071E-2</v>
      </c>
      <c r="M27" s="3">
        <f t="shared" si="12"/>
        <v>3.8978014439231386E-2</v>
      </c>
      <c r="N27" s="3">
        <f t="shared" si="13"/>
        <v>2.2321641828343442E-2</v>
      </c>
      <c r="O27" s="3">
        <f t="shared" si="14"/>
        <v>2.5052455297876339E-2</v>
      </c>
      <c r="P27" s="3">
        <f t="shared" si="15"/>
        <v>0.19111050454406792</v>
      </c>
      <c r="Q27">
        <f t="shared" si="16"/>
        <v>7.3396746015525843E-2</v>
      </c>
    </row>
    <row r="28" spans="1:17" x14ac:dyDescent="0.5">
      <c r="A28" s="2" t="s">
        <v>11</v>
      </c>
      <c r="B28" s="3">
        <f t="shared" si="1"/>
        <v>1.3638642167269201E-2</v>
      </c>
      <c r="C28" s="3">
        <f t="shared" si="2"/>
        <v>4.1403318515591633E-2</v>
      </c>
      <c r="D28" s="3">
        <f t="shared" si="3"/>
        <v>2.415157981606348E-2</v>
      </c>
      <c r="E28" s="3">
        <f t="shared" si="4"/>
        <v>2.6566822896369392E-2</v>
      </c>
      <c r="F28" s="3">
        <f t="shared" si="5"/>
        <v>4.4319613653809882E-2</v>
      </c>
      <c r="G28" s="3">
        <f t="shared" si="6"/>
        <v>4.5993197199686565E-2</v>
      </c>
      <c r="H28" s="3">
        <f t="shared" si="7"/>
        <v>1.8029523213998432E-2</v>
      </c>
      <c r="I28" s="3">
        <f t="shared" si="8"/>
        <v>3.1943907481612556E-2</v>
      </c>
      <c r="J28" s="3">
        <f t="shared" si="9"/>
        <v>6.7402515532997948E-2</v>
      </c>
      <c r="K28" s="3">
        <f t="shared" si="10"/>
        <v>5.3905243817358978E-2</v>
      </c>
      <c r="L28" s="3">
        <f t="shared" si="11"/>
        <v>4.322094738760255E-2</v>
      </c>
      <c r="M28" s="3">
        <f t="shared" si="12"/>
        <v>1.8738674858805808E-2</v>
      </c>
      <c r="N28" s="3">
        <f t="shared" si="13"/>
        <v>4.2699764704114657E-2</v>
      </c>
      <c r="O28" s="3">
        <f t="shared" si="14"/>
        <v>2.8828841498934735E-2</v>
      </c>
      <c r="P28" s="3">
        <f t="shared" si="15"/>
        <v>1.1544989539772194E-2</v>
      </c>
      <c r="Q28">
        <f t="shared" si="16"/>
        <v>3.4159172152265861E-2</v>
      </c>
    </row>
    <row r="29" spans="1:17" x14ac:dyDescent="0.5">
      <c r="A29" s="2" t="s">
        <v>12</v>
      </c>
      <c r="B29" s="3">
        <f t="shared" si="1"/>
        <v>6.8734449434105199E-2</v>
      </c>
      <c r="C29" s="3">
        <f t="shared" si="2"/>
        <v>4.7394968393769832E-2</v>
      </c>
      <c r="D29" s="3">
        <f t="shared" si="3"/>
        <v>1.9169121603356546E-2</v>
      </c>
      <c r="E29" s="3">
        <f t="shared" si="4"/>
        <v>2.6566822896369392E-2</v>
      </c>
      <c r="F29" s="3">
        <f t="shared" si="5"/>
        <v>4.4319613653809882E-2</v>
      </c>
      <c r="G29" s="3">
        <f t="shared" si="6"/>
        <v>4.0178758584410432E-2</v>
      </c>
      <c r="H29" s="3">
        <f t="shared" si="7"/>
        <v>2.0638652009509928E-2</v>
      </c>
      <c r="I29" s="3">
        <f t="shared" si="8"/>
        <v>1.7579409758284238E-2</v>
      </c>
      <c r="J29" s="3">
        <f t="shared" si="9"/>
        <v>3.7093033780408215E-2</v>
      </c>
      <c r="K29" s="3">
        <f t="shared" si="10"/>
        <v>4.3779966404205894E-2</v>
      </c>
      <c r="L29" s="3">
        <f t="shared" si="11"/>
        <v>3.430448867507125E-2</v>
      </c>
      <c r="M29" s="3">
        <f t="shared" si="12"/>
        <v>2.1450427997451053E-2</v>
      </c>
      <c r="N29" s="3">
        <f t="shared" si="13"/>
        <v>4.2699764704114657E-2</v>
      </c>
      <c r="O29" s="3">
        <f t="shared" si="14"/>
        <v>6.9481609323791396E-2</v>
      </c>
      <c r="P29" s="3">
        <f t="shared" si="15"/>
        <v>1.1544989539772194E-2</v>
      </c>
      <c r="Q29">
        <f t="shared" si="16"/>
        <v>3.6329071783895349E-2</v>
      </c>
    </row>
    <row r="30" spans="1:17" x14ac:dyDescent="0.5">
      <c r="A30" s="2" t="s">
        <v>13</v>
      </c>
      <c r="B30" s="3">
        <f t="shared" si="1"/>
        <v>0.2629685433063837</v>
      </c>
      <c r="C30" s="3">
        <f t="shared" si="2"/>
        <v>0.17224474612989507</v>
      </c>
      <c r="D30" s="3">
        <f t="shared" si="3"/>
        <v>0.20899563367177576</v>
      </c>
      <c r="E30" s="3">
        <f t="shared" si="4"/>
        <v>5.3133645792738785E-2</v>
      </c>
      <c r="F30" s="3">
        <f t="shared" si="5"/>
        <v>8.3412706468645306E-2</v>
      </c>
      <c r="G30" s="3">
        <f t="shared" si="6"/>
        <v>0.12053627575323131</v>
      </c>
      <c r="H30" s="3">
        <f t="shared" si="7"/>
        <v>0.15001167829910761</v>
      </c>
      <c r="I30" s="3">
        <f t="shared" si="8"/>
        <v>9.9257147694049211E-2</v>
      </c>
      <c r="J30" s="3">
        <f t="shared" si="9"/>
        <v>0.14191284196434492</v>
      </c>
      <c r="K30" s="3">
        <f t="shared" si="10"/>
        <v>0.16749612583066609</v>
      </c>
      <c r="L30" s="3">
        <f t="shared" si="11"/>
        <v>0.20833726399310981</v>
      </c>
      <c r="M30" s="3">
        <f t="shared" si="12"/>
        <v>0.23290167855912697</v>
      </c>
      <c r="N30" s="3">
        <f t="shared" si="13"/>
        <v>0.15730727815449141</v>
      </c>
      <c r="O30" s="3">
        <f t="shared" si="14"/>
        <v>0.13896321864758279</v>
      </c>
      <c r="P30" s="3">
        <f t="shared" si="15"/>
        <v>0.28745007196096467</v>
      </c>
      <c r="Q30">
        <f t="shared" si="16"/>
        <v>0.16566192374840755</v>
      </c>
    </row>
    <row r="31" spans="1:17" x14ac:dyDescent="0.5">
      <c r="A31" s="2" t="s">
        <v>14</v>
      </c>
      <c r="B31" s="3">
        <f t="shared" si="1"/>
        <v>2.1649994923740975E-2</v>
      </c>
      <c r="C31" s="3">
        <f t="shared" si="2"/>
        <v>4.1403318515591633E-2</v>
      </c>
      <c r="D31" s="3">
        <f t="shared" si="3"/>
        <v>6.3295044959497643E-2</v>
      </c>
      <c r="E31" s="3">
        <f t="shared" si="4"/>
        <v>2.6566822896369392E-2</v>
      </c>
      <c r="F31" s="3">
        <f t="shared" si="5"/>
        <v>5.073329297397728E-2</v>
      </c>
      <c r="G31" s="3">
        <f t="shared" si="6"/>
        <v>4.0178758584410432E-2</v>
      </c>
      <c r="H31" s="3">
        <f t="shared" si="7"/>
        <v>2.0638652009509928E-2</v>
      </c>
      <c r="I31" s="3">
        <f t="shared" si="8"/>
        <v>2.5353896170143303E-2</v>
      </c>
      <c r="J31" s="3">
        <f t="shared" si="9"/>
        <v>3.7093033780408215E-2</v>
      </c>
      <c r="K31" s="3">
        <f t="shared" si="10"/>
        <v>2.7579650618174686E-2</v>
      </c>
      <c r="L31" s="3">
        <f t="shared" si="11"/>
        <v>3.430448867507125E-2</v>
      </c>
      <c r="M31" s="3">
        <f t="shared" si="12"/>
        <v>2.7025845763242917E-2</v>
      </c>
      <c r="N31" s="3">
        <f t="shared" si="13"/>
        <v>1.9819475104851166E-2</v>
      </c>
      <c r="O31" s="3">
        <f t="shared" si="14"/>
        <v>4.4722504151624098E-2</v>
      </c>
      <c r="P31" s="3">
        <f t="shared" si="15"/>
        <v>2.2969086921659495E-2</v>
      </c>
      <c r="Q31">
        <f t="shared" si="16"/>
        <v>3.3555591069884823E-2</v>
      </c>
    </row>
    <row r="32" spans="1:17" x14ac:dyDescent="0.5">
      <c r="A32" s="2" t="s">
        <v>15</v>
      </c>
      <c r="B32" s="3">
        <f t="shared" si="1"/>
        <v>1.4433329949160649E-2</v>
      </c>
      <c r="C32" s="3">
        <f t="shared" si="2"/>
        <v>3.4920911287942724E-2</v>
      </c>
      <c r="D32" s="3">
        <f t="shared" si="3"/>
        <v>2.1943166516599003E-2</v>
      </c>
      <c r="E32" s="3">
        <f t="shared" si="4"/>
        <v>4.2172202613149613E-2</v>
      </c>
      <c r="F32" s="3">
        <f t="shared" si="5"/>
        <v>5.5839214165643303E-2</v>
      </c>
      <c r="G32" s="3">
        <f t="shared" si="6"/>
        <v>5.7947797303851044E-2</v>
      </c>
      <c r="H32" s="3">
        <f t="shared" si="7"/>
        <v>4.1277304019019856E-2</v>
      </c>
      <c r="I32" s="3">
        <f t="shared" si="8"/>
        <v>5.8045932100362831E-2</v>
      </c>
      <c r="J32" s="3">
        <f t="shared" si="9"/>
        <v>5.8881520843711947E-2</v>
      </c>
      <c r="K32" s="3">
        <f t="shared" si="10"/>
        <v>2.4488082150540096E-2</v>
      </c>
      <c r="L32" s="3">
        <f t="shared" si="11"/>
        <v>4.3220947387602543E-2</v>
      </c>
      <c r="M32" s="3">
        <f t="shared" si="12"/>
        <v>3.4050431968321922E-2</v>
      </c>
      <c r="N32" s="3">
        <f t="shared" si="13"/>
        <v>2.1349882352057328E-2</v>
      </c>
      <c r="O32" s="3">
        <f t="shared" si="14"/>
        <v>4.7524752272028244E-2</v>
      </c>
      <c r="P32" s="3">
        <f t="shared" si="15"/>
        <v>2.0065345627591748E-2</v>
      </c>
      <c r="Q32">
        <f t="shared" si="16"/>
        <v>3.8410721370505524E-2</v>
      </c>
    </row>
    <row r="33" spans="1:17" x14ac:dyDescent="0.5">
      <c r="A33" s="2" t="s">
        <v>16</v>
      </c>
      <c r="B33" s="3">
        <f t="shared" si="1"/>
        <v>3.5595652593415586E-2</v>
      </c>
      <c r="C33" s="3">
        <f t="shared" si="2"/>
        <v>0.10850739069142666</v>
      </c>
      <c r="D33" s="3">
        <f t="shared" si="3"/>
        <v>6.3295044959497643E-2</v>
      </c>
      <c r="E33" s="3">
        <f t="shared" si="4"/>
        <v>0.11052243707324581</v>
      </c>
      <c r="F33" s="3">
        <f t="shared" si="5"/>
        <v>7.7028078975858227E-2</v>
      </c>
      <c r="G33" s="3">
        <f t="shared" si="6"/>
        <v>6.9831217698935424E-2</v>
      </c>
      <c r="H33" s="3">
        <f t="shared" si="7"/>
        <v>0.16424475407941166</v>
      </c>
      <c r="I33" s="3">
        <f t="shared" si="8"/>
        <v>5.8045932100362831E-2</v>
      </c>
      <c r="J33" s="3">
        <f t="shared" si="9"/>
        <v>6.7402515532997948E-2</v>
      </c>
      <c r="K33" s="3">
        <f t="shared" si="10"/>
        <v>8.2616193585432901E-2</v>
      </c>
      <c r="L33" s="3">
        <f t="shared" si="11"/>
        <v>0.13429753266088018</v>
      </c>
      <c r="M33" s="3">
        <f t="shared" si="12"/>
        <v>0.12374748224893514</v>
      </c>
      <c r="N33" s="3">
        <f t="shared" si="13"/>
        <v>7.75906217529337E-2</v>
      </c>
      <c r="O33" s="3">
        <f t="shared" si="14"/>
        <v>6.3128231562689471E-2</v>
      </c>
      <c r="P33" s="3">
        <f t="shared" si="15"/>
        <v>3.185175075734465E-2</v>
      </c>
      <c r="Q33">
        <f t="shared" si="16"/>
        <v>8.4513655751557837E-2</v>
      </c>
    </row>
    <row r="34" spans="1:17" x14ac:dyDescent="0.5">
      <c r="A34" s="2" t="s">
        <v>17</v>
      </c>
      <c r="B34" s="3">
        <f t="shared" si="1"/>
        <v>0.30102383686632006</v>
      </c>
      <c r="C34" s="3">
        <f t="shared" si="2"/>
        <v>0.18957987357507933</v>
      </c>
      <c r="D34" s="3">
        <f t="shared" si="3"/>
        <v>0.22513372162383469</v>
      </c>
      <c r="E34" s="3">
        <f t="shared" si="4"/>
        <v>0.26637479672987702</v>
      </c>
      <c r="F34" s="3">
        <f t="shared" si="5"/>
        <v>0.16106816527340481</v>
      </c>
      <c r="G34" s="3">
        <f t="shared" si="6"/>
        <v>0.14601929923632662</v>
      </c>
      <c r="H34" s="3">
        <f t="shared" si="7"/>
        <v>0.37800574243820728</v>
      </c>
      <c r="I34" s="3">
        <f t="shared" si="8"/>
        <v>0.22207574709574573</v>
      </c>
      <c r="J34" s="3">
        <f t="shared" si="9"/>
        <v>0.10699482406238386</v>
      </c>
      <c r="K34" s="3">
        <f t="shared" si="10"/>
        <v>0.24157121550743382</v>
      </c>
      <c r="L34" s="3">
        <f t="shared" si="11"/>
        <v>0.15373229837668079</v>
      </c>
      <c r="M34" s="3">
        <f t="shared" si="12"/>
        <v>0.14359623294858823</v>
      </c>
      <c r="N34" s="3">
        <f t="shared" si="13"/>
        <v>0.24633486918694722</v>
      </c>
      <c r="O34" s="3">
        <f t="shared" si="14"/>
        <v>0.20041964238301072</v>
      </c>
      <c r="P34" s="3">
        <f t="shared" si="15"/>
        <v>4.8816594087203416E-2</v>
      </c>
      <c r="Q34">
        <f t="shared" si="16"/>
        <v>0.20204979062606959</v>
      </c>
    </row>
    <row r="35" spans="1:17" x14ac:dyDescent="0.5">
      <c r="A35" s="2" t="s">
        <v>18</v>
      </c>
      <c r="B35" s="3">
        <f t="shared" si="1"/>
        <v>2.1649994923740975E-2</v>
      </c>
      <c r="C35" s="3">
        <f t="shared" si="2"/>
        <v>4.3997591213190523E-2</v>
      </c>
      <c r="D35" s="3">
        <f t="shared" si="3"/>
        <v>1.9169121603356546E-2</v>
      </c>
      <c r="E35" s="3">
        <f t="shared" si="4"/>
        <v>6.0822841097732006E-2</v>
      </c>
      <c r="F35" s="3">
        <f t="shared" si="5"/>
        <v>6.8855672098217274E-2</v>
      </c>
      <c r="G35" s="3">
        <f t="shared" si="6"/>
        <v>6.3779803643669447E-2</v>
      </c>
      <c r="H35" s="3">
        <f t="shared" si="7"/>
        <v>1.1357887908442445E-2</v>
      </c>
      <c r="I35" s="3">
        <f t="shared" si="8"/>
        <v>0.12710663531308591</v>
      </c>
      <c r="J35" s="3">
        <f t="shared" si="9"/>
        <v>0.14759530342667765</v>
      </c>
      <c r="K35" s="3">
        <f t="shared" si="10"/>
        <v>2.6768009115462912E-2</v>
      </c>
      <c r="L35" s="3">
        <f t="shared" si="11"/>
        <v>6.86089773501425E-2</v>
      </c>
      <c r="M35" s="3">
        <f t="shared" si="12"/>
        <v>7.7956028878462771E-2</v>
      </c>
      <c r="N35" s="3">
        <f t="shared" si="13"/>
        <v>0.11190504088305329</v>
      </c>
      <c r="O35" s="3">
        <f t="shared" si="14"/>
        <v>0.18860210437786426</v>
      </c>
      <c r="P35" s="3">
        <f t="shared" si="15"/>
        <v>4.593817384331899E-2</v>
      </c>
      <c r="Q35">
        <f t="shared" si="16"/>
        <v>7.2274212378427835E-2</v>
      </c>
    </row>
    <row r="36" spans="1:17" x14ac:dyDescent="0.5">
      <c r="A36" s="75" t="s">
        <v>67</v>
      </c>
      <c r="B36">
        <f>SUM(B21:B35)</f>
        <v>0.99999999999999989</v>
      </c>
      <c r="C36">
        <f t="shared" ref="C36:Q36" si="17">SUM(C21:C35)</f>
        <v>1</v>
      </c>
      <c r="D36">
        <f t="shared" si="17"/>
        <v>0.99999999999999989</v>
      </c>
      <c r="E36">
        <f t="shared" si="17"/>
        <v>0.99999999999999978</v>
      </c>
      <c r="F36">
        <f t="shared" si="17"/>
        <v>1.0000000000000002</v>
      </c>
      <c r="G36">
        <f t="shared" si="17"/>
        <v>0.99999999999999989</v>
      </c>
      <c r="H36">
        <f t="shared" si="17"/>
        <v>1</v>
      </c>
      <c r="I36">
        <f t="shared" si="17"/>
        <v>0.99999999999999978</v>
      </c>
      <c r="J36">
        <f t="shared" si="17"/>
        <v>0.99999999999999978</v>
      </c>
      <c r="K36">
        <f t="shared" si="17"/>
        <v>1</v>
      </c>
      <c r="L36">
        <f t="shared" si="17"/>
        <v>1</v>
      </c>
      <c r="M36">
        <f t="shared" si="17"/>
        <v>0.99999999999999989</v>
      </c>
      <c r="N36">
        <f t="shared" si="17"/>
        <v>1.0000000000000002</v>
      </c>
      <c r="O36">
        <f t="shared" si="17"/>
        <v>1</v>
      </c>
      <c r="P36">
        <f t="shared" si="17"/>
        <v>0.99999999999999989</v>
      </c>
      <c r="Q36">
        <f t="shared" si="17"/>
        <v>0.99999999999999989</v>
      </c>
    </row>
    <row r="39" spans="1:17" x14ac:dyDescent="0.5">
      <c r="A39" s="70" t="s">
        <v>69</v>
      </c>
      <c r="B39" s="70" t="s">
        <v>70</v>
      </c>
      <c r="C39" s="70" t="s">
        <v>71</v>
      </c>
    </row>
    <row r="40" spans="1:17" x14ac:dyDescent="0.5">
      <c r="A40" s="70" t="s">
        <v>72</v>
      </c>
      <c r="B40" s="70">
        <f>MMULT(B17:P17,Q21:Q35)</f>
        <v>17.220618304545994</v>
      </c>
      <c r="C40" s="78" t="str">
        <f>IF(B44&lt;=0.1,"Konsistensi Baik/Acceptable","Konsistensi Buruk")</f>
        <v>Konsistensi Baik/Acceptable</v>
      </c>
    </row>
    <row r="41" spans="1:17" x14ac:dyDescent="0.5">
      <c r="A41" s="70" t="s">
        <v>90</v>
      </c>
      <c r="B41" s="70">
        <v>15</v>
      </c>
      <c r="C41" s="78"/>
    </row>
    <row r="42" spans="1:17" x14ac:dyDescent="0.5">
      <c r="A42" s="70" t="s">
        <v>73</v>
      </c>
      <c r="B42" s="70">
        <f>(B40-B41)/(B41-1)</f>
        <v>0.1586155931818567</v>
      </c>
      <c r="C42" s="78"/>
    </row>
    <row r="43" spans="1:17" x14ac:dyDescent="0.5">
      <c r="A43" s="70" t="s">
        <v>74</v>
      </c>
      <c r="B43" s="70">
        <f>INDEX(B49:P49, MATCH(B41, B48:P48, 0))</f>
        <v>1.59</v>
      </c>
      <c r="C43" s="78"/>
    </row>
    <row r="44" spans="1:17" x14ac:dyDescent="0.5">
      <c r="A44" s="70" t="s">
        <v>75</v>
      </c>
      <c r="B44" s="71">
        <f>B42/B43</f>
        <v>9.9758234705570242E-2</v>
      </c>
      <c r="C44" s="78"/>
    </row>
    <row r="47" spans="1:17" x14ac:dyDescent="0.5">
      <c r="A47" s="79" t="s">
        <v>76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</row>
    <row r="48" spans="1:17" x14ac:dyDescent="0.5">
      <c r="A48" s="69" t="s">
        <v>77</v>
      </c>
      <c r="B48" s="69">
        <v>1</v>
      </c>
      <c r="C48" s="69">
        <v>2</v>
      </c>
      <c r="D48" s="69">
        <v>3</v>
      </c>
      <c r="E48" s="69">
        <v>4</v>
      </c>
      <c r="F48" s="69">
        <v>5</v>
      </c>
      <c r="G48" s="69">
        <v>6</v>
      </c>
      <c r="H48" s="69">
        <v>7</v>
      </c>
      <c r="I48" s="69">
        <v>8</v>
      </c>
      <c r="J48" s="69">
        <v>9</v>
      </c>
      <c r="K48" s="69">
        <v>10</v>
      </c>
      <c r="L48" s="69">
        <v>11</v>
      </c>
      <c r="M48" s="69">
        <v>12</v>
      </c>
      <c r="N48" s="69">
        <v>13</v>
      </c>
      <c r="O48" s="69">
        <v>14</v>
      </c>
      <c r="P48" s="69">
        <v>15</v>
      </c>
    </row>
    <row r="49" spans="1:18" x14ac:dyDescent="0.5">
      <c r="A49" s="69" t="s">
        <v>74</v>
      </c>
      <c r="B49" s="69">
        <v>0</v>
      </c>
      <c r="C49" s="69">
        <v>0</v>
      </c>
      <c r="D49" s="69">
        <v>0.57999999999999996</v>
      </c>
      <c r="E49" s="69">
        <v>0.9</v>
      </c>
      <c r="F49" s="69">
        <v>1.1200000000000001</v>
      </c>
      <c r="G49" s="69">
        <v>1.24</v>
      </c>
      <c r="H49" s="69">
        <v>1.32</v>
      </c>
      <c r="I49" s="69">
        <v>1.41</v>
      </c>
      <c r="J49" s="69">
        <v>1.45</v>
      </c>
      <c r="K49" s="69">
        <v>1.49</v>
      </c>
      <c r="L49" s="69">
        <v>1.51</v>
      </c>
      <c r="M49" s="69">
        <v>1.48</v>
      </c>
      <c r="N49" s="69">
        <v>1.56</v>
      </c>
      <c r="O49" s="69">
        <v>1.57</v>
      </c>
      <c r="P49" s="69">
        <v>1.59</v>
      </c>
    </row>
    <row r="52" spans="1:18" x14ac:dyDescent="0.5">
      <c r="A52" s="72" t="s">
        <v>78</v>
      </c>
    </row>
    <row r="53" spans="1:18" x14ac:dyDescent="0.5">
      <c r="A53" s="63" t="s">
        <v>20</v>
      </c>
      <c r="B53" s="2" t="s">
        <v>4</v>
      </c>
      <c r="C53" s="2" t="s">
        <v>5</v>
      </c>
      <c r="D53" s="2" t="s">
        <v>6</v>
      </c>
      <c r="E53" s="2" t="s">
        <v>7</v>
      </c>
      <c r="F53" s="2" t="s">
        <v>8</v>
      </c>
      <c r="G53" s="2" t="s">
        <v>9</v>
      </c>
      <c r="H53" s="2" t="s">
        <v>10</v>
      </c>
      <c r="I53" s="2" t="s">
        <v>11</v>
      </c>
      <c r="J53" s="2" t="s">
        <v>12</v>
      </c>
      <c r="K53" s="2" t="s">
        <v>13</v>
      </c>
      <c r="L53" s="2" t="s">
        <v>14</v>
      </c>
      <c r="M53" s="2" t="s">
        <v>15</v>
      </c>
      <c r="N53" s="2" t="s">
        <v>16</v>
      </c>
      <c r="O53" s="2" t="s">
        <v>17</v>
      </c>
      <c r="P53" s="2" t="s">
        <v>18</v>
      </c>
      <c r="Q53" s="75" t="s">
        <v>80</v>
      </c>
      <c r="R53" s="75" t="s">
        <v>81</v>
      </c>
    </row>
    <row r="54" spans="1:18" x14ac:dyDescent="0.5">
      <c r="A54" s="2" t="s">
        <v>4</v>
      </c>
      <c r="B54" s="3">
        <f t="array" ref="B54:P68">MMULT(B2:P16,B2:P16)</f>
        <v>15</v>
      </c>
      <c r="C54" s="3">
        <v>35.794568247616482</v>
      </c>
      <c r="D54" s="3">
        <v>17.175782115858105</v>
      </c>
      <c r="E54" s="3">
        <v>35.064288151078756</v>
      </c>
      <c r="F54" s="3">
        <v>70.09512325840646</v>
      </c>
      <c r="G54" s="3">
        <v>85.498113456932074</v>
      </c>
      <c r="H54" s="3">
        <v>19.928890964816514</v>
      </c>
      <c r="I54" s="3">
        <v>40.22049828049937</v>
      </c>
      <c r="J54" s="3">
        <v>39.509534551223851</v>
      </c>
      <c r="K54" s="3">
        <v>8.3920407139599593</v>
      </c>
      <c r="L54" s="3">
        <v>36.708304104063906</v>
      </c>
      <c r="M54" s="3">
        <v>31.779815603990556</v>
      </c>
      <c r="N54" s="3">
        <v>14.605128453621926</v>
      </c>
      <c r="O54" s="3">
        <v>6.8859390398401157</v>
      </c>
      <c r="P54" s="3">
        <v>22.472593399907588</v>
      </c>
      <c r="Q54">
        <f>SUM(B54:P54)</f>
        <v>479.1306203418157</v>
      </c>
      <c r="R54">
        <f>Q54/$Q$69</f>
        <v>6.9576709875923862E-2</v>
      </c>
    </row>
    <row r="55" spans="1:18" x14ac:dyDescent="0.5">
      <c r="A55" s="2" t="s">
        <v>5</v>
      </c>
      <c r="B55" s="3">
        <v>10.768958348291269</v>
      </c>
      <c r="C55" s="3">
        <v>15</v>
      </c>
      <c r="D55" s="3">
        <v>7.8194068724665504</v>
      </c>
      <c r="E55" s="3">
        <v>16.931080364218076</v>
      </c>
      <c r="F55" s="3">
        <v>33.663931609003228</v>
      </c>
      <c r="G55" s="3">
        <v>38.880091616693768</v>
      </c>
      <c r="H55" s="3">
        <v>8.8652091382892255</v>
      </c>
      <c r="I55" s="3">
        <v>18.008015348911488</v>
      </c>
      <c r="J55" s="3">
        <v>18.297756408819367</v>
      </c>
      <c r="K55" s="3">
        <v>3.8709547237235888</v>
      </c>
      <c r="L55" s="3">
        <v>15.446300864650976</v>
      </c>
      <c r="M55" s="3">
        <v>15.225663680782901</v>
      </c>
      <c r="N55" s="3">
        <v>7.2218239209035033</v>
      </c>
      <c r="O55" s="3">
        <v>3.2773490642786243</v>
      </c>
      <c r="P55" s="3">
        <v>12.067872558339021</v>
      </c>
      <c r="Q55">
        <f t="shared" ref="Q55:Q68" si="18">SUM(B55:P55)</f>
        <v>225.34441451937161</v>
      </c>
      <c r="R55">
        <f t="shared" ref="R55:R68" si="19">Q55/$Q$69</f>
        <v>3.2723274792975904E-2</v>
      </c>
    </row>
    <row r="56" spans="1:18" x14ac:dyDescent="0.5">
      <c r="A56" s="2" t="s">
        <v>6</v>
      </c>
      <c r="B56" s="3">
        <v>24.771853385523958</v>
      </c>
      <c r="C56" s="3">
        <v>45.80715875225971</v>
      </c>
      <c r="D56" s="3">
        <v>15</v>
      </c>
      <c r="E56" s="3">
        <v>46.460710767599174</v>
      </c>
      <c r="F56" s="3">
        <v>87.860184055341946</v>
      </c>
      <c r="G56" s="3">
        <v>102.33660038098535</v>
      </c>
      <c r="H56" s="3">
        <v>23.956548383302824</v>
      </c>
      <c r="I56" s="3">
        <v>52.936087419078639</v>
      </c>
      <c r="J56" s="3">
        <v>47.882442758595538</v>
      </c>
      <c r="K56" s="3">
        <v>10.071255951813814</v>
      </c>
      <c r="L56" s="3">
        <v>43.895660227169671</v>
      </c>
      <c r="M56" s="3">
        <v>42.731379358930354</v>
      </c>
      <c r="N56" s="3">
        <v>21.341433430634417</v>
      </c>
      <c r="O56" s="3">
        <v>9.3785456517522814</v>
      </c>
      <c r="P56" s="3">
        <v>27.128920735875695</v>
      </c>
      <c r="Q56">
        <f t="shared" si="18"/>
        <v>601.55878125886329</v>
      </c>
      <c r="R56">
        <f t="shared" si="19"/>
        <v>8.7355053131655314E-2</v>
      </c>
    </row>
    <row r="57" spans="1:18" x14ac:dyDescent="0.5">
      <c r="A57" s="2" t="s">
        <v>7</v>
      </c>
      <c r="B57" s="3">
        <v>11.797172415217023</v>
      </c>
      <c r="C57" s="3">
        <v>17.892461364603815</v>
      </c>
      <c r="D57" s="3">
        <v>9.3100128888679681</v>
      </c>
      <c r="E57" s="3">
        <v>15</v>
      </c>
      <c r="F57" s="3">
        <v>31.51870408493799</v>
      </c>
      <c r="G57" s="3">
        <v>38.331272820743983</v>
      </c>
      <c r="H57" s="3">
        <v>9.8532761406015421</v>
      </c>
      <c r="I57" s="3">
        <v>17.15282055210324</v>
      </c>
      <c r="J57" s="3">
        <v>18.057168859329622</v>
      </c>
      <c r="K57" s="3">
        <v>4.1154175667925115</v>
      </c>
      <c r="L57" s="3">
        <v>18.022027571722404</v>
      </c>
      <c r="M57" s="3">
        <v>16.08603159133952</v>
      </c>
      <c r="N57" s="3">
        <v>7.3229751627648767</v>
      </c>
      <c r="O57" s="3">
        <v>3.3307365895859591</v>
      </c>
      <c r="P57" s="3">
        <v>12.992443823648308</v>
      </c>
      <c r="Q57">
        <f t="shared" si="18"/>
        <v>230.78252143225873</v>
      </c>
      <c r="R57">
        <f t="shared" si="19"/>
        <v>3.3512966728511714E-2</v>
      </c>
    </row>
    <row r="58" spans="1:18" x14ac:dyDescent="0.5">
      <c r="A58" s="2" t="s">
        <v>8</v>
      </c>
      <c r="B58" s="3">
        <v>5.5032132519423733</v>
      </c>
      <c r="C58" s="3">
        <v>8.638687049163293</v>
      </c>
      <c r="D58" s="3">
        <v>4.3798771019683667</v>
      </c>
      <c r="E58" s="3">
        <v>7.9024307991189033</v>
      </c>
      <c r="F58" s="3">
        <v>15</v>
      </c>
      <c r="G58" s="3">
        <v>18.32168086148112</v>
      </c>
      <c r="H58" s="3">
        <v>5.3379604128309488</v>
      </c>
      <c r="I58" s="3">
        <v>8.6964032303872152</v>
      </c>
      <c r="J58" s="3">
        <v>8.4138537782195897</v>
      </c>
      <c r="K58" s="3">
        <v>2.0068139608594571</v>
      </c>
      <c r="L58" s="3">
        <v>8.7241968456610977</v>
      </c>
      <c r="M58" s="3">
        <v>7.8841874134125263</v>
      </c>
      <c r="N58" s="3">
        <v>3.6510361473168542</v>
      </c>
      <c r="O58" s="3">
        <v>1.5850244364703743</v>
      </c>
      <c r="P58" s="3">
        <v>6.1569644759934086</v>
      </c>
      <c r="Q58">
        <f t="shared" si="18"/>
        <v>112.20232976482554</v>
      </c>
      <c r="R58">
        <f t="shared" si="19"/>
        <v>1.6293404374532902E-2</v>
      </c>
    </row>
    <row r="59" spans="1:18" x14ac:dyDescent="0.5">
      <c r="A59" s="2" t="s">
        <v>9</v>
      </c>
      <c r="B59" s="3">
        <v>4.687414096860854</v>
      </c>
      <c r="C59" s="3">
        <v>7.3364990002746033</v>
      </c>
      <c r="D59" s="3">
        <v>3.6091780789525241</v>
      </c>
      <c r="E59" s="3">
        <v>6.9394898427217369</v>
      </c>
      <c r="F59" s="3">
        <v>13.087441449964514</v>
      </c>
      <c r="G59" s="3">
        <v>15</v>
      </c>
      <c r="H59" s="3">
        <v>4.4837787745032136</v>
      </c>
      <c r="I59" s="3">
        <v>7.446518095398039</v>
      </c>
      <c r="J59" s="3">
        <v>7.0947028295061632</v>
      </c>
      <c r="K59" s="3">
        <v>1.5524503810705885</v>
      </c>
      <c r="L59" s="3">
        <v>7.1874884954891511</v>
      </c>
      <c r="M59" s="3">
        <v>6.6492675312405511</v>
      </c>
      <c r="N59" s="3">
        <v>3.0582821052610609</v>
      </c>
      <c r="O59" s="3">
        <v>1.3238365681312176</v>
      </c>
      <c r="P59" s="3">
        <v>4.9347773965417066</v>
      </c>
      <c r="Q59">
        <f t="shared" si="18"/>
        <v>94.391124645915909</v>
      </c>
      <c r="R59">
        <f t="shared" si="19"/>
        <v>1.3706959262310983E-2</v>
      </c>
    </row>
    <row r="60" spans="1:18" x14ac:dyDescent="0.5">
      <c r="A60" s="2" t="s">
        <v>10</v>
      </c>
      <c r="B60" s="3">
        <v>24.09123343617788</v>
      </c>
      <c r="C60" s="3">
        <v>34.236132713743324</v>
      </c>
      <c r="D60" s="3">
        <v>17.165546408336244</v>
      </c>
      <c r="E60" s="3">
        <v>38.785239917099396</v>
      </c>
      <c r="F60" s="3">
        <v>81.555223771766308</v>
      </c>
      <c r="G60" s="3">
        <v>87.802441470036669</v>
      </c>
      <c r="H60" s="3">
        <v>15</v>
      </c>
      <c r="I60" s="3">
        <v>46.0517782928464</v>
      </c>
      <c r="J60" s="3">
        <v>48.539007697501233</v>
      </c>
      <c r="K60" s="3">
        <v>7.4096763528045084</v>
      </c>
      <c r="L60" s="3">
        <v>34.940752960952437</v>
      </c>
      <c r="M60" s="3">
        <v>36.529817367829367</v>
      </c>
      <c r="N60" s="3">
        <v>17.972962811351422</v>
      </c>
      <c r="O60" s="3">
        <v>8.8038888381934459</v>
      </c>
      <c r="P60" s="3">
        <v>28.883145251284379</v>
      </c>
      <c r="Q60">
        <f t="shared" si="18"/>
        <v>527.76684728992313</v>
      </c>
      <c r="R60">
        <f t="shared" si="19"/>
        <v>7.6639394889488482E-2</v>
      </c>
    </row>
    <row r="61" spans="1:18" x14ac:dyDescent="0.5">
      <c r="A61" s="2" t="s">
        <v>11</v>
      </c>
      <c r="B61" s="3">
        <v>11.044956139702705</v>
      </c>
      <c r="C61" s="3">
        <v>16.83735547513319</v>
      </c>
      <c r="D61" s="3">
        <v>8.3255120970446761</v>
      </c>
      <c r="E61" s="3">
        <v>15.142116575025932</v>
      </c>
      <c r="F61" s="3">
        <v>31.047568356706922</v>
      </c>
      <c r="G61" s="3">
        <v>36.809555299923964</v>
      </c>
      <c r="H61" s="3">
        <v>9.6278656582055735</v>
      </c>
      <c r="I61" s="3">
        <v>15</v>
      </c>
      <c r="J61" s="3">
        <v>15.764153820693956</v>
      </c>
      <c r="K61" s="3">
        <v>3.8664801149255621</v>
      </c>
      <c r="L61" s="3">
        <v>16.189943002113946</v>
      </c>
      <c r="M61" s="3">
        <v>14.513984064413229</v>
      </c>
      <c r="N61" s="3">
        <v>6.7759562364529264</v>
      </c>
      <c r="O61" s="3">
        <v>3.0708182667976192</v>
      </c>
      <c r="P61" s="3">
        <v>10.597751791975858</v>
      </c>
      <c r="Q61">
        <f t="shared" si="18"/>
        <v>214.61401689911605</v>
      </c>
      <c r="R61">
        <f t="shared" si="19"/>
        <v>3.1165065548187487E-2</v>
      </c>
    </row>
    <row r="62" spans="1:18" x14ac:dyDescent="0.5">
      <c r="A62" s="2" t="s">
        <v>12</v>
      </c>
      <c r="B62" s="3">
        <v>11.591530776524179</v>
      </c>
      <c r="C62" s="3">
        <v>20.478647852869628</v>
      </c>
      <c r="D62" s="3">
        <v>8.7936490905541813</v>
      </c>
      <c r="E62" s="3">
        <v>19.640278529920455</v>
      </c>
      <c r="F62" s="3">
        <v>34.795655696992512</v>
      </c>
      <c r="G62" s="3">
        <v>40.614080134734259</v>
      </c>
      <c r="H62" s="3">
        <v>12.047968360733135</v>
      </c>
      <c r="I62" s="3">
        <v>19.25775838523214</v>
      </c>
      <c r="J62" s="3">
        <v>15</v>
      </c>
      <c r="K62" s="3">
        <v>3.8987348731672036</v>
      </c>
      <c r="L62" s="3">
        <v>17.781095666095904</v>
      </c>
      <c r="M62" s="3">
        <v>17.79167528420254</v>
      </c>
      <c r="N62" s="3">
        <v>8.0126895358828456</v>
      </c>
      <c r="O62" s="3">
        <v>3.0042486829587567</v>
      </c>
      <c r="P62" s="3">
        <v>12.581154761701626</v>
      </c>
      <c r="Q62">
        <f t="shared" si="18"/>
        <v>245.28916763156934</v>
      </c>
      <c r="R62">
        <f t="shared" si="19"/>
        <v>3.5619541994275458E-2</v>
      </c>
    </row>
    <row r="63" spans="1:18" x14ac:dyDescent="0.5">
      <c r="A63" s="2" t="s">
        <v>13</v>
      </c>
      <c r="B63" s="3">
        <v>51.587334003751621</v>
      </c>
      <c r="C63" s="3">
        <v>92.354727683165308</v>
      </c>
      <c r="D63" s="3">
        <v>41.727793505340387</v>
      </c>
      <c r="E63" s="3">
        <v>93.36189735792891</v>
      </c>
      <c r="F63" s="3">
        <v>179.33004117461854</v>
      </c>
      <c r="G63" s="3">
        <v>194.70893787824429</v>
      </c>
      <c r="H63" s="3">
        <v>46.686172851831778</v>
      </c>
      <c r="I63" s="3">
        <v>105.88965384724237</v>
      </c>
      <c r="J63" s="3">
        <v>93.324455481870018</v>
      </c>
      <c r="K63" s="3">
        <v>15</v>
      </c>
      <c r="L63" s="3">
        <v>85.584786448207254</v>
      </c>
      <c r="M63" s="3">
        <v>88.382400493943862</v>
      </c>
      <c r="N63" s="3">
        <v>39.009597675958219</v>
      </c>
      <c r="O63" s="3">
        <v>17.314233798151399</v>
      </c>
      <c r="P63" s="3">
        <v>66.570297264696961</v>
      </c>
      <c r="Q63">
        <f t="shared" si="18"/>
        <v>1210.8323294649513</v>
      </c>
      <c r="R63">
        <f t="shared" si="19"/>
        <v>0.17583040223033625</v>
      </c>
    </row>
    <row r="64" spans="1:18" x14ac:dyDescent="0.5">
      <c r="A64" s="2" t="s">
        <v>14</v>
      </c>
      <c r="B64" s="3">
        <v>11.306553155690686</v>
      </c>
      <c r="C64" s="3">
        <v>15.793335249585992</v>
      </c>
      <c r="D64" s="3">
        <v>8.1805488925979439</v>
      </c>
      <c r="E64" s="3">
        <v>17.29362767998057</v>
      </c>
      <c r="F64" s="3">
        <v>34.318916830246593</v>
      </c>
      <c r="G64" s="3">
        <v>38.868112836800314</v>
      </c>
      <c r="H64" s="3">
        <v>8.991607807382799</v>
      </c>
      <c r="I64" s="3">
        <v>17.467753948768195</v>
      </c>
      <c r="J64" s="3">
        <v>17.064680440854257</v>
      </c>
      <c r="K64" s="3">
        <v>3.6945917234124628</v>
      </c>
      <c r="L64" s="3">
        <v>15</v>
      </c>
      <c r="M64" s="3">
        <v>15.096480065709953</v>
      </c>
      <c r="N64" s="3">
        <v>7.0695997593223225</v>
      </c>
      <c r="O64" s="3">
        <v>3.0764224378389073</v>
      </c>
      <c r="P64" s="3">
        <v>12.105664178847931</v>
      </c>
      <c r="Q64">
        <f t="shared" si="18"/>
        <v>225.32789500703893</v>
      </c>
      <c r="R64">
        <f t="shared" si="19"/>
        <v>3.2720875920376105E-2</v>
      </c>
    </row>
    <row r="65" spans="1:18" x14ac:dyDescent="0.5">
      <c r="A65" s="2" t="s">
        <v>15</v>
      </c>
      <c r="B65" s="3">
        <v>11.213686929662567</v>
      </c>
      <c r="C65" s="3">
        <v>18.901490026921344</v>
      </c>
      <c r="D65" s="3">
        <v>9.6882050061108167</v>
      </c>
      <c r="E65" s="3">
        <v>17.629473679992326</v>
      </c>
      <c r="F65" s="3">
        <v>36.024863155800567</v>
      </c>
      <c r="G65" s="3">
        <v>43.255517629287645</v>
      </c>
      <c r="H65" s="3">
        <v>10.57030378046346</v>
      </c>
      <c r="I65" s="3">
        <v>19.055561207536492</v>
      </c>
      <c r="J65" s="3">
        <v>19.599077630981537</v>
      </c>
      <c r="K65" s="3">
        <v>4.6287594912355017</v>
      </c>
      <c r="L65" s="3">
        <v>18.285105025259611</v>
      </c>
      <c r="M65" s="3">
        <v>15</v>
      </c>
      <c r="N65" s="3">
        <v>7.6865531661914659</v>
      </c>
      <c r="O65" s="3">
        <v>3.5068361863635999</v>
      </c>
      <c r="P65" s="3">
        <v>12.368951919427555</v>
      </c>
      <c r="Q65">
        <f t="shared" si="18"/>
        <v>247.4143848352345</v>
      </c>
      <c r="R65">
        <f t="shared" si="19"/>
        <v>3.5928154331965848E-2</v>
      </c>
    </row>
    <row r="66" spans="1:18" x14ac:dyDescent="0.5">
      <c r="A66" s="2" t="s">
        <v>16</v>
      </c>
      <c r="B66" s="3">
        <v>23.480749706157813</v>
      </c>
      <c r="C66" s="3">
        <v>44.125014909888733</v>
      </c>
      <c r="D66" s="3">
        <v>26.482701487273754</v>
      </c>
      <c r="E66" s="3">
        <v>40.942451411833325</v>
      </c>
      <c r="F66" s="3">
        <v>83.564182760908139</v>
      </c>
      <c r="G66" s="3">
        <v>98.346804837077315</v>
      </c>
      <c r="H66" s="3">
        <v>24.483077101626783</v>
      </c>
      <c r="I66" s="3">
        <v>45.204267719828458</v>
      </c>
      <c r="J66" s="3">
        <v>43.878132946991187</v>
      </c>
      <c r="K66" s="3">
        <v>9.5332124634470077</v>
      </c>
      <c r="L66" s="3">
        <v>42.948439524773605</v>
      </c>
      <c r="M66" s="3">
        <v>36.452159587771824</v>
      </c>
      <c r="N66" s="3">
        <v>15</v>
      </c>
      <c r="O66" s="3">
        <v>7.0287596488496673</v>
      </c>
      <c r="P66" s="3">
        <v>35.169817756295124</v>
      </c>
      <c r="Q66">
        <f t="shared" si="18"/>
        <v>576.63977186272291</v>
      </c>
      <c r="R66">
        <f t="shared" si="19"/>
        <v>8.3736451828499633E-2</v>
      </c>
    </row>
    <row r="67" spans="1:18" x14ac:dyDescent="0.5">
      <c r="A67" s="2" t="s">
        <v>17</v>
      </c>
      <c r="B67" s="3">
        <v>61.720208306892204</v>
      </c>
      <c r="C67" s="3">
        <v>116.01015583540921</v>
      </c>
      <c r="D67" s="3">
        <v>59.216316598029529</v>
      </c>
      <c r="E67" s="3">
        <v>110.11778635651099</v>
      </c>
      <c r="F67" s="3">
        <v>204.63544490441998</v>
      </c>
      <c r="G67" s="3">
        <v>235.04153454349557</v>
      </c>
      <c r="H67" s="3">
        <v>62.937621469870301</v>
      </c>
      <c r="I67" s="3">
        <v>114.96379573929022</v>
      </c>
      <c r="J67" s="3">
        <v>100.82730578265758</v>
      </c>
      <c r="K67" s="3">
        <v>22.964158528956926</v>
      </c>
      <c r="L67" s="3">
        <v>106.42384909600676</v>
      </c>
      <c r="M67" s="3">
        <v>98.893194134951287</v>
      </c>
      <c r="N67" s="3">
        <v>41.179112655214873</v>
      </c>
      <c r="O67" s="3">
        <v>15</v>
      </c>
      <c r="P67" s="3">
        <v>92.153107064938169</v>
      </c>
      <c r="Q67">
        <f t="shared" si="18"/>
        <v>1442.0835910166436</v>
      </c>
      <c r="R67">
        <f t="shared" si="19"/>
        <v>0.20941143681740762</v>
      </c>
    </row>
    <row r="68" spans="1:18" x14ac:dyDescent="0.5">
      <c r="A68" s="2" t="s">
        <v>18</v>
      </c>
      <c r="B68" s="3">
        <v>22.679499540528077</v>
      </c>
      <c r="C68" s="3">
        <v>36.235340381827619</v>
      </c>
      <c r="D68" s="3">
        <v>15.175006301172164</v>
      </c>
      <c r="E68" s="3">
        <v>34.570522035582108</v>
      </c>
      <c r="F68" s="3">
        <v>65.797450852236452</v>
      </c>
      <c r="G68" s="3">
        <v>75.182991190391576</v>
      </c>
      <c r="H68" s="3">
        <v>24.046410232134967</v>
      </c>
      <c r="I68" s="3">
        <v>34.858379892245793</v>
      </c>
      <c r="J68" s="3">
        <v>34.993427849649485</v>
      </c>
      <c r="K68" s="3">
        <v>8.3773963059022343</v>
      </c>
      <c r="L68" s="3">
        <v>34.860676339394466</v>
      </c>
      <c r="M68" s="3">
        <v>28.85041565343543</v>
      </c>
      <c r="N68" s="3">
        <v>15.459732311110963</v>
      </c>
      <c r="O68" s="3">
        <v>6.8999643009275111</v>
      </c>
      <c r="P68" s="3">
        <v>15</v>
      </c>
      <c r="Q68">
        <f t="shared" si="18"/>
        <v>452.98721318653884</v>
      </c>
      <c r="R68">
        <f t="shared" si="19"/>
        <v>6.578030827355251E-2</v>
      </c>
    </row>
    <row r="69" spans="1:18" x14ac:dyDescent="0.5">
      <c r="A69" s="115" t="s">
        <v>67</v>
      </c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>
        <f>SUM(Q54:Q68)</f>
        <v>6886.3650091567888</v>
      </c>
      <c r="R69">
        <f>SUM(R54:R68)</f>
        <v>1</v>
      </c>
    </row>
    <row r="72" spans="1:18" x14ac:dyDescent="0.5">
      <c r="A72" s="72" t="s">
        <v>82</v>
      </c>
    </row>
    <row r="73" spans="1:18" x14ac:dyDescent="0.5">
      <c r="A73" s="63" t="s">
        <v>20</v>
      </c>
      <c r="B73" s="2" t="s">
        <v>4</v>
      </c>
      <c r="C73" s="2" t="s">
        <v>5</v>
      </c>
      <c r="D73" s="2" t="s">
        <v>6</v>
      </c>
      <c r="E73" s="2" t="s">
        <v>7</v>
      </c>
      <c r="F73" s="2" t="s">
        <v>8</v>
      </c>
      <c r="G73" s="2" t="s">
        <v>9</v>
      </c>
      <c r="H73" s="2" t="s">
        <v>10</v>
      </c>
      <c r="I73" s="2" t="s">
        <v>11</v>
      </c>
      <c r="J73" s="2" t="s">
        <v>12</v>
      </c>
      <c r="K73" s="2" t="s">
        <v>13</v>
      </c>
      <c r="L73" s="2" t="s">
        <v>14</v>
      </c>
      <c r="M73" s="2" t="s">
        <v>15</v>
      </c>
      <c r="N73" s="2" t="s">
        <v>16</v>
      </c>
      <c r="O73" s="2" t="s">
        <v>17</v>
      </c>
      <c r="P73" s="2" t="s">
        <v>18</v>
      </c>
      <c r="Q73" s="75" t="s">
        <v>80</v>
      </c>
      <c r="R73" s="75" t="s">
        <v>81</v>
      </c>
    </row>
    <row r="74" spans="1:18" x14ac:dyDescent="0.5">
      <c r="A74" s="2" t="s">
        <v>4</v>
      </c>
      <c r="B74" s="3">
        <f t="array" ref="B74:P88">MMULT(B54:P68,B54:P68)</f>
        <v>6100.3847178475389</v>
      </c>
      <c r="C74" s="3">
        <v>10102.450230347838</v>
      </c>
      <c r="D74" s="3">
        <v>4855.5099403764116</v>
      </c>
      <c r="E74" s="3">
        <v>9872.8535281358672</v>
      </c>
      <c r="F74" s="3">
        <v>19307.66337484727</v>
      </c>
      <c r="G74" s="3">
        <v>22357.463663425337</v>
      </c>
      <c r="H74" s="3">
        <v>5682.059980203635</v>
      </c>
      <c r="I74" s="3">
        <v>10657.369028290193</v>
      </c>
      <c r="J74" s="3">
        <v>10247.53374896407</v>
      </c>
      <c r="K74" s="3">
        <v>2206.5700285155999</v>
      </c>
      <c r="L74" s="3">
        <v>9758.9095584529841</v>
      </c>
      <c r="M74" s="3">
        <v>9089.8023046017242</v>
      </c>
      <c r="N74" s="3">
        <v>4246.8125400844783</v>
      </c>
      <c r="O74" s="3">
        <v>1871.1039336546075</v>
      </c>
      <c r="P74" s="3">
        <v>6924.4345778564102</v>
      </c>
      <c r="Q74">
        <f>SUM(B74:P74)</f>
        <v>133280.92115560395</v>
      </c>
      <c r="R74">
        <f>Q74/$Q$89</f>
        <v>6.851203992748979E-2</v>
      </c>
    </row>
    <row r="75" spans="1:18" x14ac:dyDescent="0.5">
      <c r="A75" s="2" t="s">
        <v>5</v>
      </c>
      <c r="B75" s="3">
        <v>2899.2045772554347</v>
      </c>
      <c r="C75" s="3">
        <v>4854.4704347134411</v>
      </c>
      <c r="D75" s="3">
        <v>2331.8022388017948</v>
      </c>
      <c r="E75" s="3">
        <v>4731.2690689856208</v>
      </c>
      <c r="F75" s="3">
        <v>9254.0262917903146</v>
      </c>
      <c r="G75" s="3">
        <v>10738.037376730215</v>
      </c>
      <c r="H75" s="3">
        <v>2736.3953587968149</v>
      </c>
      <c r="I75" s="3">
        <v>5114.3668085782556</v>
      </c>
      <c r="J75" s="3">
        <v>4920.6971245719005</v>
      </c>
      <c r="K75" s="3">
        <v>1062.252424809591</v>
      </c>
      <c r="L75" s="3">
        <v>4696.2166695315827</v>
      </c>
      <c r="M75" s="3">
        <v>4351.0212701895161</v>
      </c>
      <c r="N75" s="3">
        <v>2033.3451591061266</v>
      </c>
      <c r="O75" s="3">
        <v>897.31443040282204</v>
      </c>
      <c r="P75" s="3">
        <v>3301.401482570358</v>
      </c>
      <c r="Q75">
        <f t="shared" ref="Q75:Q88" si="20">SUM(B75:P75)</f>
        <v>63921.82071683379</v>
      </c>
      <c r="R75">
        <f t="shared" ref="R75:R88" si="21">Q75/$Q$89</f>
        <v>3.2858523899880948E-2</v>
      </c>
    </row>
    <row r="76" spans="1:18" x14ac:dyDescent="0.5">
      <c r="A76" s="2" t="s">
        <v>6</v>
      </c>
      <c r="B76" s="3">
        <v>7654.8768900645473</v>
      </c>
      <c r="C76" s="3">
        <v>12737.846014406698</v>
      </c>
      <c r="D76" s="3">
        <v>6193.9426152137848</v>
      </c>
      <c r="E76" s="3">
        <v>12410.710370172745</v>
      </c>
      <c r="F76" s="3">
        <v>24320.864291770868</v>
      </c>
      <c r="G76" s="3">
        <v>28214.690262418429</v>
      </c>
      <c r="H76" s="3">
        <v>7172.3339180652702</v>
      </c>
      <c r="I76" s="3">
        <v>13393.77438054816</v>
      </c>
      <c r="J76" s="3">
        <v>12912.750220809374</v>
      </c>
      <c r="K76" s="3">
        <v>2788.6681999684301</v>
      </c>
      <c r="L76" s="3">
        <v>12322.325716068979</v>
      </c>
      <c r="M76" s="3">
        <v>11423.407548428222</v>
      </c>
      <c r="N76" s="3">
        <v>5317.0292353888162</v>
      </c>
      <c r="O76" s="3">
        <v>2345.326423777642</v>
      </c>
      <c r="P76" s="3">
        <v>8773.5207657585488</v>
      </c>
      <c r="Q76">
        <f t="shared" si="20"/>
        <v>167982.06685286053</v>
      </c>
      <c r="R76">
        <f t="shared" si="21"/>
        <v>8.6349898931813773E-2</v>
      </c>
    </row>
    <row r="77" spans="1:18" x14ac:dyDescent="0.5">
      <c r="A77" s="2" t="s">
        <v>7</v>
      </c>
      <c r="B77" s="3">
        <v>3035.1322536265816</v>
      </c>
      <c r="C77" s="3">
        <v>5084.0113880103645</v>
      </c>
      <c r="D77" s="3">
        <v>2432.2868937300432</v>
      </c>
      <c r="E77" s="3">
        <v>4980.9884982742005</v>
      </c>
      <c r="F77" s="3">
        <v>9743.3106836401221</v>
      </c>
      <c r="G77" s="3">
        <v>11291.833960176316</v>
      </c>
      <c r="H77" s="3">
        <v>2860.7244049284022</v>
      </c>
      <c r="I77" s="3">
        <v>5389.1037421298415</v>
      </c>
      <c r="J77" s="3">
        <v>5185.4830677629834</v>
      </c>
      <c r="K77" s="3">
        <v>1114.1639213566766</v>
      </c>
      <c r="L77" s="3">
        <v>4920.5552601222589</v>
      </c>
      <c r="M77" s="3">
        <v>4568.2453959577688</v>
      </c>
      <c r="N77" s="3">
        <v>2139.8152110851593</v>
      </c>
      <c r="O77" s="3">
        <v>945.71033581193808</v>
      </c>
      <c r="P77" s="3">
        <v>3455.7376988242031</v>
      </c>
      <c r="Q77">
        <f t="shared" si="20"/>
        <v>67147.102715436849</v>
      </c>
      <c r="R77">
        <f t="shared" si="21"/>
        <v>3.4516455486411073E-2</v>
      </c>
    </row>
    <row r="78" spans="1:18" x14ac:dyDescent="0.5">
      <c r="A78" s="2" t="s">
        <v>8</v>
      </c>
      <c r="B78" s="3">
        <v>1481.681827572123</v>
      </c>
      <c r="C78" s="3">
        <v>2474.2927848995491</v>
      </c>
      <c r="D78" s="3">
        <v>1186.6579956816829</v>
      </c>
      <c r="E78" s="3">
        <v>2425.0015378289963</v>
      </c>
      <c r="F78" s="3">
        <v>4751.216370833431</v>
      </c>
      <c r="G78" s="3">
        <v>5503.0729194206879</v>
      </c>
      <c r="H78" s="3">
        <v>1389.1075340692239</v>
      </c>
      <c r="I78" s="3">
        <v>2626.5047033734204</v>
      </c>
      <c r="J78" s="3">
        <v>2532.6568993317032</v>
      </c>
      <c r="K78" s="3">
        <v>542.39469555099026</v>
      </c>
      <c r="L78" s="3">
        <v>2396.4943427646022</v>
      </c>
      <c r="M78" s="3">
        <v>2226.4988636655926</v>
      </c>
      <c r="N78" s="3">
        <v>1042.97006960413</v>
      </c>
      <c r="O78" s="3">
        <v>461.76681937744644</v>
      </c>
      <c r="P78" s="3">
        <v>1687.9297681310679</v>
      </c>
      <c r="Q78">
        <f t="shared" si="20"/>
        <v>32728.247132104643</v>
      </c>
      <c r="R78">
        <f t="shared" si="21"/>
        <v>1.6823705559880334E-2</v>
      </c>
    </row>
    <row r="79" spans="1:18" x14ac:dyDescent="0.5">
      <c r="A79" s="2" t="s">
        <v>9</v>
      </c>
      <c r="B79" s="3">
        <v>1236.7807462951241</v>
      </c>
      <c r="C79" s="3">
        <v>2064.5150104260911</v>
      </c>
      <c r="D79" s="3">
        <v>991.69842995207421</v>
      </c>
      <c r="E79" s="3">
        <v>2021.9202871610137</v>
      </c>
      <c r="F79" s="3">
        <v>3963.4962545944522</v>
      </c>
      <c r="G79" s="3">
        <v>4594.2755714579871</v>
      </c>
      <c r="H79" s="3">
        <v>1159.0879453590287</v>
      </c>
      <c r="I79" s="3">
        <v>2190.1590409033329</v>
      </c>
      <c r="J79" s="3">
        <v>2113.7546075882406</v>
      </c>
      <c r="K79" s="3">
        <v>453.38650823119417</v>
      </c>
      <c r="L79" s="3">
        <v>2000.7732892623681</v>
      </c>
      <c r="M79" s="3">
        <v>1857.7658745968188</v>
      </c>
      <c r="N79" s="3">
        <v>869.99667328622127</v>
      </c>
      <c r="O79" s="3">
        <v>385.25367630567723</v>
      </c>
      <c r="P79" s="3">
        <v>1410.4078494615187</v>
      </c>
      <c r="Q79">
        <f t="shared" si="20"/>
        <v>27313.271764881145</v>
      </c>
      <c r="R79">
        <f t="shared" si="21"/>
        <v>1.4040178815400062E-2</v>
      </c>
    </row>
    <row r="80" spans="1:18" x14ac:dyDescent="0.5">
      <c r="A80" s="2" t="s">
        <v>10</v>
      </c>
      <c r="B80" s="3">
        <v>6713.2571535584311</v>
      </c>
      <c r="C80" s="3">
        <v>11275.389596953733</v>
      </c>
      <c r="D80" s="3">
        <v>5426.4263770707175</v>
      </c>
      <c r="E80" s="3">
        <v>10933.769624548417</v>
      </c>
      <c r="F80" s="3">
        <v>21334.146753932</v>
      </c>
      <c r="G80" s="3">
        <v>24818.336680521606</v>
      </c>
      <c r="H80" s="3">
        <v>6394.1124678311799</v>
      </c>
      <c r="I80" s="3">
        <v>11761.248214779371</v>
      </c>
      <c r="J80" s="3">
        <v>11282.541485680958</v>
      </c>
      <c r="K80" s="3">
        <v>2470.4206755238015</v>
      </c>
      <c r="L80" s="3">
        <v>10882.95698058905</v>
      </c>
      <c r="M80" s="3">
        <v>10040.445127703431</v>
      </c>
      <c r="N80" s="3">
        <v>4681.8270586286535</v>
      </c>
      <c r="O80" s="3">
        <v>2054.6352406711967</v>
      </c>
      <c r="P80" s="3">
        <v>7636.2746100122586</v>
      </c>
      <c r="Q80">
        <f t="shared" si="20"/>
        <v>147705.78804800482</v>
      </c>
      <c r="R80">
        <f t="shared" si="21"/>
        <v>7.5927032620458149E-2</v>
      </c>
    </row>
    <row r="81" spans="1:18" x14ac:dyDescent="0.5">
      <c r="A81" s="2" t="s">
        <v>11</v>
      </c>
      <c r="B81" s="3">
        <v>2789.8797483212529</v>
      </c>
      <c r="C81" s="3">
        <v>4669.8460840099187</v>
      </c>
      <c r="D81" s="3">
        <v>2241.3372225411581</v>
      </c>
      <c r="E81" s="3">
        <v>4576.0375437563544</v>
      </c>
      <c r="F81" s="3">
        <v>8960.4390149223946</v>
      </c>
      <c r="G81" s="3">
        <v>10384.963882417409</v>
      </c>
      <c r="H81" s="3">
        <v>2621.0751246238301</v>
      </c>
      <c r="I81" s="3">
        <v>4961.5086485558477</v>
      </c>
      <c r="J81" s="3">
        <v>4778.5350930868071</v>
      </c>
      <c r="K81" s="3">
        <v>1023.1705136641269</v>
      </c>
      <c r="L81" s="3">
        <v>4525.2738452897238</v>
      </c>
      <c r="M81" s="3">
        <v>4206.410348209296</v>
      </c>
      <c r="N81" s="3">
        <v>1967.1768911975932</v>
      </c>
      <c r="O81" s="3">
        <v>870.34110408830657</v>
      </c>
      <c r="P81" s="3">
        <v>3195.347822325537</v>
      </c>
      <c r="Q81">
        <f t="shared" si="20"/>
        <v>61771.342887009559</v>
      </c>
      <c r="R81">
        <f t="shared" si="21"/>
        <v>3.1753087190240496E-2</v>
      </c>
    </row>
    <row r="82" spans="1:18" x14ac:dyDescent="0.5">
      <c r="A82" s="2" t="s">
        <v>12</v>
      </c>
      <c r="B82" s="3">
        <v>3163.2084309892139</v>
      </c>
      <c r="C82" s="3">
        <v>5253.9221893384201</v>
      </c>
      <c r="D82" s="3">
        <v>2533.5414422711069</v>
      </c>
      <c r="E82" s="3">
        <v>5145.60803328982</v>
      </c>
      <c r="F82" s="3">
        <v>10111.923153073303</v>
      </c>
      <c r="G82" s="3">
        <v>11722.521372858835</v>
      </c>
      <c r="H82" s="3">
        <v>2949.1811933456497</v>
      </c>
      <c r="I82" s="3">
        <v>5583.5862679745969</v>
      </c>
      <c r="J82" s="3">
        <v>5413.4139419741614</v>
      </c>
      <c r="K82" s="3">
        <v>1158.3339479064323</v>
      </c>
      <c r="L82" s="3">
        <v>5104.881644044488</v>
      </c>
      <c r="M82" s="3">
        <v>4734.7957408268103</v>
      </c>
      <c r="N82" s="3">
        <v>2220.1044922805218</v>
      </c>
      <c r="O82" s="3">
        <v>986.80141246916969</v>
      </c>
      <c r="P82" s="3">
        <v>3599.0387319556849</v>
      </c>
      <c r="Q82">
        <f t="shared" si="20"/>
        <v>69680.861994598221</v>
      </c>
      <c r="R82">
        <f t="shared" si="21"/>
        <v>3.5818915098750369E-2</v>
      </c>
    </row>
    <row r="83" spans="1:18" x14ac:dyDescent="0.5">
      <c r="A83" s="2" t="s">
        <v>13</v>
      </c>
      <c r="B83" s="3">
        <v>15406.040915361904</v>
      </c>
      <c r="C83" s="3">
        <v>25633.518132901438</v>
      </c>
      <c r="D83" s="3">
        <v>12346.037525295122</v>
      </c>
      <c r="E83" s="3">
        <v>24970.798680189178</v>
      </c>
      <c r="F83" s="3">
        <v>48908.655625731</v>
      </c>
      <c r="G83" s="3">
        <v>56824.967820967067</v>
      </c>
      <c r="H83" s="3">
        <v>14490.47390169233</v>
      </c>
      <c r="I83" s="3">
        <v>26935.233599550709</v>
      </c>
      <c r="J83" s="3">
        <v>26016.939163969473</v>
      </c>
      <c r="K83" s="3">
        <v>5653.7345076249903</v>
      </c>
      <c r="L83" s="3">
        <v>24825.80898994577</v>
      </c>
      <c r="M83" s="3">
        <v>22940.092334013727</v>
      </c>
      <c r="N83" s="3">
        <v>10746.052619890455</v>
      </c>
      <c r="O83" s="3">
        <v>4744.9650951609301</v>
      </c>
      <c r="P83" s="3">
        <v>17422.482776889374</v>
      </c>
      <c r="Q83">
        <f t="shared" si="20"/>
        <v>337865.80168918357</v>
      </c>
      <c r="R83">
        <f t="shared" si="21"/>
        <v>0.17367733577139532</v>
      </c>
    </row>
    <row r="84" spans="1:18" x14ac:dyDescent="0.5">
      <c r="A84" s="2" t="s">
        <v>14</v>
      </c>
      <c r="B84" s="3">
        <v>2884.6568344779539</v>
      </c>
      <c r="C84" s="3">
        <v>4829.7572917843854</v>
      </c>
      <c r="D84" s="3">
        <v>2318.068008999529</v>
      </c>
      <c r="E84" s="3">
        <v>4709.8524566012393</v>
      </c>
      <c r="F84" s="3">
        <v>9218.9216911055992</v>
      </c>
      <c r="G84" s="3">
        <v>10702.022640173724</v>
      </c>
      <c r="H84" s="3">
        <v>2722.5708427421723</v>
      </c>
      <c r="I84" s="3">
        <v>5097.5935146089487</v>
      </c>
      <c r="J84" s="3">
        <v>4912.6181808106321</v>
      </c>
      <c r="K84" s="3">
        <v>1059.6591533162555</v>
      </c>
      <c r="L84" s="3">
        <v>4679.2093352170259</v>
      </c>
      <c r="M84" s="3">
        <v>4332.7793148165865</v>
      </c>
      <c r="N84" s="3">
        <v>2027.3727083072345</v>
      </c>
      <c r="O84" s="3">
        <v>896.27973498290464</v>
      </c>
      <c r="P84" s="3">
        <v>3281.9055867870238</v>
      </c>
      <c r="Q84">
        <f t="shared" si="20"/>
        <v>63673.267294731224</v>
      </c>
      <c r="R84">
        <f t="shared" si="21"/>
        <v>3.273075691094092E-2</v>
      </c>
    </row>
    <row r="85" spans="1:18" x14ac:dyDescent="0.5">
      <c r="A85" s="2" t="s">
        <v>15</v>
      </c>
      <c r="B85" s="3">
        <v>3204.2217379914719</v>
      </c>
      <c r="C85" s="3">
        <v>5350.7650594809957</v>
      </c>
      <c r="D85" s="3">
        <v>2563.1718117444061</v>
      </c>
      <c r="E85" s="3">
        <v>5237.3656110179709</v>
      </c>
      <c r="F85" s="3">
        <v>10243.083561306797</v>
      </c>
      <c r="G85" s="3">
        <v>11866.187443489067</v>
      </c>
      <c r="H85" s="3">
        <v>3006.6389128617625</v>
      </c>
      <c r="I85" s="3">
        <v>5669.2447059120495</v>
      </c>
      <c r="J85" s="3">
        <v>5450.2622799992068</v>
      </c>
      <c r="K85" s="3">
        <v>1169.1043775246908</v>
      </c>
      <c r="L85" s="3">
        <v>5177.3360194516899</v>
      </c>
      <c r="M85" s="3">
        <v>4818.7680492514655</v>
      </c>
      <c r="N85" s="3">
        <v>2252.157356447814</v>
      </c>
      <c r="O85" s="3">
        <v>994.53740215281653</v>
      </c>
      <c r="P85" s="3">
        <v>3655.1311197784526</v>
      </c>
      <c r="Q85">
        <f t="shared" si="20"/>
        <v>70657.975448410652</v>
      </c>
      <c r="R85">
        <f t="shared" si="21"/>
        <v>3.632119280947483E-2</v>
      </c>
    </row>
    <row r="86" spans="1:18" x14ac:dyDescent="0.5">
      <c r="A86" s="2" t="s">
        <v>16</v>
      </c>
      <c r="B86" s="3">
        <v>7454.8241323163193</v>
      </c>
      <c r="C86" s="3">
        <v>12388.723675273966</v>
      </c>
      <c r="D86" s="3">
        <v>5879.6196295041691</v>
      </c>
      <c r="E86" s="3">
        <v>12133.020438952668</v>
      </c>
      <c r="F86" s="3">
        <v>23718.680011495853</v>
      </c>
      <c r="G86" s="3">
        <v>27478.309767227329</v>
      </c>
      <c r="H86" s="3">
        <v>6986.9934971736775</v>
      </c>
      <c r="I86" s="3">
        <v>13119.154822389537</v>
      </c>
      <c r="J86" s="3">
        <v>12637.05226043806</v>
      </c>
      <c r="K86" s="3">
        <v>2720.1479361528195</v>
      </c>
      <c r="L86" s="3">
        <v>11992.212260448818</v>
      </c>
      <c r="M86" s="3">
        <v>11146.445811353045</v>
      </c>
      <c r="N86" s="3">
        <v>5244.2479519748995</v>
      </c>
      <c r="O86" s="3">
        <v>2318.4182461882101</v>
      </c>
      <c r="P86" s="3">
        <v>8356.8685197192517</v>
      </c>
      <c r="Q86">
        <f t="shared" si="20"/>
        <v>163574.71896060859</v>
      </c>
      <c r="R86">
        <f t="shared" si="21"/>
        <v>8.4084335397661927E-2</v>
      </c>
    </row>
    <row r="87" spans="1:18" x14ac:dyDescent="0.5">
      <c r="A87" s="2" t="s">
        <v>17</v>
      </c>
      <c r="B87" s="3">
        <v>18603.345263028037</v>
      </c>
      <c r="C87" s="3">
        <v>30846.852852606455</v>
      </c>
      <c r="D87" s="3">
        <v>14713.531734497885</v>
      </c>
      <c r="E87" s="3">
        <v>30193.047922368081</v>
      </c>
      <c r="F87" s="3">
        <v>59168.582888899044</v>
      </c>
      <c r="G87" s="3">
        <v>68585.438734722178</v>
      </c>
      <c r="H87" s="3">
        <v>17416.572166111295</v>
      </c>
      <c r="I87" s="3">
        <v>32662.782848995081</v>
      </c>
      <c r="J87" s="3">
        <v>31595.515643700128</v>
      </c>
      <c r="K87" s="3">
        <v>6800.5416391537447</v>
      </c>
      <c r="L87" s="3">
        <v>29916.729210001155</v>
      </c>
      <c r="M87" s="3">
        <v>27730.120804208167</v>
      </c>
      <c r="N87" s="3">
        <v>13061.785328535689</v>
      </c>
      <c r="O87" s="3">
        <v>5794.9964364477537</v>
      </c>
      <c r="P87" s="3">
        <v>20801.834324677249</v>
      </c>
      <c r="Q87">
        <f t="shared" si="20"/>
        <v>407891.67779795197</v>
      </c>
      <c r="R87">
        <f t="shared" si="21"/>
        <v>0.20967360274137095</v>
      </c>
    </row>
    <row r="88" spans="1:18" x14ac:dyDescent="0.5">
      <c r="A88" s="2" t="s">
        <v>18</v>
      </c>
      <c r="B88" s="3">
        <v>5877.5193682156123</v>
      </c>
      <c r="C88" s="3">
        <v>9811.5205953054829</v>
      </c>
      <c r="D88" s="3">
        <v>4752.4807364769977</v>
      </c>
      <c r="E88" s="3">
        <v>9626.7316727079342</v>
      </c>
      <c r="F88" s="3">
        <v>18893.206237894556</v>
      </c>
      <c r="G88" s="3">
        <v>21878.924725237684</v>
      </c>
      <c r="H88" s="3">
        <v>5466.6056406369935</v>
      </c>
      <c r="I88" s="3">
        <v>10457.943893551112</v>
      </c>
      <c r="J88" s="3">
        <v>10079.6525136092</v>
      </c>
      <c r="K88" s="3">
        <v>2143.3349830072407</v>
      </c>
      <c r="L88" s="3">
        <v>9511.1818882050629</v>
      </c>
      <c r="M88" s="3">
        <v>8880.7172948404223</v>
      </c>
      <c r="N88" s="3">
        <v>4131.8094665984036</v>
      </c>
      <c r="O88" s="3">
        <v>1829.2152130352188</v>
      </c>
      <c r="P88" s="3">
        <v>6829.2417162525808</v>
      </c>
      <c r="Q88">
        <f t="shared" si="20"/>
        <v>130170.08594557449</v>
      </c>
      <c r="R88">
        <f t="shared" si="21"/>
        <v>6.6912938838830954E-2</v>
      </c>
    </row>
    <row r="89" spans="1:18" x14ac:dyDescent="0.5">
      <c r="A89" s="115" t="s">
        <v>67</v>
      </c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>
        <f>SUM(Q74:Q88)</f>
        <v>1945364.9504037942</v>
      </c>
      <c r="R89">
        <f>SUM(R74:R88)</f>
        <v>0.99999999999999989</v>
      </c>
    </row>
    <row r="91" spans="1:18" x14ac:dyDescent="0.5">
      <c r="A91" s="72" t="s">
        <v>83</v>
      </c>
      <c r="B91" s="72"/>
      <c r="C91" s="72"/>
      <c r="D91" s="72"/>
      <c r="E91" s="72"/>
      <c r="F91" s="72"/>
      <c r="G91" s="72"/>
      <c r="H91" s="72"/>
    </row>
    <row r="92" spans="1:18" x14ac:dyDescent="0.5">
      <c r="A92" s="63" t="s">
        <v>20</v>
      </c>
      <c r="B92" s="73" t="s">
        <v>70</v>
      </c>
      <c r="C92" s="72"/>
      <c r="D92" s="76" t="s">
        <v>85</v>
      </c>
      <c r="E92" s="76"/>
      <c r="F92" s="76"/>
      <c r="G92" s="76"/>
      <c r="H92" s="76"/>
    </row>
    <row r="93" spans="1:18" x14ac:dyDescent="0.5">
      <c r="A93" s="2" t="s">
        <v>4</v>
      </c>
      <c r="B93" s="73">
        <f>R54-R74</f>
        <v>1.0646699484340716E-3</v>
      </c>
      <c r="C93" s="72"/>
      <c r="D93" s="77" t="s">
        <v>86</v>
      </c>
      <c r="E93" s="77"/>
      <c r="F93" s="77"/>
      <c r="G93" s="77"/>
      <c r="H93" s="77"/>
    </row>
    <row r="94" spans="1:18" x14ac:dyDescent="0.5">
      <c r="A94" s="2" t="s">
        <v>5</v>
      </c>
      <c r="B94" s="73">
        <f t="shared" ref="B94:B107" si="22">R55-R75</f>
        <v>-1.3524910690504433E-4</v>
      </c>
      <c r="C94" s="72"/>
      <c r="D94" s="77"/>
      <c r="E94" s="77"/>
      <c r="F94" s="77"/>
      <c r="G94" s="77"/>
      <c r="H94" s="77"/>
    </row>
    <row r="95" spans="1:18" x14ac:dyDescent="0.5">
      <c r="A95" s="2" t="s">
        <v>6</v>
      </c>
      <c r="B95" s="73">
        <f t="shared" si="22"/>
        <v>1.0051541998415403E-3</v>
      </c>
      <c r="C95" s="72"/>
      <c r="D95" s="77"/>
      <c r="E95" s="77"/>
      <c r="F95" s="77"/>
      <c r="G95" s="77"/>
      <c r="H95" s="77"/>
    </row>
    <row r="96" spans="1:18" x14ac:dyDescent="0.5">
      <c r="A96" s="2" t="s">
        <v>7</v>
      </c>
      <c r="B96" s="73">
        <f t="shared" si="22"/>
        <v>-1.0034887578993582E-3</v>
      </c>
      <c r="C96" s="72"/>
      <c r="D96" s="77"/>
      <c r="E96" s="77"/>
      <c r="F96" s="77"/>
      <c r="G96" s="77"/>
      <c r="H96" s="77"/>
    </row>
    <row r="97" spans="1:8" x14ac:dyDescent="0.5">
      <c r="A97" s="2" t="s">
        <v>8</v>
      </c>
      <c r="B97" s="73">
        <f t="shared" si="22"/>
        <v>-5.3030118534743223E-4</v>
      </c>
      <c r="C97" s="72"/>
      <c r="D97" s="72"/>
      <c r="E97" s="72"/>
      <c r="F97" s="72"/>
      <c r="G97" s="72"/>
      <c r="H97" s="72"/>
    </row>
    <row r="98" spans="1:8" x14ac:dyDescent="0.5">
      <c r="A98" s="2" t="s">
        <v>9</v>
      </c>
      <c r="B98" s="73">
        <f t="shared" si="22"/>
        <v>-3.3321955308907893E-4</v>
      </c>
      <c r="D98" s="72"/>
      <c r="E98" s="72"/>
      <c r="F98" s="72"/>
      <c r="G98" s="72"/>
      <c r="H98" s="72"/>
    </row>
    <row r="99" spans="1:8" x14ac:dyDescent="0.5">
      <c r="A99" s="2" t="s">
        <v>10</v>
      </c>
      <c r="B99" s="73">
        <f t="shared" si="22"/>
        <v>7.1236226903033384E-4</v>
      </c>
      <c r="D99" s="72"/>
      <c r="E99" s="72"/>
      <c r="F99" s="72"/>
      <c r="G99" s="72"/>
      <c r="H99" s="72"/>
    </row>
    <row r="100" spans="1:8" x14ac:dyDescent="0.5">
      <c r="A100" s="2" t="s">
        <v>11</v>
      </c>
      <c r="B100" s="73">
        <f t="shared" si="22"/>
        <v>-5.8802164205300905E-4</v>
      </c>
      <c r="D100" s="72"/>
      <c r="E100" s="72"/>
      <c r="F100" s="72"/>
      <c r="G100" s="72"/>
      <c r="H100" s="72"/>
    </row>
    <row r="101" spans="1:8" x14ac:dyDescent="0.5">
      <c r="A101" s="2" t="s">
        <v>12</v>
      </c>
      <c r="B101" s="73">
        <f t="shared" si="22"/>
        <v>-1.9937310447491058E-4</v>
      </c>
      <c r="D101" s="72"/>
      <c r="E101" s="72"/>
      <c r="F101" s="72"/>
      <c r="G101" s="72"/>
      <c r="H101" s="72"/>
    </row>
    <row r="102" spans="1:8" x14ac:dyDescent="0.5">
      <c r="A102" s="2" t="s">
        <v>13</v>
      </c>
      <c r="B102" s="73">
        <f t="shared" si="22"/>
        <v>2.1530664589409221E-3</v>
      </c>
      <c r="D102" s="72"/>
      <c r="E102" s="72"/>
      <c r="F102" s="72"/>
      <c r="G102" s="72"/>
      <c r="H102" s="72"/>
    </row>
    <row r="103" spans="1:8" x14ac:dyDescent="0.5">
      <c r="A103" s="2" t="s">
        <v>14</v>
      </c>
      <c r="B103" s="73">
        <f t="shared" si="22"/>
        <v>-9.8809905648145069E-6</v>
      </c>
    </row>
    <row r="104" spans="1:8" x14ac:dyDescent="0.5">
      <c r="A104" s="2" t="s">
        <v>15</v>
      </c>
      <c r="B104" s="73">
        <f t="shared" si="22"/>
        <v>-3.9303847750898208E-4</v>
      </c>
    </row>
    <row r="105" spans="1:8" x14ac:dyDescent="0.5">
      <c r="A105" s="2" t="s">
        <v>16</v>
      </c>
      <c r="B105" s="73">
        <f t="shared" si="22"/>
        <v>-3.478835691622939E-4</v>
      </c>
    </row>
    <row r="106" spans="1:8" x14ac:dyDescent="0.5">
      <c r="A106" s="2" t="s">
        <v>17</v>
      </c>
      <c r="B106" s="73">
        <f t="shared" si="22"/>
        <v>-2.6216592396333116E-4</v>
      </c>
    </row>
    <row r="107" spans="1:8" x14ac:dyDescent="0.5">
      <c r="A107" s="2" t="s">
        <v>18</v>
      </c>
      <c r="B107" s="73">
        <f t="shared" si="22"/>
        <v>-1.1326305652784446E-3</v>
      </c>
    </row>
    <row r="109" spans="1:8" x14ac:dyDescent="0.5">
      <c r="A109" s="63" t="s">
        <v>20</v>
      </c>
      <c r="B109" s="73" t="s">
        <v>88</v>
      </c>
      <c r="C109" s="73" t="s">
        <v>89</v>
      </c>
    </row>
    <row r="110" spans="1:8" x14ac:dyDescent="0.5">
      <c r="A110" s="2" t="s">
        <v>4</v>
      </c>
      <c r="B110" s="73">
        <f>_xlfn.RANK.EQ(C110,$C$110:$C$124,0)</f>
        <v>6</v>
      </c>
      <c r="C110" s="74">
        <f>R74</f>
        <v>6.851203992748979E-2</v>
      </c>
    </row>
    <row r="111" spans="1:8" x14ac:dyDescent="0.5">
      <c r="A111" s="2" t="s">
        <v>5</v>
      </c>
      <c r="B111" s="73">
        <f t="shared" ref="B111:B124" si="23">_xlfn.RANK.EQ(C111,$C$110:$C$124,0)</f>
        <v>11</v>
      </c>
      <c r="C111" s="74">
        <f t="shared" ref="C111:C124" si="24">R75</f>
        <v>3.2858523899880948E-2</v>
      </c>
    </row>
    <row r="112" spans="1:8" x14ac:dyDescent="0.5">
      <c r="A112" s="2" t="s">
        <v>6</v>
      </c>
      <c r="B112" s="73">
        <f t="shared" si="23"/>
        <v>3</v>
      </c>
      <c r="C112" s="74">
        <f t="shared" si="24"/>
        <v>8.6349898931813773E-2</v>
      </c>
    </row>
    <row r="113" spans="1:3" x14ac:dyDescent="0.5">
      <c r="A113" s="2" t="s">
        <v>7</v>
      </c>
      <c r="B113" s="73">
        <f t="shared" si="23"/>
        <v>10</v>
      </c>
      <c r="C113" s="74">
        <f t="shared" si="24"/>
        <v>3.4516455486411073E-2</v>
      </c>
    </row>
    <row r="114" spans="1:3" x14ac:dyDescent="0.5">
      <c r="A114" s="2" t="s">
        <v>8</v>
      </c>
      <c r="B114" s="73">
        <f t="shared" si="23"/>
        <v>14</v>
      </c>
      <c r="C114" s="74">
        <f t="shared" si="24"/>
        <v>1.6823705559880334E-2</v>
      </c>
    </row>
    <row r="115" spans="1:3" x14ac:dyDescent="0.5">
      <c r="A115" s="2" t="s">
        <v>9</v>
      </c>
      <c r="B115" s="73">
        <f t="shared" si="23"/>
        <v>15</v>
      </c>
      <c r="C115" s="74">
        <f t="shared" si="24"/>
        <v>1.4040178815400062E-2</v>
      </c>
    </row>
    <row r="116" spans="1:3" x14ac:dyDescent="0.5">
      <c r="A116" s="2" t="s">
        <v>10</v>
      </c>
      <c r="B116" s="73">
        <f t="shared" si="23"/>
        <v>5</v>
      </c>
      <c r="C116" s="74">
        <f t="shared" si="24"/>
        <v>7.5927032620458149E-2</v>
      </c>
    </row>
    <row r="117" spans="1:3" x14ac:dyDescent="0.5">
      <c r="A117" s="2" t="s">
        <v>11</v>
      </c>
      <c r="B117" s="73">
        <f t="shared" si="23"/>
        <v>13</v>
      </c>
      <c r="C117" s="74">
        <f t="shared" si="24"/>
        <v>3.1753087190240496E-2</v>
      </c>
    </row>
    <row r="118" spans="1:3" x14ac:dyDescent="0.5">
      <c r="A118" s="2" t="s">
        <v>12</v>
      </c>
      <c r="B118" s="73">
        <f t="shared" si="23"/>
        <v>9</v>
      </c>
      <c r="C118" s="74">
        <f t="shared" si="24"/>
        <v>3.5818915098750369E-2</v>
      </c>
    </row>
    <row r="119" spans="1:3" x14ac:dyDescent="0.5">
      <c r="A119" s="2" t="s">
        <v>13</v>
      </c>
      <c r="B119" s="73">
        <f t="shared" si="23"/>
        <v>2</v>
      </c>
      <c r="C119" s="74">
        <f t="shared" si="24"/>
        <v>0.17367733577139532</v>
      </c>
    </row>
    <row r="120" spans="1:3" x14ac:dyDescent="0.5">
      <c r="A120" s="2" t="s">
        <v>14</v>
      </c>
      <c r="B120" s="73">
        <f t="shared" si="23"/>
        <v>12</v>
      </c>
      <c r="C120" s="74">
        <f t="shared" si="24"/>
        <v>3.273075691094092E-2</v>
      </c>
    </row>
    <row r="121" spans="1:3" x14ac:dyDescent="0.5">
      <c r="A121" s="2" t="s">
        <v>15</v>
      </c>
      <c r="B121" s="73">
        <f t="shared" si="23"/>
        <v>8</v>
      </c>
      <c r="C121" s="74">
        <f t="shared" si="24"/>
        <v>3.632119280947483E-2</v>
      </c>
    </row>
    <row r="122" spans="1:3" x14ac:dyDescent="0.5">
      <c r="A122" s="2" t="s">
        <v>16</v>
      </c>
      <c r="B122" s="73">
        <f t="shared" si="23"/>
        <v>4</v>
      </c>
      <c r="C122" s="74">
        <f t="shared" si="24"/>
        <v>8.4084335397661927E-2</v>
      </c>
    </row>
    <row r="123" spans="1:3" x14ac:dyDescent="0.5">
      <c r="A123" s="2" t="s">
        <v>17</v>
      </c>
      <c r="B123" s="73">
        <f t="shared" si="23"/>
        <v>1</v>
      </c>
      <c r="C123" s="74">
        <f t="shared" si="24"/>
        <v>0.20967360274137095</v>
      </c>
    </row>
    <row r="124" spans="1:3" x14ac:dyDescent="0.5">
      <c r="A124" s="2" t="s">
        <v>18</v>
      </c>
      <c r="B124" s="73">
        <f t="shared" si="23"/>
        <v>7</v>
      </c>
      <c r="C124" s="74">
        <f t="shared" si="24"/>
        <v>6.6912938838830954E-2</v>
      </c>
    </row>
  </sheetData>
  <mergeCells count="6">
    <mergeCell ref="D93:H96"/>
    <mergeCell ref="C40:C44"/>
    <mergeCell ref="A47:P47"/>
    <mergeCell ref="A69:P69"/>
    <mergeCell ref="A89:P89"/>
    <mergeCell ref="D92:H9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3CCA-42A9-3B43-958A-E41E49C301EB}">
  <dimension ref="B1:AK329"/>
  <sheetViews>
    <sheetView tabSelected="1" zoomScale="85" zoomScaleNormal="60" workbookViewId="0">
      <selection activeCell="V87" sqref="V87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38.1875" bestFit="1" customWidth="1"/>
    <col min="23" max="24" width="26.6875" bestFit="1" customWidth="1"/>
    <col min="25" max="26" width="27.3125" bestFit="1" customWidth="1"/>
    <col min="27" max="29" width="19.6875" bestFit="1" customWidth="1"/>
    <col min="30" max="31" width="15.3125" bestFit="1" customWidth="1"/>
    <col min="32" max="32" width="22.6875" bestFit="1" customWidth="1"/>
    <col min="33" max="33" width="19.3125" bestFit="1" customWidth="1"/>
    <col min="34" max="34" width="23.1875" bestFit="1" customWidth="1"/>
    <col min="35" max="36" width="17.5" bestFit="1" customWidth="1"/>
    <col min="37" max="37" width="18.6875" bestFit="1" customWidth="1"/>
  </cols>
  <sheetData>
    <row r="1" spans="2:37" x14ac:dyDescent="0.5">
      <c r="B1" s="90" t="s">
        <v>21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2:37" x14ac:dyDescent="0.5">
      <c r="B2" s="85" t="s">
        <v>22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93"/>
    </row>
    <row r="3" spans="2:37" x14ac:dyDescent="0.5">
      <c r="B3" s="94" t="s">
        <v>1</v>
      </c>
      <c r="C3" s="90" t="s">
        <v>2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6"/>
      <c r="T3" s="94" t="s">
        <v>3</v>
      </c>
    </row>
    <row r="4" spans="2:37" x14ac:dyDescent="0.5">
      <c r="B4" s="95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5"/>
    </row>
    <row r="5" spans="2:37" x14ac:dyDescent="0.5">
      <c r="B5" s="16" t="s">
        <v>4</v>
      </c>
      <c r="C5" s="4">
        <v>9</v>
      </c>
      <c r="D5" s="5">
        <v>8</v>
      </c>
      <c r="E5" s="5">
        <v>7</v>
      </c>
      <c r="F5" s="120">
        <v>6</v>
      </c>
      <c r="G5" s="5">
        <v>5</v>
      </c>
      <c r="H5" s="5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122">
        <v>6</v>
      </c>
      <c r="Q5" s="5">
        <v>7</v>
      </c>
      <c r="R5" s="5">
        <v>8</v>
      </c>
      <c r="S5" s="7">
        <v>9</v>
      </c>
      <c r="T5" s="7" t="s">
        <v>5</v>
      </c>
      <c r="V5" s="63" t="s">
        <v>21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56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2" t="s">
        <v>4</v>
      </c>
      <c r="W6" s="3">
        <v>1</v>
      </c>
      <c r="X6" s="3">
        <v>6</v>
      </c>
      <c r="Y6" s="3">
        <f>1/4</f>
        <v>0.25</v>
      </c>
      <c r="Z6" s="3">
        <v>2</v>
      </c>
      <c r="AA6" s="3">
        <f>1/2</f>
        <v>0.5</v>
      </c>
      <c r="AB6" s="3">
        <v>2</v>
      </c>
      <c r="AC6" s="3">
        <v>2</v>
      </c>
      <c r="AD6" s="3">
        <v>5</v>
      </c>
      <c r="AE6" s="3">
        <f>1/6</f>
        <v>0.16666666666666666</v>
      </c>
      <c r="AF6" s="3">
        <v>1</v>
      </c>
      <c r="AG6" s="3">
        <f>1/2</f>
        <v>0.5</v>
      </c>
      <c r="AH6" s="3">
        <v>1</v>
      </c>
      <c r="AI6" s="3">
        <v>1</v>
      </c>
      <c r="AJ6" s="3">
        <f>1/3</f>
        <v>0.33333333333333331</v>
      </c>
      <c r="AK6" s="3">
        <f>1/6</f>
        <v>0.16666666666666666</v>
      </c>
    </row>
    <row r="7" spans="2:37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">
        <v>3</v>
      </c>
      <c r="J7" s="56">
        <v>2</v>
      </c>
      <c r="K7" s="18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2" t="s">
        <v>5</v>
      </c>
      <c r="W7" s="3">
        <f>1/X6</f>
        <v>0.16666666666666666</v>
      </c>
      <c r="X7" s="3">
        <v>1</v>
      </c>
      <c r="Y7" s="3">
        <f>1</f>
        <v>1</v>
      </c>
      <c r="Z7" s="3">
        <f>1/6</f>
        <v>0.16666666666666666</v>
      </c>
      <c r="AA7" s="3">
        <f>1/9</f>
        <v>0.1111111111111111</v>
      </c>
      <c r="AB7" s="3">
        <f>1/9</f>
        <v>0.1111111111111111</v>
      </c>
      <c r="AC7" s="3">
        <v>8</v>
      </c>
      <c r="AD7" s="3">
        <f>1/3</f>
        <v>0.33333333333333331</v>
      </c>
      <c r="AE7" s="3">
        <f>1/9</f>
        <v>0.1111111111111111</v>
      </c>
      <c r="AF7" s="3">
        <f>1/3</f>
        <v>0.33333333333333331</v>
      </c>
      <c r="AG7" s="3">
        <f>1/8</f>
        <v>0.125</v>
      </c>
      <c r="AH7" s="3">
        <f>1/4</f>
        <v>0.25</v>
      </c>
      <c r="AI7" s="3">
        <f>1/3</f>
        <v>0.33333333333333331</v>
      </c>
      <c r="AJ7" s="3">
        <f>1/2</f>
        <v>0.5</v>
      </c>
      <c r="AK7" s="3">
        <f>1/9</f>
        <v>0.1111111111111111</v>
      </c>
    </row>
    <row r="8" spans="2:37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8">
        <v>3</v>
      </c>
      <c r="J8" s="1">
        <v>2</v>
      </c>
      <c r="K8" s="1">
        <v>1</v>
      </c>
      <c r="L8" s="56">
        <v>2</v>
      </c>
      <c r="M8" s="1">
        <v>3</v>
      </c>
      <c r="N8" s="1">
        <v>4</v>
      </c>
      <c r="O8" s="18">
        <v>5</v>
      </c>
      <c r="P8" s="1">
        <v>6</v>
      </c>
      <c r="Q8" s="1">
        <v>7</v>
      </c>
      <c r="R8" s="1">
        <v>8</v>
      </c>
      <c r="S8" s="123">
        <v>9</v>
      </c>
      <c r="T8" s="12" t="s">
        <v>8</v>
      </c>
      <c r="V8" s="2" t="s">
        <v>6</v>
      </c>
      <c r="W8" s="3">
        <f>1/Y6</f>
        <v>4</v>
      </c>
      <c r="X8" s="3">
        <f>1/Y7</f>
        <v>1</v>
      </c>
      <c r="Y8" s="3">
        <v>1</v>
      </c>
      <c r="Z8" s="3">
        <f>3</f>
        <v>3</v>
      </c>
      <c r="AA8" s="3">
        <f>1/9</f>
        <v>0.1111111111111111</v>
      </c>
      <c r="AB8" s="3">
        <f>1/4</f>
        <v>0.25</v>
      </c>
      <c r="AC8" s="3">
        <v>3</v>
      </c>
      <c r="AD8" s="3">
        <v>2</v>
      </c>
      <c r="AE8" s="3">
        <f>1/9</f>
        <v>0.1111111111111111</v>
      </c>
      <c r="AF8" s="3">
        <v>3</v>
      </c>
      <c r="AG8" s="3">
        <f>1/3</f>
        <v>0.33333333333333331</v>
      </c>
      <c r="AH8" s="3">
        <f>1/4</f>
        <v>0.25</v>
      </c>
      <c r="AI8" s="3">
        <f>1/3</f>
        <v>0.33333333333333331</v>
      </c>
      <c r="AJ8" s="3">
        <f>1/2</f>
        <v>0.5</v>
      </c>
      <c r="AK8" s="3">
        <f>1/4</f>
        <v>0.25</v>
      </c>
    </row>
    <row r="9" spans="2:37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59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2" t="s">
        <v>7</v>
      </c>
      <c r="W9" s="3">
        <f>1/Z6</f>
        <v>0.5</v>
      </c>
      <c r="X9" s="3">
        <f>1/Z7</f>
        <v>6</v>
      </c>
      <c r="Y9" s="3">
        <f>1/Z8</f>
        <v>0.33333333333333331</v>
      </c>
      <c r="Z9" s="3">
        <v>1</v>
      </c>
      <c r="AA9" s="3">
        <f>1/7</f>
        <v>0.14285714285714285</v>
      </c>
      <c r="AB9" s="3">
        <v>2</v>
      </c>
      <c r="AC9" s="3">
        <v>2</v>
      </c>
      <c r="AD9" s="3">
        <v>2</v>
      </c>
      <c r="AE9" s="3">
        <f>1/9</f>
        <v>0.1111111111111111</v>
      </c>
      <c r="AF9" s="3">
        <v>2</v>
      </c>
      <c r="AG9" s="3">
        <f>1/2</f>
        <v>0.5</v>
      </c>
      <c r="AH9" s="3">
        <v>1</v>
      </c>
      <c r="AI9" s="3">
        <v>2</v>
      </c>
      <c r="AJ9" s="3">
        <v>4</v>
      </c>
      <c r="AK9" s="3">
        <f>1/3</f>
        <v>0.33333333333333331</v>
      </c>
    </row>
    <row r="10" spans="2:37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59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2" t="s">
        <v>8</v>
      </c>
      <c r="W10" s="3">
        <f>1/AA6</f>
        <v>2</v>
      </c>
      <c r="X10" s="3">
        <f>1/AA7</f>
        <v>9</v>
      </c>
      <c r="Y10" s="3">
        <f>1/AA8</f>
        <v>9</v>
      </c>
      <c r="Z10" s="3">
        <f>1/AA9</f>
        <v>7</v>
      </c>
      <c r="AA10" s="3">
        <v>1</v>
      </c>
      <c r="AB10" s="3">
        <v>9</v>
      </c>
      <c r="AC10" s="3">
        <v>9</v>
      </c>
      <c r="AD10" s="3">
        <v>9</v>
      </c>
      <c r="AE10" s="3">
        <f>1/3</f>
        <v>0.33333333333333331</v>
      </c>
      <c r="AF10" s="3">
        <v>9</v>
      </c>
      <c r="AG10" s="3">
        <v>6</v>
      </c>
      <c r="AH10" s="3">
        <v>9</v>
      </c>
      <c r="AI10" s="3">
        <v>9</v>
      </c>
      <c r="AJ10" s="3">
        <v>9</v>
      </c>
      <c r="AK10" s="3">
        <v>2</v>
      </c>
    </row>
    <row r="11" spans="2:37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56">
        <v>5</v>
      </c>
      <c r="H11" s="1">
        <v>4</v>
      </c>
      <c r="I11" s="1">
        <v>3</v>
      </c>
      <c r="J11" s="18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2" t="s">
        <v>9</v>
      </c>
      <c r="W11" s="3">
        <f>1/AB6</f>
        <v>0.5</v>
      </c>
      <c r="X11" s="3">
        <f>1/AB7</f>
        <v>9</v>
      </c>
      <c r="Y11" s="3">
        <f>1/AB8</f>
        <v>4</v>
      </c>
      <c r="Z11" s="3">
        <f>1/AB9</f>
        <v>0.5</v>
      </c>
      <c r="AA11" s="3">
        <f>1/AB10</f>
        <v>0.1111111111111111</v>
      </c>
      <c r="AB11" s="3">
        <v>1</v>
      </c>
      <c r="AC11" s="3">
        <v>1</v>
      </c>
      <c r="AD11" s="3">
        <v>1</v>
      </c>
      <c r="AE11" s="3">
        <f>1/8</f>
        <v>0.125</v>
      </c>
      <c r="AF11" s="3">
        <v>1</v>
      </c>
      <c r="AG11" s="3">
        <f>1/4</f>
        <v>0.25</v>
      </c>
      <c r="AH11" s="3">
        <f>1/2</f>
        <v>0.5</v>
      </c>
      <c r="AI11" s="3">
        <v>1</v>
      </c>
      <c r="AJ11" s="3">
        <v>1</v>
      </c>
      <c r="AK11" s="3">
        <f>1/7</f>
        <v>0.14285714285714285</v>
      </c>
    </row>
    <row r="12" spans="2:37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1">
        <v>5</v>
      </c>
      <c r="P12" s="59">
        <v>6</v>
      </c>
      <c r="Q12" s="1">
        <v>7</v>
      </c>
      <c r="R12" s="1">
        <v>8</v>
      </c>
      <c r="S12" s="12">
        <v>9</v>
      </c>
      <c r="T12" s="12" t="s">
        <v>12</v>
      </c>
      <c r="V12" s="2" t="s">
        <v>10</v>
      </c>
      <c r="W12" s="3">
        <f>1/AC6</f>
        <v>0.5</v>
      </c>
      <c r="X12" s="3">
        <f>1/AC7</f>
        <v>0.125</v>
      </c>
      <c r="Y12" s="3">
        <f>1/AC8</f>
        <v>0.33333333333333331</v>
      </c>
      <c r="Z12" s="3">
        <f>1/AC9</f>
        <v>0.5</v>
      </c>
      <c r="AA12" s="3">
        <f>1/AC10</f>
        <v>0.1111111111111111</v>
      </c>
      <c r="AB12" s="3">
        <f>1/AC11</f>
        <v>1</v>
      </c>
      <c r="AC12" s="3">
        <v>1</v>
      </c>
      <c r="AD12" s="3">
        <v>1</v>
      </c>
      <c r="AE12" s="3">
        <f>1/8</f>
        <v>0.125</v>
      </c>
      <c r="AF12" s="3">
        <v>1</v>
      </c>
      <c r="AG12" s="3">
        <f>1/4</f>
        <v>0.25</v>
      </c>
      <c r="AH12" s="3">
        <f>1/2</f>
        <v>0.5</v>
      </c>
      <c r="AI12" s="3">
        <v>1</v>
      </c>
      <c r="AJ12" s="3">
        <v>2</v>
      </c>
      <c r="AK12" s="3">
        <f>1/7</f>
        <v>0.14285714285714285</v>
      </c>
    </row>
    <row r="13" spans="2:37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59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2" t="s">
        <v>11</v>
      </c>
      <c r="W13" s="3">
        <f>1/AD6</f>
        <v>0.2</v>
      </c>
      <c r="X13" s="3">
        <f>1/AD7</f>
        <v>3</v>
      </c>
      <c r="Y13" s="3">
        <f>1/AD8</f>
        <v>0.5</v>
      </c>
      <c r="Z13" s="3">
        <f>1/AD9</f>
        <v>0.5</v>
      </c>
      <c r="AA13" s="3">
        <f>1/AD10</f>
        <v>0.1111111111111111</v>
      </c>
      <c r="AB13" s="3">
        <f>1/AD11</f>
        <v>1</v>
      </c>
      <c r="AC13" s="3">
        <f>1/AD12</f>
        <v>1</v>
      </c>
      <c r="AD13" s="3">
        <v>1</v>
      </c>
      <c r="AE13" s="3">
        <f>1/8</f>
        <v>0.125</v>
      </c>
      <c r="AF13" s="3">
        <v>1</v>
      </c>
      <c r="AG13" s="3">
        <f>1/4</f>
        <v>0.25</v>
      </c>
      <c r="AH13" s="3">
        <f>1/2</f>
        <v>0.5</v>
      </c>
      <c r="AI13" s="3">
        <v>1</v>
      </c>
      <c r="AJ13" s="3">
        <v>2</v>
      </c>
      <c r="AK13" s="3">
        <f>1/7</f>
        <v>0.14285714285714285</v>
      </c>
    </row>
    <row r="14" spans="2:37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59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2" t="s">
        <v>12</v>
      </c>
      <c r="W14" s="3">
        <f>1/AE6</f>
        <v>6</v>
      </c>
      <c r="X14" s="3">
        <f>1/AE7</f>
        <v>9</v>
      </c>
      <c r="Y14" s="3">
        <f>1/AE8</f>
        <v>9</v>
      </c>
      <c r="Z14" s="3">
        <f>1/AE9</f>
        <v>9</v>
      </c>
      <c r="AA14" s="3">
        <f>1/AE10</f>
        <v>3</v>
      </c>
      <c r="AB14" s="3">
        <f>1/AE11</f>
        <v>8</v>
      </c>
      <c r="AC14" s="3">
        <f>1/AE12</f>
        <v>8</v>
      </c>
      <c r="AD14" s="3">
        <f>1/AE13</f>
        <v>8</v>
      </c>
      <c r="AE14" s="3">
        <v>1</v>
      </c>
      <c r="AF14" s="3">
        <v>7</v>
      </c>
      <c r="AG14" s="3">
        <v>3</v>
      </c>
      <c r="AH14" s="3">
        <v>6</v>
      </c>
      <c r="AI14" s="3">
        <v>7</v>
      </c>
      <c r="AJ14" s="3">
        <f>1/3</f>
        <v>0.33333333333333331</v>
      </c>
      <c r="AK14" s="3">
        <v>1</v>
      </c>
    </row>
    <row r="15" spans="2:37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59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2" t="s">
        <v>13</v>
      </c>
      <c r="W15" s="3">
        <f>1/AF6</f>
        <v>1</v>
      </c>
      <c r="X15" s="3">
        <f>1/AF7</f>
        <v>3</v>
      </c>
      <c r="Y15" s="3">
        <f>1/AF8</f>
        <v>0.33333333333333331</v>
      </c>
      <c r="Z15" s="3">
        <f>1/AF9</f>
        <v>0.5</v>
      </c>
      <c r="AA15" s="3">
        <f>1/AF10</f>
        <v>0.1111111111111111</v>
      </c>
      <c r="AB15" s="3">
        <f>1/AF11</f>
        <v>1</v>
      </c>
      <c r="AC15" s="3">
        <f>1/AF12</f>
        <v>1</v>
      </c>
      <c r="AD15" s="3">
        <f>1/AF13</f>
        <v>1</v>
      </c>
      <c r="AE15" s="3">
        <f>1/AF14</f>
        <v>0.14285714285714285</v>
      </c>
      <c r="AF15" s="3">
        <v>1</v>
      </c>
      <c r="AG15" s="3">
        <f>1/3</f>
        <v>0.33333333333333331</v>
      </c>
      <c r="AH15" s="3">
        <v>1</v>
      </c>
      <c r="AI15" s="3">
        <v>1</v>
      </c>
      <c r="AJ15" s="3">
        <f>1/3</f>
        <v>0.33333333333333331</v>
      </c>
      <c r="AK15" s="3">
        <f>1/7</f>
        <v>0.14285714285714285</v>
      </c>
    </row>
    <row r="16" spans="2:37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59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2" t="s">
        <v>14</v>
      </c>
      <c r="W16" s="3">
        <f>1/AG6</f>
        <v>2</v>
      </c>
      <c r="X16" s="3">
        <f>1/AG7</f>
        <v>8</v>
      </c>
      <c r="Y16" s="3">
        <f>1/AG8</f>
        <v>3</v>
      </c>
      <c r="Z16" s="3">
        <f>1/AG9</f>
        <v>2</v>
      </c>
      <c r="AA16" s="3">
        <f>1/AG10</f>
        <v>0.16666666666666666</v>
      </c>
      <c r="AB16" s="3">
        <f>1/AG11</f>
        <v>4</v>
      </c>
      <c r="AC16" s="3">
        <f>1/AG12</f>
        <v>4</v>
      </c>
      <c r="AD16" s="3">
        <f>1/AG13</f>
        <v>4</v>
      </c>
      <c r="AE16" s="3">
        <f>1/AG14</f>
        <v>0.33333333333333331</v>
      </c>
      <c r="AF16" s="3">
        <f>1/AG15</f>
        <v>3</v>
      </c>
      <c r="AG16" s="3">
        <v>1</v>
      </c>
      <c r="AH16" s="3">
        <v>2</v>
      </c>
      <c r="AI16" s="3">
        <v>2</v>
      </c>
      <c r="AJ16" s="3">
        <f>1/3</f>
        <v>0.33333333333333331</v>
      </c>
      <c r="AK16" s="3">
        <f>1/3</f>
        <v>0.33333333333333331</v>
      </c>
    </row>
    <row r="17" spans="2:37" x14ac:dyDescent="0.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59">
        <v>3</v>
      </c>
      <c r="N17" s="1">
        <v>4</v>
      </c>
      <c r="O17" s="1">
        <v>5</v>
      </c>
      <c r="P17" s="1">
        <v>6</v>
      </c>
      <c r="Q17" s="1">
        <v>7</v>
      </c>
      <c r="R17" s="1">
        <v>8</v>
      </c>
      <c r="S17" s="12">
        <v>9</v>
      </c>
      <c r="T17" s="12" t="s">
        <v>17</v>
      </c>
      <c r="V17" s="2" t="s">
        <v>15</v>
      </c>
      <c r="W17" s="3">
        <f>1/AH6</f>
        <v>1</v>
      </c>
      <c r="X17" s="3">
        <f>1/AH7</f>
        <v>4</v>
      </c>
      <c r="Y17" s="3">
        <f>1/AH8</f>
        <v>4</v>
      </c>
      <c r="Z17" s="3">
        <f>1/AH9</f>
        <v>1</v>
      </c>
      <c r="AA17" s="3">
        <f>1/AH10</f>
        <v>0.1111111111111111</v>
      </c>
      <c r="AB17" s="3">
        <f>1/AH11</f>
        <v>2</v>
      </c>
      <c r="AC17" s="3">
        <f>1/AH12</f>
        <v>2</v>
      </c>
      <c r="AD17" s="3">
        <f>1/AH13</f>
        <v>2</v>
      </c>
      <c r="AE17" s="3">
        <f>1/AH14</f>
        <v>0.16666666666666666</v>
      </c>
      <c r="AF17" s="3">
        <f>1/AH15</f>
        <v>1</v>
      </c>
      <c r="AG17" s="3">
        <f>1/AH16</f>
        <v>0.5</v>
      </c>
      <c r="AH17" s="3">
        <v>1</v>
      </c>
      <c r="AI17" s="3">
        <f>1/6</f>
        <v>0.16666666666666666</v>
      </c>
      <c r="AJ17" s="3">
        <f>1/6</f>
        <v>0.16666666666666666</v>
      </c>
      <c r="AK17" s="3">
        <v>2</v>
      </c>
    </row>
    <row r="18" spans="2:37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60">
        <v>6</v>
      </c>
      <c r="Q18" s="14">
        <v>7</v>
      </c>
      <c r="R18" s="14">
        <v>8</v>
      </c>
      <c r="S18" s="15">
        <v>9</v>
      </c>
      <c r="T18" s="15" t="s">
        <v>18</v>
      </c>
      <c r="V18" s="2" t="s">
        <v>16</v>
      </c>
      <c r="W18" s="3">
        <f>1/AI6</f>
        <v>1</v>
      </c>
      <c r="X18" s="3">
        <f>1/AI7</f>
        <v>3</v>
      </c>
      <c r="Y18" s="3">
        <f>1/AI8</f>
        <v>3</v>
      </c>
      <c r="Z18" s="3">
        <f>1/AI9</f>
        <v>0.5</v>
      </c>
      <c r="AA18" s="3">
        <f>1/AI10</f>
        <v>0.1111111111111111</v>
      </c>
      <c r="AB18" s="3">
        <f>1/AI11</f>
        <v>1</v>
      </c>
      <c r="AC18" s="3">
        <f>1/AI12</f>
        <v>1</v>
      </c>
      <c r="AD18" s="3">
        <f>1/AI13</f>
        <v>1</v>
      </c>
      <c r="AE18" s="3">
        <f>1/AI14</f>
        <v>0.14285714285714285</v>
      </c>
      <c r="AF18" s="3">
        <f>1/AI15</f>
        <v>1</v>
      </c>
      <c r="AG18" s="3">
        <f>1/AI16</f>
        <v>0.5</v>
      </c>
      <c r="AH18" s="3">
        <f>1/AI17</f>
        <v>6</v>
      </c>
      <c r="AI18" s="3">
        <v>1</v>
      </c>
      <c r="AJ18" s="3">
        <f>1/6</f>
        <v>0.16666666666666666</v>
      </c>
      <c r="AK18" s="3">
        <f>1/7</f>
        <v>0.14285714285714285</v>
      </c>
    </row>
    <row r="19" spans="2:37" x14ac:dyDescent="0.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56">
        <v>1</v>
      </c>
      <c r="L19" s="18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" t="s">
        <v>17</v>
      </c>
      <c r="W19" s="3">
        <f>1/AJ6</f>
        <v>3</v>
      </c>
      <c r="X19" s="3">
        <f>1/AJ7</f>
        <v>2</v>
      </c>
      <c r="Y19" s="3">
        <f>1/AJ8</f>
        <v>2</v>
      </c>
      <c r="Z19" s="3">
        <f>1/AJ9</f>
        <v>0.25</v>
      </c>
      <c r="AA19" s="3">
        <f>1/AJ10</f>
        <v>0.1111111111111111</v>
      </c>
      <c r="AB19" s="3">
        <f>1/AJ11</f>
        <v>1</v>
      </c>
      <c r="AC19" s="3">
        <f>1/AJ12</f>
        <v>0.5</v>
      </c>
      <c r="AD19" s="3">
        <f>1/AJ13</f>
        <v>0.5</v>
      </c>
      <c r="AE19" s="3">
        <f>1/AJ14</f>
        <v>3</v>
      </c>
      <c r="AF19" s="3">
        <f>1/AJ15</f>
        <v>3</v>
      </c>
      <c r="AG19" s="3">
        <f>1/AJ16</f>
        <v>3</v>
      </c>
      <c r="AH19" s="3">
        <f>1/AJ17</f>
        <v>6</v>
      </c>
      <c r="AI19" s="3">
        <f>1/AJ18</f>
        <v>6</v>
      </c>
      <c r="AJ19" s="3">
        <v>1</v>
      </c>
      <c r="AK19" s="3">
        <v>2</v>
      </c>
    </row>
    <row r="20" spans="2:37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59">
        <v>6</v>
      </c>
      <c r="Q20" s="1">
        <v>7</v>
      </c>
      <c r="R20" s="1">
        <v>8</v>
      </c>
      <c r="S20" s="12">
        <v>9</v>
      </c>
      <c r="T20" s="12" t="s">
        <v>7</v>
      </c>
      <c r="V20" s="2" t="s">
        <v>18</v>
      </c>
      <c r="W20" s="3">
        <f>1/AK6</f>
        <v>6</v>
      </c>
      <c r="X20" s="3">
        <f>1/AK7</f>
        <v>9</v>
      </c>
      <c r="Y20" s="3">
        <f>1/AK8</f>
        <v>4</v>
      </c>
      <c r="Z20" s="3">
        <f>1/AK9</f>
        <v>3</v>
      </c>
      <c r="AA20" s="3">
        <f>1/AK10</f>
        <v>0.5</v>
      </c>
      <c r="AB20" s="3">
        <f>1/AK11</f>
        <v>7</v>
      </c>
      <c r="AC20" s="3">
        <f>1/AK12</f>
        <v>7</v>
      </c>
      <c r="AD20" s="3">
        <f>1/AK13</f>
        <v>7</v>
      </c>
      <c r="AE20" s="3">
        <f>1/AK14</f>
        <v>1</v>
      </c>
      <c r="AF20" s="3">
        <f>1/AK15</f>
        <v>7</v>
      </c>
      <c r="AG20" s="3">
        <f>1/AK16</f>
        <v>3</v>
      </c>
      <c r="AH20" s="3">
        <f>1/AK17</f>
        <v>0.5</v>
      </c>
      <c r="AI20" s="3">
        <f>1/AK18</f>
        <v>7</v>
      </c>
      <c r="AJ20" s="3">
        <f>1/AK19</f>
        <v>0.5</v>
      </c>
      <c r="AK20" s="3">
        <v>1</v>
      </c>
    </row>
    <row r="21" spans="2:37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17">
        <v>9</v>
      </c>
      <c r="T21" s="12" t="s">
        <v>8</v>
      </c>
    </row>
    <row r="22" spans="2:37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1">
        <v>2</v>
      </c>
      <c r="K22" s="1">
        <v>1</v>
      </c>
      <c r="L22" s="1">
        <v>2</v>
      </c>
      <c r="M22" s="18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1">
        <v>9</v>
      </c>
      <c r="T22" s="12" t="s">
        <v>9</v>
      </c>
    </row>
    <row r="23" spans="2:37" x14ac:dyDescent="0.5">
      <c r="B23" s="17" t="s">
        <v>5</v>
      </c>
      <c r="C23" s="11">
        <v>9</v>
      </c>
      <c r="D23" s="56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1">
        <v>2</v>
      </c>
      <c r="M23" s="18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</row>
    <row r="24" spans="2:37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1">
        <v>2</v>
      </c>
      <c r="M24" s="59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</row>
    <row r="25" spans="2:37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17">
        <v>9</v>
      </c>
      <c r="T25" s="12" t="s">
        <v>12</v>
      </c>
    </row>
    <row r="26" spans="2:37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59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</row>
    <row r="27" spans="2:37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59">
        <v>8</v>
      </c>
      <c r="S27" s="12">
        <v>9</v>
      </c>
      <c r="T27" s="12" t="s">
        <v>14</v>
      </c>
    </row>
    <row r="28" spans="2:37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1">
        <v>2</v>
      </c>
      <c r="M28" s="1">
        <v>3</v>
      </c>
      <c r="N28" s="59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</row>
    <row r="29" spans="2:37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59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</row>
    <row r="30" spans="2:37" x14ac:dyDescent="0.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59">
        <v>2</v>
      </c>
      <c r="M30" s="1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</row>
    <row r="31" spans="2:37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18">
        <v>9</v>
      </c>
      <c r="T31" s="15" t="s">
        <v>18</v>
      </c>
    </row>
    <row r="32" spans="2:37" x14ac:dyDescent="0.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1">
        <v>4</v>
      </c>
      <c r="I32" s="56">
        <v>3</v>
      </c>
      <c r="J32" s="1">
        <v>2</v>
      </c>
      <c r="K32" s="1">
        <v>1</v>
      </c>
      <c r="L32" s="1">
        <v>2</v>
      </c>
      <c r="M32" s="1">
        <v>3</v>
      </c>
      <c r="N32" s="1">
        <v>4</v>
      </c>
      <c r="O32" s="1">
        <v>5</v>
      </c>
      <c r="P32" s="18">
        <v>6</v>
      </c>
      <c r="Q32" s="1">
        <v>7</v>
      </c>
      <c r="R32" s="1">
        <v>8</v>
      </c>
      <c r="S32" s="12">
        <v>9</v>
      </c>
      <c r="T32" s="12" t="s">
        <v>7</v>
      </c>
    </row>
    <row r="33" spans="2:20" x14ac:dyDescent="0.5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1">
        <v>4</v>
      </c>
      <c r="I33" s="1">
        <v>3</v>
      </c>
      <c r="J33" s="1">
        <v>2</v>
      </c>
      <c r="K33" s="1">
        <v>1</v>
      </c>
      <c r="L33" s="1">
        <v>2</v>
      </c>
      <c r="M33" s="1">
        <v>3</v>
      </c>
      <c r="N33" s="1">
        <v>4</v>
      </c>
      <c r="O33" s="1">
        <v>5</v>
      </c>
      <c r="P33" s="18">
        <v>6</v>
      </c>
      <c r="Q33" s="1">
        <v>7</v>
      </c>
      <c r="R33" s="1">
        <v>8</v>
      </c>
      <c r="S33" s="121">
        <v>9</v>
      </c>
      <c r="T33" s="12" t="s">
        <v>8</v>
      </c>
    </row>
    <row r="34" spans="2:20" x14ac:dyDescent="0.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1">
        <v>3</v>
      </c>
      <c r="J34" s="1">
        <v>2</v>
      </c>
      <c r="K34" s="1">
        <v>1</v>
      </c>
      <c r="L34" s="1">
        <v>2</v>
      </c>
      <c r="M34" s="1">
        <v>3</v>
      </c>
      <c r="N34" s="59">
        <v>4</v>
      </c>
      <c r="O34" s="1">
        <v>5</v>
      </c>
      <c r="P34" s="1">
        <v>6</v>
      </c>
      <c r="Q34" s="1">
        <v>7</v>
      </c>
      <c r="R34" s="1">
        <v>8</v>
      </c>
      <c r="S34" s="12">
        <v>9</v>
      </c>
      <c r="T34" s="12" t="s">
        <v>9</v>
      </c>
    </row>
    <row r="35" spans="2:20" x14ac:dyDescent="0.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59">
        <v>3</v>
      </c>
      <c r="J35" s="1">
        <v>2</v>
      </c>
      <c r="K35" s="1">
        <v>1</v>
      </c>
      <c r="L35" s="1">
        <v>2</v>
      </c>
      <c r="M35" s="1">
        <v>3</v>
      </c>
      <c r="N35" s="1">
        <v>4</v>
      </c>
      <c r="O35" s="1">
        <v>5</v>
      </c>
      <c r="P35" s="1">
        <v>6</v>
      </c>
      <c r="Q35" s="1">
        <v>7</v>
      </c>
      <c r="R35" s="1">
        <v>8</v>
      </c>
      <c r="S35" s="12">
        <v>9</v>
      </c>
      <c r="T35" s="12" t="s">
        <v>10</v>
      </c>
    </row>
    <row r="36" spans="2:20" x14ac:dyDescent="0.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59">
        <v>2</v>
      </c>
      <c r="K36" s="1">
        <v>1</v>
      </c>
      <c r="L36" s="1">
        <v>2</v>
      </c>
      <c r="M36" s="1">
        <v>3</v>
      </c>
      <c r="N36" s="1">
        <v>4</v>
      </c>
      <c r="O36" s="1">
        <v>5</v>
      </c>
      <c r="P36" s="1">
        <v>6</v>
      </c>
      <c r="Q36" s="1">
        <v>7</v>
      </c>
      <c r="R36" s="1">
        <v>8</v>
      </c>
      <c r="S36" s="12">
        <v>9</v>
      </c>
      <c r="T36" s="12" t="s">
        <v>11</v>
      </c>
    </row>
    <row r="37" spans="2:20" x14ac:dyDescent="0.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8">
        <v>4</v>
      </c>
      <c r="I37" s="1">
        <v>3</v>
      </c>
      <c r="J37" s="1">
        <v>2</v>
      </c>
      <c r="K37" s="1">
        <v>1</v>
      </c>
      <c r="L37" s="1">
        <v>2</v>
      </c>
      <c r="M37" s="1">
        <v>3</v>
      </c>
      <c r="N37" s="1">
        <v>4</v>
      </c>
      <c r="O37" s="1">
        <v>5</v>
      </c>
      <c r="P37" s="1">
        <v>6</v>
      </c>
      <c r="Q37" s="1">
        <v>7</v>
      </c>
      <c r="R37" s="1">
        <v>8</v>
      </c>
      <c r="S37" s="121">
        <v>9</v>
      </c>
      <c r="T37" s="12" t="s">
        <v>12</v>
      </c>
    </row>
    <row r="38" spans="2:20" x14ac:dyDescent="0.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59">
        <v>3</v>
      </c>
      <c r="J38" s="1">
        <v>2</v>
      </c>
      <c r="K38" s="1">
        <v>1</v>
      </c>
      <c r="L38" s="1">
        <v>2</v>
      </c>
      <c r="M38" s="1">
        <v>3</v>
      </c>
      <c r="N38" s="1">
        <v>4</v>
      </c>
      <c r="O38" s="1">
        <v>5</v>
      </c>
      <c r="P38" s="1">
        <v>6</v>
      </c>
      <c r="Q38" s="1">
        <v>7</v>
      </c>
      <c r="R38" s="1">
        <v>8</v>
      </c>
      <c r="S38" s="12">
        <v>9</v>
      </c>
      <c r="T38" s="12" t="s">
        <v>13</v>
      </c>
    </row>
    <row r="39" spans="2:20" x14ac:dyDescent="0.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">
        <v>2</v>
      </c>
      <c r="K39" s="1">
        <v>1</v>
      </c>
      <c r="L39" s="1">
        <v>2</v>
      </c>
      <c r="M39" s="59">
        <v>3</v>
      </c>
      <c r="N39" s="1">
        <v>4</v>
      </c>
      <c r="O39" s="1">
        <v>5</v>
      </c>
      <c r="P39" s="1">
        <v>6</v>
      </c>
      <c r="Q39" s="1">
        <v>7</v>
      </c>
      <c r="R39" s="1">
        <v>8</v>
      </c>
      <c r="S39" s="12">
        <v>9</v>
      </c>
      <c r="T39" s="12" t="s">
        <v>14</v>
      </c>
    </row>
    <row r="40" spans="2:20" x14ac:dyDescent="0.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1">
        <v>2</v>
      </c>
      <c r="K40" s="1">
        <v>1</v>
      </c>
      <c r="L40" s="1">
        <v>2</v>
      </c>
      <c r="M40" s="1">
        <v>3</v>
      </c>
      <c r="N40" s="59">
        <v>4</v>
      </c>
      <c r="O40" s="1">
        <v>5</v>
      </c>
      <c r="P40" s="1">
        <v>6</v>
      </c>
      <c r="Q40" s="1">
        <v>7</v>
      </c>
      <c r="R40" s="1">
        <v>8</v>
      </c>
      <c r="S40" s="12">
        <v>9</v>
      </c>
      <c r="T40" s="12" t="s">
        <v>15</v>
      </c>
    </row>
    <row r="41" spans="2:20" x14ac:dyDescent="0.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">
        <v>2</v>
      </c>
      <c r="K41" s="1">
        <v>1</v>
      </c>
      <c r="L41" s="1">
        <v>2</v>
      </c>
      <c r="M41" s="59">
        <v>3</v>
      </c>
      <c r="N41" s="1">
        <v>4</v>
      </c>
      <c r="O41" s="1">
        <v>5</v>
      </c>
      <c r="P41" s="1">
        <v>6</v>
      </c>
      <c r="Q41" s="1">
        <v>7</v>
      </c>
      <c r="R41" s="1">
        <v>8</v>
      </c>
      <c r="S41" s="12">
        <v>9</v>
      </c>
      <c r="T41" s="12" t="s">
        <v>16</v>
      </c>
    </row>
    <row r="42" spans="2:20" x14ac:dyDescent="0.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">
        <v>2</v>
      </c>
      <c r="K42" s="1">
        <v>1</v>
      </c>
      <c r="L42" s="59">
        <v>2</v>
      </c>
      <c r="M42" s="1">
        <v>3</v>
      </c>
      <c r="N42" s="1">
        <v>4</v>
      </c>
      <c r="O42" s="1">
        <v>5</v>
      </c>
      <c r="P42" s="1">
        <v>6</v>
      </c>
      <c r="Q42" s="1">
        <v>7</v>
      </c>
      <c r="R42" s="1">
        <v>8</v>
      </c>
      <c r="S42" s="12">
        <v>9</v>
      </c>
      <c r="T42" s="12" t="s">
        <v>17</v>
      </c>
    </row>
    <row r="43" spans="2:20" x14ac:dyDescent="0.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60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</row>
    <row r="44" spans="2:2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1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59">
        <v>7</v>
      </c>
      <c r="R44" s="1">
        <v>8</v>
      </c>
      <c r="S44" s="12">
        <v>9</v>
      </c>
      <c r="T44" s="12" t="s">
        <v>8</v>
      </c>
    </row>
    <row r="45" spans="2:2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59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</row>
    <row r="46" spans="2:2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59">
        <v>2</v>
      </c>
      <c r="K46" s="1">
        <v>1</v>
      </c>
      <c r="L46" s="1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</row>
    <row r="47" spans="2:2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59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</row>
    <row r="48" spans="2:2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18">
        <v>4</v>
      </c>
      <c r="O48" s="1">
        <v>5</v>
      </c>
      <c r="P48" s="1">
        <v>6</v>
      </c>
      <c r="Q48" s="1">
        <v>7</v>
      </c>
      <c r="R48" s="1">
        <v>8</v>
      </c>
      <c r="S48" s="121">
        <v>9</v>
      </c>
      <c r="T48" s="12" t="s">
        <v>12</v>
      </c>
    </row>
    <row r="49" spans="2:2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59">
        <v>2</v>
      </c>
      <c r="K49" s="1">
        <v>1</v>
      </c>
      <c r="L49" s="1">
        <v>2</v>
      </c>
      <c r="M49" s="1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</row>
    <row r="50" spans="2:2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59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</row>
    <row r="51" spans="2:2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59">
        <v>1</v>
      </c>
      <c r="L51" s="1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</row>
    <row r="52" spans="2:2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59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</row>
    <row r="53" spans="2:20" x14ac:dyDescent="0.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59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1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</row>
    <row r="54" spans="2:2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60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</row>
    <row r="55" spans="2:20" x14ac:dyDescent="0.5">
      <c r="B55" s="16" t="s">
        <v>8</v>
      </c>
      <c r="C55" s="119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</row>
    <row r="56" spans="2:20" x14ac:dyDescent="0.5">
      <c r="B56" s="17" t="s">
        <v>8</v>
      </c>
      <c r="C56" s="119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</row>
    <row r="57" spans="2:20" x14ac:dyDescent="0.5">
      <c r="B57" s="17" t="s">
        <v>8</v>
      </c>
      <c r="C57" s="119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</row>
    <row r="58" spans="2:2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8">
        <v>2</v>
      </c>
      <c r="K58" s="1">
        <v>1</v>
      </c>
      <c r="L58" s="1">
        <v>2</v>
      </c>
      <c r="M58" s="56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</row>
    <row r="59" spans="2:20" x14ac:dyDescent="0.5">
      <c r="B59" s="17" t="s">
        <v>8</v>
      </c>
      <c r="C59" s="119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</row>
    <row r="60" spans="2:20" x14ac:dyDescent="0.5">
      <c r="B60" s="17" t="s">
        <v>8</v>
      </c>
      <c r="C60" s="11">
        <v>9</v>
      </c>
      <c r="D60" s="1">
        <v>8</v>
      </c>
      <c r="E60" s="1">
        <v>7</v>
      </c>
      <c r="F60" s="59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</row>
    <row r="61" spans="2:20" x14ac:dyDescent="0.5">
      <c r="B61" s="17" t="s">
        <v>8</v>
      </c>
      <c r="C61" s="119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</row>
    <row r="62" spans="2:20" x14ac:dyDescent="0.5">
      <c r="B62" s="17" t="s">
        <v>8</v>
      </c>
      <c r="C62" s="119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</row>
    <row r="63" spans="2:20" x14ac:dyDescent="0.5">
      <c r="B63" s="17" t="s">
        <v>8</v>
      </c>
      <c r="C63" s="119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1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</row>
    <row r="64" spans="2:2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60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</row>
    <row r="65" spans="2:2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59">
        <v>1</v>
      </c>
      <c r="L65" s="1">
        <v>2</v>
      </c>
      <c r="M65" s="1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</row>
    <row r="66" spans="2:2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59">
        <v>1</v>
      </c>
      <c r="L66" s="1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</row>
    <row r="67" spans="2:2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59">
        <v>8</v>
      </c>
      <c r="S67" s="12">
        <v>9</v>
      </c>
      <c r="T67" s="12" t="s">
        <v>12</v>
      </c>
    </row>
    <row r="68" spans="2:2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59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2">
        <v>9</v>
      </c>
      <c r="T68" s="12" t="s">
        <v>13</v>
      </c>
    </row>
    <row r="69" spans="2:2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59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</row>
    <row r="70" spans="2:2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59">
        <v>2</v>
      </c>
      <c r="M70" s="1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</row>
    <row r="71" spans="2:2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59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</row>
    <row r="72" spans="2:20" x14ac:dyDescent="0.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59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1">
        <v>7</v>
      </c>
      <c r="R72" s="1">
        <v>8</v>
      </c>
      <c r="S72" s="12">
        <v>9</v>
      </c>
      <c r="T72" s="12" t="s">
        <v>17</v>
      </c>
    </row>
    <row r="73" spans="2:2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60">
        <v>7</v>
      </c>
      <c r="R73" s="14">
        <v>8</v>
      </c>
      <c r="S73" s="15">
        <v>9</v>
      </c>
      <c r="T73" s="15" t="s">
        <v>18</v>
      </c>
    </row>
    <row r="74" spans="2:2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59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</row>
    <row r="75" spans="2:2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59">
        <v>8</v>
      </c>
      <c r="S75" s="12">
        <v>9</v>
      </c>
      <c r="T75" s="12" t="s">
        <v>12</v>
      </c>
    </row>
    <row r="76" spans="2:2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59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</row>
    <row r="77" spans="2:2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59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</row>
    <row r="78" spans="2:2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1">
        <v>1</v>
      </c>
      <c r="L78" s="59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</row>
    <row r="79" spans="2:2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59">
        <v>1</v>
      </c>
      <c r="L79" s="1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</row>
    <row r="80" spans="2:20" x14ac:dyDescent="0.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59">
        <v>2</v>
      </c>
      <c r="K80" s="1">
        <v>1</v>
      </c>
      <c r="L80" s="1">
        <v>2</v>
      </c>
      <c r="M80" s="1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</row>
    <row r="81" spans="2:2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60">
        <v>7</v>
      </c>
      <c r="R81" s="14">
        <v>8</v>
      </c>
      <c r="S81" s="15">
        <v>9</v>
      </c>
      <c r="T81" s="15" t="s">
        <v>18</v>
      </c>
    </row>
    <row r="82" spans="2:2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59">
        <v>8</v>
      </c>
      <c r="S82" s="12">
        <v>9</v>
      </c>
      <c r="T82" s="12" t="s">
        <v>12</v>
      </c>
    </row>
    <row r="83" spans="2:2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59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</row>
    <row r="84" spans="2:2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59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</row>
    <row r="85" spans="2:2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59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</row>
    <row r="86" spans="2:2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59">
        <v>1</v>
      </c>
      <c r="L86" s="1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</row>
    <row r="87" spans="2:20" x14ac:dyDescent="0.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59">
        <v>2</v>
      </c>
      <c r="K87" s="1">
        <v>1</v>
      </c>
      <c r="L87" s="1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</row>
    <row r="88" spans="2:2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60">
        <v>7</v>
      </c>
      <c r="R88" s="14">
        <v>8</v>
      </c>
      <c r="S88" s="15">
        <v>9</v>
      </c>
      <c r="T88" s="15" t="s">
        <v>18</v>
      </c>
    </row>
    <row r="89" spans="2:20" x14ac:dyDescent="0.5">
      <c r="B89" s="16" t="s">
        <v>12</v>
      </c>
      <c r="C89" s="11">
        <v>9</v>
      </c>
      <c r="D89" s="1">
        <v>8</v>
      </c>
      <c r="E89" s="59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</row>
    <row r="90" spans="2:2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59">
        <v>3</v>
      </c>
      <c r="J90" s="1">
        <v>2</v>
      </c>
      <c r="K90" s="1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</row>
    <row r="91" spans="2:20" x14ac:dyDescent="0.5">
      <c r="B91" s="17" t="s">
        <v>12</v>
      </c>
      <c r="C91" s="11">
        <v>9</v>
      </c>
      <c r="D91" s="1">
        <v>8</v>
      </c>
      <c r="E91" s="1">
        <v>7</v>
      </c>
      <c r="F91" s="59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</row>
    <row r="92" spans="2:20" x14ac:dyDescent="0.5">
      <c r="B92" s="17" t="s">
        <v>12</v>
      </c>
      <c r="C92" s="11">
        <v>9</v>
      </c>
      <c r="D92" s="1">
        <v>8</v>
      </c>
      <c r="E92" s="59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</row>
    <row r="93" spans="2:20" x14ac:dyDescent="0.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59">
        <v>3</v>
      </c>
      <c r="N93" s="1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</row>
    <row r="94" spans="2:2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60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</row>
    <row r="95" spans="2:20" x14ac:dyDescent="0.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59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</row>
    <row r="96" spans="2:20" x14ac:dyDescent="0.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59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</row>
    <row r="97" spans="2:2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59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</row>
    <row r="98" spans="2:20" x14ac:dyDescent="0.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1">
        <v>1</v>
      </c>
      <c r="L98" s="1">
        <v>2</v>
      </c>
      <c r="M98" s="59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</row>
    <row r="99" spans="2:20" x14ac:dyDescent="0.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59">
        <v>7</v>
      </c>
      <c r="R99" s="1">
        <v>8</v>
      </c>
      <c r="S99" s="12">
        <v>9</v>
      </c>
      <c r="T99" s="15" t="s">
        <v>18</v>
      </c>
    </row>
    <row r="100" spans="2:2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8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</row>
    <row r="101" spans="2:2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59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</row>
    <row r="102" spans="2:20" x14ac:dyDescent="0.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59">
        <v>3</v>
      </c>
      <c r="N102" s="1">
        <v>4</v>
      </c>
      <c r="O102" s="1">
        <v>5</v>
      </c>
      <c r="P102" s="1">
        <v>6</v>
      </c>
      <c r="Q102" s="1">
        <v>7</v>
      </c>
      <c r="R102" s="1">
        <v>8</v>
      </c>
      <c r="S102" s="12">
        <v>9</v>
      </c>
      <c r="T102" s="12" t="s">
        <v>17</v>
      </c>
    </row>
    <row r="103" spans="2:2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60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</row>
    <row r="104" spans="2:20" x14ac:dyDescent="0.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1">
        <v>4</v>
      </c>
      <c r="O104" s="1">
        <v>5</v>
      </c>
      <c r="P104" s="59">
        <v>6</v>
      </c>
      <c r="Q104" s="1">
        <v>7</v>
      </c>
      <c r="R104" s="1">
        <v>8</v>
      </c>
      <c r="S104" s="12">
        <v>9</v>
      </c>
      <c r="T104" s="12" t="s">
        <v>16</v>
      </c>
    </row>
    <row r="105" spans="2:20" x14ac:dyDescent="0.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1">
        <v>3</v>
      </c>
      <c r="N105" s="1">
        <v>4</v>
      </c>
      <c r="O105" s="1">
        <v>5</v>
      </c>
      <c r="P105" s="59">
        <v>6</v>
      </c>
      <c r="Q105" s="1">
        <v>7</v>
      </c>
      <c r="R105" s="1">
        <v>8</v>
      </c>
      <c r="S105" s="12">
        <v>9</v>
      </c>
      <c r="T105" s="12" t="s">
        <v>17</v>
      </c>
    </row>
    <row r="106" spans="2:2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60">
        <v>2</v>
      </c>
      <c r="K106" s="1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</row>
    <row r="107" spans="2:20" x14ac:dyDescent="0.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1">
        <v>4</v>
      </c>
      <c r="O107" s="1">
        <v>5</v>
      </c>
      <c r="P107" s="59">
        <v>6</v>
      </c>
      <c r="Q107" s="1">
        <v>7</v>
      </c>
      <c r="R107" s="1">
        <v>8</v>
      </c>
      <c r="S107" s="12">
        <v>9</v>
      </c>
      <c r="T107" s="7" t="s">
        <v>17</v>
      </c>
    </row>
    <row r="108" spans="2:2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60">
        <v>7</v>
      </c>
      <c r="R108" s="14">
        <v>8</v>
      </c>
      <c r="S108" s="15">
        <v>9</v>
      </c>
      <c r="T108" s="15" t="s">
        <v>18</v>
      </c>
    </row>
    <row r="109" spans="2:20" x14ac:dyDescent="0.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60">
        <v>2</v>
      </c>
      <c r="K109" s="1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</row>
    <row r="111" spans="2:20" x14ac:dyDescent="0.5">
      <c r="B111" s="90" t="s">
        <v>21</v>
      </c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2"/>
    </row>
    <row r="112" spans="2:20" x14ac:dyDescent="0.5">
      <c r="B112" s="85" t="s">
        <v>23</v>
      </c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93"/>
    </row>
    <row r="113" spans="2:37" x14ac:dyDescent="0.5">
      <c r="B113" s="94" t="s">
        <v>1</v>
      </c>
      <c r="C113" s="90" t="s">
        <v>2</v>
      </c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6"/>
      <c r="T113" s="94" t="s">
        <v>3</v>
      </c>
    </row>
    <row r="114" spans="2:37" x14ac:dyDescent="0.5">
      <c r="B114" s="95"/>
      <c r="C114" s="24">
        <v>9</v>
      </c>
      <c r="D114" s="24">
        <v>8</v>
      </c>
      <c r="E114" s="24">
        <v>7</v>
      </c>
      <c r="F114" s="24">
        <v>6</v>
      </c>
      <c r="G114" s="24">
        <v>5</v>
      </c>
      <c r="H114" s="24">
        <v>4</v>
      </c>
      <c r="I114" s="24">
        <v>3</v>
      </c>
      <c r="J114" s="24">
        <v>2</v>
      </c>
      <c r="K114" s="24">
        <v>1</v>
      </c>
      <c r="L114" s="24">
        <v>2</v>
      </c>
      <c r="M114" s="24">
        <v>3</v>
      </c>
      <c r="N114" s="24">
        <v>4</v>
      </c>
      <c r="O114" s="24">
        <v>5</v>
      </c>
      <c r="P114" s="24">
        <v>6</v>
      </c>
      <c r="Q114" s="24">
        <v>7</v>
      </c>
      <c r="R114" s="24">
        <v>8</v>
      </c>
      <c r="S114" s="24">
        <v>9</v>
      </c>
      <c r="T114" s="95"/>
    </row>
    <row r="115" spans="2:37" x14ac:dyDescent="0.5">
      <c r="B115" s="16" t="s">
        <v>4</v>
      </c>
      <c r="C115" s="4">
        <v>9</v>
      </c>
      <c r="D115" s="5">
        <v>8</v>
      </c>
      <c r="E115" s="5">
        <v>7</v>
      </c>
      <c r="F115" s="5">
        <v>6</v>
      </c>
      <c r="G115" s="5">
        <v>5</v>
      </c>
      <c r="H115" s="58">
        <v>4</v>
      </c>
      <c r="I115" s="5">
        <v>3</v>
      </c>
      <c r="J115" s="5">
        <v>2</v>
      </c>
      <c r="K115" s="5">
        <v>1</v>
      </c>
      <c r="L115" s="5">
        <v>2</v>
      </c>
      <c r="M115" s="5">
        <v>3</v>
      </c>
      <c r="N115" s="5">
        <v>4</v>
      </c>
      <c r="O115" s="5">
        <v>5</v>
      </c>
      <c r="P115" s="5">
        <v>6</v>
      </c>
      <c r="Q115" s="5">
        <v>7</v>
      </c>
      <c r="R115" s="5">
        <v>8</v>
      </c>
      <c r="S115" s="7">
        <v>9</v>
      </c>
      <c r="T115" s="7" t="s">
        <v>5</v>
      </c>
      <c r="V115" s="63" t="s">
        <v>21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5">
      <c r="B116" s="17" t="s">
        <v>4</v>
      </c>
      <c r="C116" s="11">
        <v>9</v>
      </c>
      <c r="D116" s="1">
        <v>8</v>
      </c>
      <c r="E116" s="1">
        <v>7</v>
      </c>
      <c r="F116" s="1">
        <v>6</v>
      </c>
      <c r="G116" s="1">
        <v>5</v>
      </c>
      <c r="H116" s="1">
        <v>4</v>
      </c>
      <c r="I116" s="1">
        <v>3</v>
      </c>
      <c r="J116" s="59">
        <v>2</v>
      </c>
      <c r="K116" s="1">
        <v>1</v>
      </c>
      <c r="L116" s="1">
        <v>2</v>
      </c>
      <c r="M116" s="1">
        <v>3</v>
      </c>
      <c r="N116" s="1">
        <v>4</v>
      </c>
      <c r="O116" s="1">
        <v>5</v>
      </c>
      <c r="P116" s="1">
        <v>6</v>
      </c>
      <c r="Q116" s="1">
        <v>7</v>
      </c>
      <c r="R116" s="1">
        <v>8</v>
      </c>
      <c r="S116" s="12">
        <v>9</v>
      </c>
      <c r="T116" s="12" t="s">
        <v>6</v>
      </c>
      <c r="V116" s="2" t="s">
        <v>4</v>
      </c>
      <c r="W116" s="3">
        <v>1</v>
      </c>
      <c r="X116" s="3">
        <f>1/5</f>
        <v>0.2</v>
      </c>
      <c r="Y116" s="3">
        <v>3</v>
      </c>
      <c r="Z116" s="3">
        <v>1</v>
      </c>
      <c r="AA116" s="3">
        <f>1/7</f>
        <v>0.14285714285714285</v>
      </c>
      <c r="AB116" s="3">
        <v>2</v>
      </c>
      <c r="AC116" s="3">
        <v>2</v>
      </c>
      <c r="AD116" s="3">
        <v>2</v>
      </c>
      <c r="AE116" s="3">
        <f>1/6</f>
        <v>0.16666666666666666</v>
      </c>
      <c r="AF116" s="3">
        <v>1</v>
      </c>
      <c r="AG116" s="3">
        <f>1/2</f>
        <v>0.5</v>
      </c>
      <c r="AH116" s="3">
        <v>1</v>
      </c>
      <c r="AI116" s="3">
        <v>1</v>
      </c>
      <c r="AJ116" s="3">
        <v>3</v>
      </c>
      <c r="AK116" s="3">
        <f>1/5</f>
        <v>0.2</v>
      </c>
    </row>
    <row r="117" spans="2:37" x14ac:dyDescent="0.5">
      <c r="B117" s="17" t="s">
        <v>4</v>
      </c>
      <c r="C117" s="11">
        <v>9</v>
      </c>
      <c r="D117" s="1">
        <v>8</v>
      </c>
      <c r="E117" s="1">
        <v>7</v>
      </c>
      <c r="F117" s="1">
        <v>6</v>
      </c>
      <c r="G117" s="1">
        <v>5</v>
      </c>
      <c r="H117" s="1">
        <v>4</v>
      </c>
      <c r="I117" s="18">
        <v>3</v>
      </c>
      <c r="J117" s="1">
        <v>2</v>
      </c>
      <c r="K117" s="59">
        <v>1</v>
      </c>
      <c r="L117" s="1">
        <v>2</v>
      </c>
      <c r="M117" s="1">
        <v>3</v>
      </c>
      <c r="N117" s="1">
        <v>4</v>
      </c>
      <c r="O117" s="1">
        <v>5</v>
      </c>
      <c r="P117" s="1">
        <v>6</v>
      </c>
      <c r="Q117" s="1">
        <v>7</v>
      </c>
      <c r="R117" s="1">
        <v>8</v>
      </c>
      <c r="S117" s="12">
        <v>9</v>
      </c>
      <c r="T117" s="12" t="s">
        <v>7</v>
      </c>
      <c r="V117" s="2" t="s">
        <v>5</v>
      </c>
      <c r="W117" s="3">
        <f>1/X116</f>
        <v>5</v>
      </c>
      <c r="X117" s="3">
        <v>1</v>
      </c>
      <c r="Y117" s="3">
        <v>2</v>
      </c>
      <c r="Z117" s="3">
        <f>1/6</f>
        <v>0.16666666666666666</v>
      </c>
      <c r="AA117" s="3">
        <f>1/8</f>
        <v>0.125</v>
      </c>
      <c r="AB117" s="3">
        <f>1/3</f>
        <v>0.33333333333333331</v>
      </c>
      <c r="AC117" s="3">
        <f>1/3</f>
        <v>0.33333333333333331</v>
      </c>
      <c r="AD117" s="3">
        <f>1/3</f>
        <v>0.33333333333333331</v>
      </c>
      <c r="AE117" s="3">
        <f>1/8</f>
        <v>0.125</v>
      </c>
      <c r="AF117" s="3">
        <f>1/3</f>
        <v>0.33333333333333331</v>
      </c>
      <c r="AG117" s="3">
        <f>1/8</f>
        <v>0.125</v>
      </c>
      <c r="AH117" s="3">
        <f>1/4</f>
        <v>0.25</v>
      </c>
      <c r="AI117" s="3">
        <f>1/3</f>
        <v>0.33333333333333331</v>
      </c>
      <c r="AJ117" s="3">
        <v>2</v>
      </c>
      <c r="AK117" s="3">
        <f>1/7</f>
        <v>0.14285714285714285</v>
      </c>
    </row>
    <row r="118" spans="2:37" x14ac:dyDescent="0.5">
      <c r="B118" s="17" t="s">
        <v>4</v>
      </c>
      <c r="C118" s="11">
        <v>9</v>
      </c>
      <c r="D118" s="1">
        <v>8</v>
      </c>
      <c r="E118" s="1">
        <v>7</v>
      </c>
      <c r="F118" s="1">
        <v>6</v>
      </c>
      <c r="G118" s="1">
        <v>5</v>
      </c>
      <c r="H118" s="1">
        <v>4</v>
      </c>
      <c r="I118" s="1">
        <v>3</v>
      </c>
      <c r="J118" s="1">
        <v>2</v>
      </c>
      <c r="K118" s="1">
        <v>1</v>
      </c>
      <c r="L118" s="1">
        <v>2</v>
      </c>
      <c r="M118" s="1">
        <v>3</v>
      </c>
      <c r="N118" s="1">
        <v>4</v>
      </c>
      <c r="O118" s="1">
        <v>5</v>
      </c>
      <c r="P118" s="1">
        <v>6</v>
      </c>
      <c r="Q118" s="59">
        <v>7</v>
      </c>
      <c r="R118" s="1">
        <v>8</v>
      </c>
      <c r="S118" s="12">
        <v>9</v>
      </c>
      <c r="T118" s="12" t="s">
        <v>8</v>
      </c>
      <c r="V118" s="2" t="s">
        <v>6</v>
      </c>
      <c r="W118" s="3">
        <f>1/Y116</f>
        <v>0.33333333333333331</v>
      </c>
      <c r="X118" s="3">
        <f>1/Y117</f>
        <v>0.5</v>
      </c>
      <c r="Y118" s="3">
        <v>1</v>
      </c>
      <c r="Z118" s="3">
        <f>1/6</f>
        <v>0.16666666666666666</v>
      </c>
      <c r="AA118" s="3">
        <f>1/6</f>
        <v>0.16666666666666666</v>
      </c>
      <c r="AB118" s="3">
        <f>1/4</f>
        <v>0.25</v>
      </c>
      <c r="AC118" s="3">
        <v>3</v>
      </c>
      <c r="AD118" s="3">
        <v>2</v>
      </c>
      <c r="AE118" s="3">
        <v>4</v>
      </c>
      <c r="AF118" s="3">
        <v>3</v>
      </c>
      <c r="AG118" s="3">
        <f>1/3</f>
        <v>0.33333333333333331</v>
      </c>
      <c r="AH118" s="3">
        <f>1/4</f>
        <v>0.25</v>
      </c>
      <c r="AI118" s="3">
        <f>1/3</f>
        <v>0.33333333333333331</v>
      </c>
      <c r="AJ118" s="3">
        <f>1/2</f>
        <v>0.5</v>
      </c>
      <c r="AK118" s="3">
        <f>1/4</f>
        <v>0.25</v>
      </c>
    </row>
    <row r="119" spans="2:37" x14ac:dyDescent="0.5">
      <c r="B119" s="17" t="s">
        <v>4</v>
      </c>
      <c r="C119" s="11">
        <v>9</v>
      </c>
      <c r="D119" s="1">
        <v>8</v>
      </c>
      <c r="E119" s="1">
        <v>7</v>
      </c>
      <c r="F119" s="1">
        <v>6</v>
      </c>
      <c r="G119" s="1">
        <v>5</v>
      </c>
      <c r="H119" s="1">
        <v>4</v>
      </c>
      <c r="I119" s="1">
        <v>3</v>
      </c>
      <c r="J119" s="59">
        <v>2</v>
      </c>
      <c r="K119" s="1">
        <v>1</v>
      </c>
      <c r="L119" s="1">
        <v>2</v>
      </c>
      <c r="M119" s="1">
        <v>3</v>
      </c>
      <c r="N119" s="1">
        <v>4</v>
      </c>
      <c r="O119" s="1">
        <v>5</v>
      </c>
      <c r="P119" s="1">
        <v>6</v>
      </c>
      <c r="Q119" s="1">
        <v>7</v>
      </c>
      <c r="R119" s="1">
        <v>8</v>
      </c>
      <c r="S119" s="12">
        <v>9</v>
      </c>
      <c r="T119" s="12" t="s">
        <v>9</v>
      </c>
      <c r="V119" s="2" t="s">
        <v>7</v>
      </c>
      <c r="W119" s="3">
        <f>1/Z116</f>
        <v>1</v>
      </c>
      <c r="X119" s="3">
        <f>1/Z117</f>
        <v>6</v>
      </c>
      <c r="Y119" s="3">
        <f>1/Z118</f>
        <v>6</v>
      </c>
      <c r="Z119" s="3">
        <v>1</v>
      </c>
      <c r="AA119" s="3">
        <f>1/5</f>
        <v>0.2</v>
      </c>
      <c r="AB119" s="3">
        <v>2</v>
      </c>
      <c r="AC119" s="3">
        <v>2</v>
      </c>
      <c r="AD119" s="3">
        <v>2</v>
      </c>
      <c r="AE119" s="3">
        <f>1/4</f>
        <v>0.25</v>
      </c>
      <c r="AF119" s="3">
        <v>2</v>
      </c>
      <c r="AG119" s="3">
        <f>1/2</f>
        <v>0.5</v>
      </c>
      <c r="AH119" s="3">
        <v>2</v>
      </c>
      <c r="AI119" s="3">
        <v>3</v>
      </c>
      <c r="AJ119" s="3">
        <v>4</v>
      </c>
      <c r="AK119" s="3">
        <f>1/3</f>
        <v>0.33333333333333331</v>
      </c>
    </row>
    <row r="120" spans="2:37" x14ac:dyDescent="0.5">
      <c r="B120" s="17" t="s">
        <v>4</v>
      </c>
      <c r="C120" s="11">
        <v>9</v>
      </c>
      <c r="D120" s="1">
        <v>8</v>
      </c>
      <c r="E120" s="1">
        <v>7</v>
      </c>
      <c r="F120" s="1">
        <v>6</v>
      </c>
      <c r="G120" s="1">
        <v>5</v>
      </c>
      <c r="H120" s="1">
        <v>4</v>
      </c>
      <c r="I120" s="1">
        <v>3</v>
      </c>
      <c r="J120" s="59">
        <v>2</v>
      </c>
      <c r="K120" s="1">
        <v>1</v>
      </c>
      <c r="L120" s="1">
        <v>2</v>
      </c>
      <c r="M120" s="1">
        <v>3</v>
      </c>
      <c r="N120" s="1">
        <v>4</v>
      </c>
      <c r="O120" s="1">
        <v>5</v>
      </c>
      <c r="P120" s="1">
        <v>6</v>
      </c>
      <c r="Q120" s="1">
        <v>7</v>
      </c>
      <c r="R120" s="1">
        <v>8</v>
      </c>
      <c r="S120" s="12">
        <v>9</v>
      </c>
      <c r="T120" s="12" t="s">
        <v>10</v>
      </c>
      <c r="V120" s="2" t="s">
        <v>8</v>
      </c>
      <c r="W120" s="3">
        <f>1/AA116</f>
        <v>7</v>
      </c>
      <c r="X120" s="3">
        <f>1/AA117</f>
        <v>8</v>
      </c>
      <c r="Y120" s="3">
        <f>1/AA118</f>
        <v>6</v>
      </c>
      <c r="Z120" s="3">
        <f>1/AA119</f>
        <v>5</v>
      </c>
      <c r="AA120" s="3">
        <v>1</v>
      </c>
      <c r="AB120" s="3">
        <v>9</v>
      </c>
      <c r="AC120" s="3">
        <v>8</v>
      </c>
      <c r="AD120" s="3">
        <v>8</v>
      </c>
      <c r="AE120" s="3">
        <v>2</v>
      </c>
      <c r="AF120" s="3">
        <v>7</v>
      </c>
      <c r="AG120" s="3">
        <v>6</v>
      </c>
      <c r="AH120" s="3">
        <v>99</v>
      </c>
      <c r="AI120" s="3">
        <v>8</v>
      </c>
      <c r="AJ120" s="3">
        <v>7</v>
      </c>
      <c r="AK120" s="3">
        <v>2</v>
      </c>
    </row>
    <row r="121" spans="2:37" x14ac:dyDescent="0.5">
      <c r="B121" s="17" t="s">
        <v>4</v>
      </c>
      <c r="C121" s="11">
        <v>9</v>
      </c>
      <c r="D121" s="1">
        <v>8</v>
      </c>
      <c r="E121" s="1">
        <v>7</v>
      </c>
      <c r="F121" s="1">
        <v>6</v>
      </c>
      <c r="G121" s="1">
        <v>5</v>
      </c>
      <c r="H121" s="1">
        <v>4</v>
      </c>
      <c r="I121" s="1">
        <v>3</v>
      </c>
      <c r="J121" s="59">
        <v>2</v>
      </c>
      <c r="K121" s="1">
        <v>1</v>
      </c>
      <c r="L121" s="1">
        <v>2</v>
      </c>
      <c r="M121" s="1">
        <v>3</v>
      </c>
      <c r="N121" s="1">
        <v>4</v>
      </c>
      <c r="O121" s="1">
        <v>5</v>
      </c>
      <c r="P121" s="1">
        <v>6</v>
      </c>
      <c r="Q121" s="1">
        <v>7</v>
      </c>
      <c r="R121" s="1">
        <v>8</v>
      </c>
      <c r="S121" s="12">
        <v>9</v>
      </c>
      <c r="T121" s="12" t="s">
        <v>11</v>
      </c>
      <c r="V121" s="2" t="s">
        <v>9</v>
      </c>
      <c r="W121" s="3">
        <f>1/AB116</f>
        <v>0.5</v>
      </c>
      <c r="X121" s="3">
        <f>1/AB117</f>
        <v>3</v>
      </c>
      <c r="Y121" s="3">
        <f>1/AB118</f>
        <v>4</v>
      </c>
      <c r="Z121" s="3">
        <f>1/AB119</f>
        <v>0.5</v>
      </c>
      <c r="AA121" s="3">
        <f>1/AB120</f>
        <v>0.1111111111111111</v>
      </c>
      <c r="AB121" s="3">
        <v>1</v>
      </c>
      <c r="AC121" s="3">
        <v>2</v>
      </c>
      <c r="AD121" s="3">
        <v>1</v>
      </c>
      <c r="AE121" s="3">
        <f>1/7</f>
        <v>0.14285714285714285</v>
      </c>
      <c r="AF121" s="3">
        <v>1</v>
      </c>
      <c r="AG121" s="3">
        <f>1/4</f>
        <v>0.25</v>
      </c>
      <c r="AH121" s="3">
        <f>1/2</f>
        <v>0.5</v>
      </c>
      <c r="AI121" s="3">
        <v>1</v>
      </c>
      <c r="AJ121" s="3">
        <v>1</v>
      </c>
      <c r="AK121" s="3">
        <f>1/7</f>
        <v>0.14285714285714285</v>
      </c>
    </row>
    <row r="122" spans="2:37" x14ac:dyDescent="0.5">
      <c r="B122" s="17" t="s">
        <v>4</v>
      </c>
      <c r="C122" s="11">
        <v>9</v>
      </c>
      <c r="D122" s="1">
        <v>8</v>
      </c>
      <c r="E122" s="1">
        <v>7</v>
      </c>
      <c r="F122" s="1">
        <v>6</v>
      </c>
      <c r="G122" s="1">
        <v>5</v>
      </c>
      <c r="H122" s="1">
        <v>4</v>
      </c>
      <c r="I122" s="1">
        <v>3</v>
      </c>
      <c r="J122" s="1">
        <v>2</v>
      </c>
      <c r="K122" s="1">
        <v>1</v>
      </c>
      <c r="L122" s="1">
        <v>2</v>
      </c>
      <c r="M122" s="1">
        <v>3</v>
      </c>
      <c r="N122" s="1">
        <v>4</v>
      </c>
      <c r="O122" s="1">
        <v>5</v>
      </c>
      <c r="P122" s="59">
        <v>6</v>
      </c>
      <c r="Q122" s="1">
        <v>7</v>
      </c>
      <c r="R122" s="1">
        <v>8</v>
      </c>
      <c r="S122" s="12">
        <v>9</v>
      </c>
      <c r="T122" s="12" t="s">
        <v>12</v>
      </c>
      <c r="V122" s="2" t="s">
        <v>10</v>
      </c>
      <c r="W122" s="3">
        <f>1/AC116</f>
        <v>0.5</v>
      </c>
      <c r="X122" s="3">
        <f>1/AC117</f>
        <v>3</v>
      </c>
      <c r="Y122" s="3">
        <f>1/AC118</f>
        <v>0.33333333333333331</v>
      </c>
      <c r="Z122" s="3">
        <f>1/AC119</f>
        <v>0.5</v>
      </c>
      <c r="AA122" s="3">
        <f>1/AC120</f>
        <v>0.125</v>
      </c>
      <c r="AB122" s="3">
        <f>1/AC121</f>
        <v>0.5</v>
      </c>
      <c r="AC122" s="3">
        <v>1</v>
      </c>
      <c r="AD122" s="3">
        <v>1</v>
      </c>
      <c r="AE122" s="3">
        <f>1/3</f>
        <v>0.33333333333333331</v>
      </c>
      <c r="AF122" s="3">
        <v>1</v>
      </c>
      <c r="AG122" s="3">
        <f>1/5</f>
        <v>0.2</v>
      </c>
      <c r="AH122" s="3">
        <f>1/2</f>
        <v>0.5</v>
      </c>
      <c r="AI122" s="3">
        <v>1</v>
      </c>
      <c r="AJ122" s="116">
        <v>2</v>
      </c>
      <c r="AK122" s="3">
        <f>1/7</f>
        <v>0.14285714285714285</v>
      </c>
    </row>
    <row r="123" spans="2:37" x14ac:dyDescent="0.5">
      <c r="B123" s="17" t="s">
        <v>4</v>
      </c>
      <c r="C123" s="11">
        <v>9</v>
      </c>
      <c r="D123" s="1">
        <v>8</v>
      </c>
      <c r="E123" s="1">
        <v>7</v>
      </c>
      <c r="F123" s="1">
        <v>6</v>
      </c>
      <c r="G123" s="1">
        <v>5</v>
      </c>
      <c r="H123" s="1">
        <v>4</v>
      </c>
      <c r="I123" s="1">
        <v>3</v>
      </c>
      <c r="J123" s="1">
        <v>2</v>
      </c>
      <c r="K123" s="59">
        <v>1</v>
      </c>
      <c r="L123" s="1">
        <v>2</v>
      </c>
      <c r="M123" s="1">
        <v>3</v>
      </c>
      <c r="N123" s="1">
        <v>4</v>
      </c>
      <c r="O123" s="1">
        <v>5</v>
      </c>
      <c r="P123" s="1">
        <v>6</v>
      </c>
      <c r="Q123" s="1">
        <v>7</v>
      </c>
      <c r="R123" s="1">
        <v>8</v>
      </c>
      <c r="S123" s="12">
        <v>9</v>
      </c>
      <c r="T123" s="12" t="s">
        <v>13</v>
      </c>
      <c r="V123" s="2" t="s">
        <v>11</v>
      </c>
      <c r="W123" s="3">
        <f>1/AD116</f>
        <v>0.5</v>
      </c>
      <c r="X123" s="3">
        <f>1/AD117</f>
        <v>3</v>
      </c>
      <c r="Y123" s="3">
        <f>1/AD118</f>
        <v>0.5</v>
      </c>
      <c r="Z123" s="3">
        <f>1/AD119</f>
        <v>0.5</v>
      </c>
      <c r="AA123" s="3">
        <f>1/AD120</f>
        <v>0.125</v>
      </c>
      <c r="AB123" s="3">
        <f>1/AD121</f>
        <v>1</v>
      </c>
      <c r="AC123" s="3">
        <f>1/AD122</f>
        <v>1</v>
      </c>
      <c r="AD123" s="3">
        <v>1</v>
      </c>
      <c r="AE123" s="3">
        <f>1/3</f>
        <v>0.33333333333333331</v>
      </c>
      <c r="AF123" s="3">
        <f>1/3</f>
        <v>0.33333333333333331</v>
      </c>
      <c r="AG123" s="3">
        <f>1/5</f>
        <v>0.2</v>
      </c>
      <c r="AH123" s="3">
        <f>1/2</f>
        <v>0.5</v>
      </c>
      <c r="AI123" s="3">
        <v>1</v>
      </c>
      <c r="AJ123" s="116">
        <v>2</v>
      </c>
      <c r="AK123" s="3">
        <f>1/7</f>
        <v>0.14285714285714285</v>
      </c>
    </row>
    <row r="124" spans="2:37" x14ac:dyDescent="0.5">
      <c r="B124" s="17" t="s">
        <v>4</v>
      </c>
      <c r="C124" s="11">
        <v>9</v>
      </c>
      <c r="D124" s="1">
        <v>8</v>
      </c>
      <c r="E124" s="1">
        <v>7</v>
      </c>
      <c r="F124" s="1">
        <v>6</v>
      </c>
      <c r="G124" s="1">
        <v>5</v>
      </c>
      <c r="H124" s="1">
        <v>4</v>
      </c>
      <c r="I124" s="1">
        <v>3</v>
      </c>
      <c r="J124" s="1">
        <v>2</v>
      </c>
      <c r="K124" s="1">
        <v>1</v>
      </c>
      <c r="L124" s="59">
        <v>2</v>
      </c>
      <c r="M124" s="1">
        <v>3</v>
      </c>
      <c r="N124" s="1">
        <v>4</v>
      </c>
      <c r="O124" s="1">
        <v>5</v>
      </c>
      <c r="P124" s="1">
        <v>6</v>
      </c>
      <c r="Q124" s="1">
        <v>7</v>
      </c>
      <c r="R124" s="1">
        <v>8</v>
      </c>
      <c r="S124" s="12">
        <v>9</v>
      </c>
      <c r="T124" s="12" t="s">
        <v>14</v>
      </c>
      <c r="V124" s="2" t="s">
        <v>12</v>
      </c>
      <c r="W124" s="3">
        <f>1/AE116</f>
        <v>6</v>
      </c>
      <c r="X124" s="3">
        <f>1/AE117</f>
        <v>8</v>
      </c>
      <c r="Y124" s="3">
        <f>1/AE118</f>
        <v>0.25</v>
      </c>
      <c r="Z124" s="3">
        <f>1/AE119</f>
        <v>4</v>
      </c>
      <c r="AA124" s="3">
        <f>1/AE120</f>
        <v>0.5</v>
      </c>
      <c r="AB124" s="3">
        <f>1/AE121</f>
        <v>7</v>
      </c>
      <c r="AC124" s="3">
        <f>1/AE122</f>
        <v>3</v>
      </c>
      <c r="AD124" s="3">
        <f>1/AE123</f>
        <v>3</v>
      </c>
      <c r="AE124" s="3">
        <v>1</v>
      </c>
      <c r="AF124" s="3">
        <v>8</v>
      </c>
      <c r="AG124" s="3">
        <v>4</v>
      </c>
      <c r="AH124" s="3">
        <v>7</v>
      </c>
      <c r="AI124" s="3">
        <v>7</v>
      </c>
      <c r="AJ124" s="3">
        <v>6</v>
      </c>
      <c r="AK124" s="3">
        <f>1/2</f>
        <v>0.5</v>
      </c>
    </row>
    <row r="125" spans="2:37" x14ac:dyDescent="0.5">
      <c r="B125" s="17" t="s">
        <v>4</v>
      </c>
      <c r="C125" s="11">
        <v>9</v>
      </c>
      <c r="D125" s="1">
        <v>8</v>
      </c>
      <c r="E125" s="1">
        <v>7</v>
      </c>
      <c r="F125" s="1">
        <v>6</v>
      </c>
      <c r="G125" s="1">
        <v>5</v>
      </c>
      <c r="H125" s="1">
        <v>4</v>
      </c>
      <c r="I125" s="1">
        <v>3</v>
      </c>
      <c r="J125" s="1">
        <v>2</v>
      </c>
      <c r="K125" s="59">
        <v>1</v>
      </c>
      <c r="L125" s="1">
        <v>2</v>
      </c>
      <c r="M125" s="1">
        <v>3</v>
      </c>
      <c r="N125" s="1">
        <v>4</v>
      </c>
      <c r="O125" s="1">
        <v>5</v>
      </c>
      <c r="P125" s="1">
        <v>6</v>
      </c>
      <c r="Q125" s="1">
        <v>7</v>
      </c>
      <c r="R125" s="1">
        <v>8</v>
      </c>
      <c r="S125" s="12">
        <v>9</v>
      </c>
      <c r="T125" s="12" t="s">
        <v>15</v>
      </c>
      <c r="V125" s="2" t="s">
        <v>13</v>
      </c>
      <c r="W125" s="3">
        <f>1/AF116</f>
        <v>1</v>
      </c>
      <c r="X125" s="3">
        <f>1/AF117</f>
        <v>3</v>
      </c>
      <c r="Y125" s="3">
        <f>1/AF118</f>
        <v>0.33333333333333331</v>
      </c>
      <c r="Z125" s="3">
        <f>1/AF119</f>
        <v>0.5</v>
      </c>
      <c r="AA125" s="3">
        <f>1/AF120</f>
        <v>0.14285714285714285</v>
      </c>
      <c r="AB125" s="3">
        <f>1/AF121</f>
        <v>1</v>
      </c>
      <c r="AC125" s="3">
        <f>1/AF122</f>
        <v>1</v>
      </c>
      <c r="AD125" s="3">
        <f>1/AF123</f>
        <v>3</v>
      </c>
      <c r="AE125" s="3">
        <f>1/AF124</f>
        <v>0.125</v>
      </c>
      <c r="AF125" s="3">
        <v>1</v>
      </c>
      <c r="AG125" s="3">
        <f>1/4</f>
        <v>0.25</v>
      </c>
      <c r="AH125" s="3">
        <f>1/2</f>
        <v>0.5</v>
      </c>
      <c r="AI125" s="3">
        <f>1/2</f>
        <v>0.5</v>
      </c>
      <c r="AJ125" s="3">
        <f>1/3</f>
        <v>0.33333333333333331</v>
      </c>
      <c r="AK125" s="3">
        <f>1/6</f>
        <v>0.16666666666666666</v>
      </c>
    </row>
    <row r="126" spans="2:37" x14ac:dyDescent="0.5">
      <c r="B126" s="17" t="s">
        <v>4</v>
      </c>
      <c r="C126" s="11">
        <v>9</v>
      </c>
      <c r="D126" s="1">
        <v>8</v>
      </c>
      <c r="E126" s="1">
        <v>7</v>
      </c>
      <c r="F126" s="1">
        <v>6</v>
      </c>
      <c r="G126" s="1">
        <v>5</v>
      </c>
      <c r="H126" s="1">
        <v>4</v>
      </c>
      <c r="I126" s="1">
        <v>3</v>
      </c>
      <c r="J126" s="1">
        <v>2</v>
      </c>
      <c r="K126" s="59">
        <v>1</v>
      </c>
      <c r="L126" s="1">
        <v>2</v>
      </c>
      <c r="M126" s="1">
        <v>3</v>
      </c>
      <c r="N126" s="1">
        <v>4</v>
      </c>
      <c r="O126" s="1">
        <v>5</v>
      </c>
      <c r="P126" s="1">
        <v>6</v>
      </c>
      <c r="Q126" s="1">
        <v>7</v>
      </c>
      <c r="R126" s="1">
        <v>8</v>
      </c>
      <c r="S126" s="12">
        <v>9</v>
      </c>
      <c r="T126" s="12" t="s">
        <v>16</v>
      </c>
      <c r="V126" s="2" t="s">
        <v>14</v>
      </c>
      <c r="W126" s="3">
        <f>1/AG116</f>
        <v>2</v>
      </c>
      <c r="X126" s="3">
        <f>1/AG117</f>
        <v>8</v>
      </c>
      <c r="Y126" s="3">
        <f>1/AG118</f>
        <v>3</v>
      </c>
      <c r="Z126" s="3">
        <f>1/AG119</f>
        <v>2</v>
      </c>
      <c r="AA126" s="3">
        <f>1/AG120</f>
        <v>0.16666666666666666</v>
      </c>
      <c r="AB126" s="3">
        <f>1/AG121</f>
        <v>4</v>
      </c>
      <c r="AC126" s="3">
        <f>1/AG122</f>
        <v>5</v>
      </c>
      <c r="AD126" s="3">
        <f>1/AG123</f>
        <v>5</v>
      </c>
      <c r="AE126" s="3">
        <f>1/AG124</f>
        <v>0.25</v>
      </c>
      <c r="AF126" s="3">
        <f>1/AG125</f>
        <v>4</v>
      </c>
      <c r="AG126" s="3">
        <v>1</v>
      </c>
      <c r="AH126" s="3">
        <v>3</v>
      </c>
      <c r="AI126" s="3">
        <v>3</v>
      </c>
      <c r="AJ126" s="3">
        <v>2</v>
      </c>
      <c r="AK126" s="3">
        <f>1/3</f>
        <v>0.33333333333333331</v>
      </c>
    </row>
    <row r="127" spans="2:37" x14ac:dyDescent="0.5">
      <c r="B127" s="17" t="s">
        <v>4</v>
      </c>
      <c r="C127" s="11">
        <v>9</v>
      </c>
      <c r="D127" s="1">
        <v>8</v>
      </c>
      <c r="E127" s="1">
        <v>7</v>
      </c>
      <c r="F127" s="1">
        <v>6</v>
      </c>
      <c r="G127" s="1">
        <v>5</v>
      </c>
      <c r="H127" s="1">
        <v>4</v>
      </c>
      <c r="I127" s="59">
        <v>3</v>
      </c>
      <c r="J127" s="1">
        <v>2</v>
      </c>
      <c r="K127" s="1">
        <v>1</v>
      </c>
      <c r="L127" s="1">
        <v>2</v>
      </c>
      <c r="M127" s="1">
        <v>3</v>
      </c>
      <c r="N127" s="1">
        <v>4</v>
      </c>
      <c r="O127" s="1">
        <v>5</v>
      </c>
      <c r="P127" s="1">
        <v>6</v>
      </c>
      <c r="Q127" s="1">
        <v>7</v>
      </c>
      <c r="R127" s="1">
        <v>8</v>
      </c>
      <c r="S127" s="12">
        <v>9</v>
      </c>
      <c r="T127" s="12" t="s">
        <v>17</v>
      </c>
      <c r="V127" s="2" t="s">
        <v>15</v>
      </c>
      <c r="W127" s="3">
        <f>1/AH116</f>
        <v>1</v>
      </c>
      <c r="X127" s="3">
        <f>1/AH117</f>
        <v>4</v>
      </c>
      <c r="Y127" s="3">
        <f>1/AH118</f>
        <v>4</v>
      </c>
      <c r="Z127" s="3">
        <f>1/AH119</f>
        <v>0.5</v>
      </c>
      <c r="AA127" s="3">
        <f>1/AH120</f>
        <v>1.0101010101010102E-2</v>
      </c>
      <c r="AB127" s="3">
        <f>1/AH121</f>
        <v>2</v>
      </c>
      <c r="AC127" s="3">
        <f>1/AH122</f>
        <v>2</v>
      </c>
      <c r="AD127" s="3">
        <f>1/AH123</f>
        <v>2</v>
      </c>
      <c r="AE127" s="3">
        <f>1/AH124</f>
        <v>0.14285714285714285</v>
      </c>
      <c r="AF127" s="3">
        <f>1/AH125</f>
        <v>2</v>
      </c>
      <c r="AG127" s="3">
        <f>1/AH126</f>
        <v>0.33333333333333331</v>
      </c>
      <c r="AH127" s="3">
        <v>1</v>
      </c>
      <c r="AI127" s="3">
        <f>1/6</f>
        <v>0.16666666666666666</v>
      </c>
      <c r="AJ127" s="3">
        <f>1/5</f>
        <v>0.2</v>
      </c>
      <c r="AK127" s="3">
        <v>2</v>
      </c>
    </row>
    <row r="128" spans="2:37" x14ac:dyDescent="0.5">
      <c r="B128" s="13" t="s">
        <v>4</v>
      </c>
      <c r="C128" s="13">
        <v>9</v>
      </c>
      <c r="D128" s="14">
        <v>8</v>
      </c>
      <c r="E128" s="14">
        <v>7</v>
      </c>
      <c r="F128" s="14">
        <v>6</v>
      </c>
      <c r="G128" s="14">
        <v>5</v>
      </c>
      <c r="H128" s="14">
        <v>4</v>
      </c>
      <c r="I128" s="14">
        <v>3</v>
      </c>
      <c r="J128" s="14">
        <v>2</v>
      </c>
      <c r="K128" s="14">
        <v>1</v>
      </c>
      <c r="L128" s="14">
        <v>2</v>
      </c>
      <c r="M128" s="14">
        <v>3</v>
      </c>
      <c r="N128" s="14">
        <v>4</v>
      </c>
      <c r="O128" s="60">
        <v>5</v>
      </c>
      <c r="P128" s="14">
        <v>6</v>
      </c>
      <c r="Q128" s="14">
        <v>7</v>
      </c>
      <c r="R128" s="14">
        <v>8</v>
      </c>
      <c r="S128" s="15">
        <v>9</v>
      </c>
      <c r="T128" s="15" t="s">
        <v>18</v>
      </c>
      <c r="V128" s="2" t="s">
        <v>16</v>
      </c>
      <c r="W128" s="3">
        <f>1/AI116</f>
        <v>1</v>
      </c>
      <c r="X128" s="3">
        <f>1/AI117</f>
        <v>3</v>
      </c>
      <c r="Y128" s="3">
        <f>1/AI118</f>
        <v>3</v>
      </c>
      <c r="Z128" s="3">
        <f>1/AI119</f>
        <v>0.33333333333333331</v>
      </c>
      <c r="AA128" s="3">
        <f>1/AI120</f>
        <v>0.125</v>
      </c>
      <c r="AB128" s="3">
        <f>1/AI121</f>
        <v>1</v>
      </c>
      <c r="AC128" s="3">
        <f>1/AI122</f>
        <v>1</v>
      </c>
      <c r="AD128" s="3">
        <f>1/AI123</f>
        <v>1</v>
      </c>
      <c r="AE128" s="3">
        <f>1/AI124</f>
        <v>0.14285714285714285</v>
      </c>
      <c r="AF128" s="3">
        <f>1/AI125</f>
        <v>2</v>
      </c>
      <c r="AG128" s="3">
        <f>1/AI126</f>
        <v>0.33333333333333331</v>
      </c>
      <c r="AH128" s="3">
        <f>1/AI127</f>
        <v>6</v>
      </c>
      <c r="AI128" s="3">
        <v>1</v>
      </c>
      <c r="AJ128" s="3">
        <f>1/6</f>
        <v>0.16666666666666666</v>
      </c>
      <c r="AK128" s="3">
        <f>1/7</f>
        <v>0.14285714285714285</v>
      </c>
    </row>
    <row r="129" spans="2:37" x14ac:dyDescent="0.5">
      <c r="B129" s="16" t="s">
        <v>5</v>
      </c>
      <c r="C129" s="11">
        <v>9</v>
      </c>
      <c r="D129" s="1">
        <v>8</v>
      </c>
      <c r="E129" s="1">
        <v>7</v>
      </c>
      <c r="F129" s="1">
        <v>6</v>
      </c>
      <c r="G129" s="1">
        <v>5</v>
      </c>
      <c r="H129" s="1">
        <v>4</v>
      </c>
      <c r="I129" s="1">
        <v>3</v>
      </c>
      <c r="J129" s="59">
        <v>2</v>
      </c>
      <c r="K129" s="1">
        <v>1</v>
      </c>
      <c r="L129" s="1">
        <v>2</v>
      </c>
      <c r="M129" s="1">
        <v>3</v>
      </c>
      <c r="N129" s="1">
        <v>4</v>
      </c>
      <c r="O129" s="1">
        <v>5</v>
      </c>
      <c r="P129" s="1">
        <v>6</v>
      </c>
      <c r="Q129" s="1">
        <v>7</v>
      </c>
      <c r="R129" s="1">
        <v>8</v>
      </c>
      <c r="S129" s="12">
        <v>9</v>
      </c>
      <c r="T129" s="12" t="s">
        <v>6</v>
      </c>
      <c r="V129" s="2" t="s">
        <v>17</v>
      </c>
      <c r="W129" s="3">
        <f>1/AJ116</f>
        <v>0.33333333333333331</v>
      </c>
      <c r="X129" s="3">
        <f>1/AJ117</f>
        <v>0.5</v>
      </c>
      <c r="Y129" s="3">
        <f>1/AJ118</f>
        <v>2</v>
      </c>
      <c r="Z129" s="3">
        <f>1/AJ119</f>
        <v>0.25</v>
      </c>
      <c r="AA129" s="3">
        <f>1/AJ120</f>
        <v>0.14285714285714285</v>
      </c>
      <c r="AB129" s="3">
        <f>1/AJ121</f>
        <v>1</v>
      </c>
      <c r="AC129" s="3">
        <f>1/AJ122</f>
        <v>0.5</v>
      </c>
      <c r="AD129" s="3">
        <f>1/AJ123</f>
        <v>0.5</v>
      </c>
      <c r="AE129" s="3">
        <f>1/AJ124</f>
        <v>0.16666666666666666</v>
      </c>
      <c r="AF129" s="3">
        <f>1/AJ125</f>
        <v>3</v>
      </c>
      <c r="AG129" s="3">
        <f>1/AJ126</f>
        <v>0.5</v>
      </c>
      <c r="AH129" s="3">
        <f>1/AJ127</f>
        <v>5</v>
      </c>
      <c r="AI129" s="3">
        <f>1/AJ128</f>
        <v>6</v>
      </c>
      <c r="AJ129" s="3">
        <v>1</v>
      </c>
      <c r="AK129" s="3">
        <v>2</v>
      </c>
    </row>
    <row r="130" spans="2:37" x14ac:dyDescent="0.5">
      <c r="B130" s="17" t="s">
        <v>5</v>
      </c>
      <c r="C130" s="11">
        <v>9</v>
      </c>
      <c r="D130" s="1">
        <v>8</v>
      </c>
      <c r="E130" s="1">
        <v>7</v>
      </c>
      <c r="F130" s="1">
        <v>6</v>
      </c>
      <c r="G130" s="1">
        <v>5</v>
      </c>
      <c r="H130" s="1">
        <v>4</v>
      </c>
      <c r="I130" s="18">
        <v>3</v>
      </c>
      <c r="J130" s="1">
        <v>2</v>
      </c>
      <c r="K130" s="1">
        <v>1</v>
      </c>
      <c r="L130" s="1">
        <v>2</v>
      </c>
      <c r="M130" s="1">
        <v>3</v>
      </c>
      <c r="N130" s="1">
        <v>4</v>
      </c>
      <c r="O130" s="1">
        <v>5</v>
      </c>
      <c r="P130" s="59">
        <v>6</v>
      </c>
      <c r="Q130" s="1">
        <v>7</v>
      </c>
      <c r="R130" s="1">
        <v>8</v>
      </c>
      <c r="S130" s="12">
        <v>9</v>
      </c>
      <c r="T130" s="12" t="s">
        <v>7</v>
      </c>
      <c r="V130" s="2" t="s">
        <v>18</v>
      </c>
      <c r="W130" s="3">
        <f>1/AK116</f>
        <v>5</v>
      </c>
      <c r="X130" s="3">
        <f>1/AK117</f>
        <v>7</v>
      </c>
      <c r="Y130" s="3">
        <f>1/AK118</f>
        <v>4</v>
      </c>
      <c r="Z130" s="3">
        <f>1/AK119</f>
        <v>3</v>
      </c>
      <c r="AA130" s="3">
        <f>1/AK120</f>
        <v>0.5</v>
      </c>
      <c r="AB130" s="3">
        <f>1/AK121</f>
        <v>7</v>
      </c>
      <c r="AC130" s="3">
        <f>1/AK122</f>
        <v>7</v>
      </c>
      <c r="AD130" s="3">
        <f>1/AK123</f>
        <v>7</v>
      </c>
      <c r="AE130" s="3">
        <f>1/AK124</f>
        <v>2</v>
      </c>
      <c r="AF130" s="3">
        <f>1/AK125</f>
        <v>6</v>
      </c>
      <c r="AG130" s="3">
        <f>1/AK126</f>
        <v>3</v>
      </c>
      <c r="AH130" s="3">
        <f>1/AK127</f>
        <v>0.5</v>
      </c>
      <c r="AI130" s="3">
        <f>1/AK128</f>
        <v>7</v>
      </c>
      <c r="AJ130" s="3">
        <f>1/AK129</f>
        <v>0.5</v>
      </c>
      <c r="AK130" s="3">
        <v>1</v>
      </c>
    </row>
    <row r="131" spans="2:37" x14ac:dyDescent="0.5">
      <c r="B131" s="17" t="s">
        <v>5</v>
      </c>
      <c r="C131" s="11">
        <v>9</v>
      </c>
      <c r="D131" s="1">
        <v>8</v>
      </c>
      <c r="E131" s="1">
        <v>7</v>
      </c>
      <c r="F131" s="1">
        <v>6</v>
      </c>
      <c r="G131" s="1">
        <v>5</v>
      </c>
      <c r="H131" s="1">
        <v>4</v>
      </c>
      <c r="I131" s="1">
        <v>3</v>
      </c>
      <c r="J131" s="1">
        <v>2</v>
      </c>
      <c r="K131" s="1">
        <v>1</v>
      </c>
      <c r="L131" s="1">
        <v>2</v>
      </c>
      <c r="M131" s="1">
        <v>3</v>
      </c>
      <c r="N131" s="1">
        <v>4</v>
      </c>
      <c r="O131" s="1">
        <v>5</v>
      </c>
      <c r="P131" s="1">
        <v>6</v>
      </c>
      <c r="Q131" s="1">
        <v>7</v>
      </c>
      <c r="R131" s="59">
        <v>8</v>
      </c>
      <c r="S131" s="12">
        <v>9</v>
      </c>
      <c r="T131" s="12" t="s">
        <v>8</v>
      </c>
    </row>
    <row r="132" spans="2:37" x14ac:dyDescent="0.5">
      <c r="B132" s="17" t="s">
        <v>5</v>
      </c>
      <c r="C132" s="11">
        <v>9</v>
      </c>
      <c r="D132" s="1">
        <v>8</v>
      </c>
      <c r="E132" s="1">
        <v>7</v>
      </c>
      <c r="F132" s="1">
        <v>6</v>
      </c>
      <c r="G132" s="1">
        <v>5</v>
      </c>
      <c r="H132" s="1">
        <v>4</v>
      </c>
      <c r="I132" s="1">
        <v>3</v>
      </c>
      <c r="J132" s="1">
        <v>2</v>
      </c>
      <c r="K132" s="1">
        <v>1</v>
      </c>
      <c r="L132" s="1">
        <v>2</v>
      </c>
      <c r="M132" s="59">
        <v>3</v>
      </c>
      <c r="N132" s="1">
        <v>4</v>
      </c>
      <c r="O132" s="1">
        <v>5</v>
      </c>
      <c r="P132" s="1">
        <v>6</v>
      </c>
      <c r="Q132" s="1">
        <v>7</v>
      </c>
      <c r="R132" s="1">
        <v>8</v>
      </c>
      <c r="S132" s="12">
        <v>9</v>
      </c>
      <c r="T132" s="12" t="s">
        <v>9</v>
      </c>
    </row>
    <row r="133" spans="2:37" x14ac:dyDescent="0.5">
      <c r="B133" s="17" t="s">
        <v>5</v>
      </c>
      <c r="C133" s="11">
        <v>9</v>
      </c>
      <c r="D133" s="1">
        <v>8</v>
      </c>
      <c r="E133" s="1">
        <v>7</v>
      </c>
      <c r="F133" s="1">
        <v>6</v>
      </c>
      <c r="G133" s="1">
        <v>5</v>
      </c>
      <c r="H133" s="1">
        <v>4</v>
      </c>
      <c r="I133" s="1">
        <v>3</v>
      </c>
      <c r="J133" s="1">
        <v>2</v>
      </c>
      <c r="K133" s="1">
        <v>1</v>
      </c>
      <c r="L133" s="1">
        <v>2</v>
      </c>
      <c r="M133" s="59">
        <v>3</v>
      </c>
      <c r="N133" s="1">
        <v>4</v>
      </c>
      <c r="O133" s="1">
        <v>5</v>
      </c>
      <c r="P133" s="1">
        <v>6</v>
      </c>
      <c r="Q133" s="1">
        <v>7</v>
      </c>
      <c r="R133" s="1">
        <v>8</v>
      </c>
      <c r="S133" s="12">
        <v>9</v>
      </c>
      <c r="T133" s="12" t="s">
        <v>10</v>
      </c>
    </row>
    <row r="134" spans="2:37" x14ac:dyDescent="0.5">
      <c r="B134" s="17" t="s">
        <v>5</v>
      </c>
      <c r="C134" s="11">
        <v>9</v>
      </c>
      <c r="D134" s="1">
        <v>8</v>
      </c>
      <c r="E134" s="1">
        <v>7</v>
      </c>
      <c r="F134" s="1">
        <v>6</v>
      </c>
      <c r="G134" s="1">
        <v>5</v>
      </c>
      <c r="H134" s="1">
        <v>4</v>
      </c>
      <c r="I134" s="1">
        <v>3</v>
      </c>
      <c r="J134" s="1">
        <v>2</v>
      </c>
      <c r="K134" s="1">
        <v>1</v>
      </c>
      <c r="L134" s="1">
        <v>2</v>
      </c>
      <c r="M134" s="59">
        <v>3</v>
      </c>
      <c r="N134" s="1">
        <v>4</v>
      </c>
      <c r="O134" s="1">
        <v>5</v>
      </c>
      <c r="P134" s="1">
        <v>6</v>
      </c>
      <c r="Q134" s="1">
        <v>7</v>
      </c>
      <c r="R134" s="1">
        <v>8</v>
      </c>
      <c r="S134" s="12">
        <v>9</v>
      </c>
      <c r="T134" s="12" t="s">
        <v>11</v>
      </c>
    </row>
    <row r="135" spans="2:37" x14ac:dyDescent="0.5">
      <c r="B135" s="17" t="s">
        <v>5</v>
      </c>
      <c r="C135" s="11">
        <v>9</v>
      </c>
      <c r="D135" s="1">
        <v>8</v>
      </c>
      <c r="E135" s="1">
        <v>7</v>
      </c>
      <c r="F135" s="1">
        <v>6</v>
      </c>
      <c r="G135" s="1">
        <v>5</v>
      </c>
      <c r="H135" s="1">
        <v>4</v>
      </c>
      <c r="I135" s="1">
        <v>3</v>
      </c>
      <c r="J135" s="1">
        <v>2</v>
      </c>
      <c r="K135" s="1">
        <v>1</v>
      </c>
      <c r="L135" s="1">
        <v>2</v>
      </c>
      <c r="M135" s="1">
        <v>3</v>
      </c>
      <c r="N135" s="1">
        <v>4</v>
      </c>
      <c r="O135" s="1">
        <v>5</v>
      </c>
      <c r="P135" s="1">
        <v>6</v>
      </c>
      <c r="Q135" s="1">
        <v>7</v>
      </c>
      <c r="R135" s="59">
        <v>8</v>
      </c>
      <c r="S135" s="12">
        <v>9</v>
      </c>
      <c r="T135" s="12" t="s">
        <v>12</v>
      </c>
    </row>
    <row r="136" spans="2:37" x14ac:dyDescent="0.5">
      <c r="B136" s="17" t="s">
        <v>5</v>
      </c>
      <c r="C136" s="11">
        <v>9</v>
      </c>
      <c r="D136" s="1">
        <v>8</v>
      </c>
      <c r="E136" s="1">
        <v>7</v>
      </c>
      <c r="F136" s="1">
        <v>6</v>
      </c>
      <c r="G136" s="1">
        <v>5</v>
      </c>
      <c r="H136" s="1">
        <v>4</v>
      </c>
      <c r="I136" s="1">
        <v>3</v>
      </c>
      <c r="J136" s="1">
        <v>2</v>
      </c>
      <c r="K136" s="1">
        <v>1</v>
      </c>
      <c r="L136" s="1">
        <v>2</v>
      </c>
      <c r="M136" s="59">
        <v>3</v>
      </c>
      <c r="N136" s="1">
        <v>4</v>
      </c>
      <c r="O136" s="1">
        <v>5</v>
      </c>
      <c r="P136" s="1">
        <v>6</v>
      </c>
      <c r="Q136" s="1">
        <v>7</v>
      </c>
      <c r="R136" s="1">
        <v>8</v>
      </c>
      <c r="S136" s="12">
        <v>9</v>
      </c>
      <c r="T136" s="12" t="s">
        <v>13</v>
      </c>
    </row>
    <row r="137" spans="2:37" x14ac:dyDescent="0.5">
      <c r="B137" s="17" t="s">
        <v>5</v>
      </c>
      <c r="C137" s="11">
        <v>9</v>
      </c>
      <c r="D137" s="1">
        <v>8</v>
      </c>
      <c r="E137" s="1">
        <v>7</v>
      </c>
      <c r="F137" s="1">
        <v>6</v>
      </c>
      <c r="G137" s="1">
        <v>5</v>
      </c>
      <c r="H137" s="1">
        <v>4</v>
      </c>
      <c r="I137" s="1">
        <v>3</v>
      </c>
      <c r="J137" s="1">
        <v>2</v>
      </c>
      <c r="K137" s="1">
        <v>1</v>
      </c>
      <c r="L137" s="1">
        <v>2</v>
      </c>
      <c r="M137" s="1">
        <v>3</v>
      </c>
      <c r="N137" s="1">
        <v>4</v>
      </c>
      <c r="O137" s="1">
        <v>5</v>
      </c>
      <c r="P137" s="1">
        <v>6</v>
      </c>
      <c r="Q137" s="1">
        <v>7</v>
      </c>
      <c r="R137" s="59">
        <v>8</v>
      </c>
      <c r="S137" s="12">
        <v>9</v>
      </c>
      <c r="T137" s="12" t="s">
        <v>14</v>
      </c>
    </row>
    <row r="138" spans="2:37" x14ac:dyDescent="0.5">
      <c r="B138" s="17" t="s">
        <v>5</v>
      </c>
      <c r="C138" s="11">
        <v>9</v>
      </c>
      <c r="D138" s="1">
        <v>8</v>
      </c>
      <c r="E138" s="1">
        <v>7</v>
      </c>
      <c r="F138" s="1">
        <v>6</v>
      </c>
      <c r="G138" s="1">
        <v>5</v>
      </c>
      <c r="H138" s="1">
        <v>4</v>
      </c>
      <c r="I138" s="1">
        <v>3</v>
      </c>
      <c r="J138" s="1">
        <v>2</v>
      </c>
      <c r="K138" s="1">
        <v>1</v>
      </c>
      <c r="L138" s="1">
        <v>2</v>
      </c>
      <c r="M138" s="1">
        <v>3</v>
      </c>
      <c r="N138" s="59">
        <v>4</v>
      </c>
      <c r="O138" s="1">
        <v>5</v>
      </c>
      <c r="P138" s="1">
        <v>6</v>
      </c>
      <c r="Q138" s="1">
        <v>7</v>
      </c>
      <c r="R138" s="1">
        <v>8</v>
      </c>
      <c r="S138" s="12">
        <v>9</v>
      </c>
      <c r="T138" s="12" t="s">
        <v>15</v>
      </c>
    </row>
    <row r="139" spans="2:37" x14ac:dyDescent="0.5">
      <c r="B139" s="17" t="s">
        <v>5</v>
      </c>
      <c r="C139" s="11">
        <v>9</v>
      </c>
      <c r="D139" s="1">
        <v>8</v>
      </c>
      <c r="E139" s="1">
        <v>7</v>
      </c>
      <c r="F139" s="1">
        <v>6</v>
      </c>
      <c r="G139" s="1">
        <v>5</v>
      </c>
      <c r="H139" s="1">
        <v>4</v>
      </c>
      <c r="I139" s="1">
        <v>3</v>
      </c>
      <c r="J139" s="1">
        <v>2</v>
      </c>
      <c r="K139" s="1">
        <v>1</v>
      </c>
      <c r="L139" s="1">
        <v>2</v>
      </c>
      <c r="M139" s="59">
        <v>3</v>
      </c>
      <c r="N139" s="1">
        <v>4</v>
      </c>
      <c r="O139" s="1">
        <v>5</v>
      </c>
      <c r="P139" s="1">
        <v>6</v>
      </c>
      <c r="Q139" s="1">
        <v>7</v>
      </c>
      <c r="R139" s="1">
        <v>8</v>
      </c>
      <c r="S139" s="12">
        <v>9</v>
      </c>
      <c r="T139" s="12" t="s">
        <v>16</v>
      </c>
    </row>
    <row r="140" spans="2:37" x14ac:dyDescent="0.5">
      <c r="B140" s="17" t="s">
        <v>5</v>
      </c>
      <c r="C140" s="11">
        <v>9</v>
      </c>
      <c r="D140" s="1">
        <v>8</v>
      </c>
      <c r="E140" s="1">
        <v>7</v>
      </c>
      <c r="F140" s="1">
        <v>6</v>
      </c>
      <c r="G140" s="1">
        <v>5</v>
      </c>
      <c r="H140" s="1">
        <v>4</v>
      </c>
      <c r="I140" s="1">
        <v>3</v>
      </c>
      <c r="J140" s="59">
        <v>2</v>
      </c>
      <c r="K140" s="1">
        <v>1</v>
      </c>
      <c r="L140" s="1">
        <v>2</v>
      </c>
      <c r="M140" s="1">
        <v>3</v>
      </c>
      <c r="N140" s="1">
        <v>4</v>
      </c>
      <c r="O140" s="1">
        <v>5</v>
      </c>
      <c r="P140" s="1">
        <v>6</v>
      </c>
      <c r="Q140" s="1">
        <v>7</v>
      </c>
      <c r="R140" s="1">
        <v>8</v>
      </c>
      <c r="S140" s="12">
        <v>9</v>
      </c>
      <c r="T140" s="12" t="s">
        <v>17</v>
      </c>
    </row>
    <row r="141" spans="2:37" x14ac:dyDescent="0.5">
      <c r="B141" s="19" t="s">
        <v>5</v>
      </c>
      <c r="C141" s="13">
        <v>9</v>
      </c>
      <c r="D141" s="14">
        <v>8</v>
      </c>
      <c r="E141" s="14">
        <v>7</v>
      </c>
      <c r="F141" s="14">
        <v>6</v>
      </c>
      <c r="G141" s="14">
        <v>5</v>
      </c>
      <c r="H141" s="14">
        <v>4</v>
      </c>
      <c r="I141" s="14">
        <v>3</v>
      </c>
      <c r="J141" s="14">
        <v>2</v>
      </c>
      <c r="K141" s="14">
        <v>1</v>
      </c>
      <c r="L141" s="14">
        <v>2</v>
      </c>
      <c r="M141" s="14">
        <v>3</v>
      </c>
      <c r="N141" s="14">
        <v>4</v>
      </c>
      <c r="O141" s="14">
        <v>5</v>
      </c>
      <c r="P141" s="14">
        <v>6</v>
      </c>
      <c r="Q141" s="14">
        <v>7</v>
      </c>
      <c r="R141" s="14">
        <v>8</v>
      </c>
      <c r="S141" s="118">
        <v>9</v>
      </c>
      <c r="T141" s="15" t="s">
        <v>18</v>
      </c>
    </row>
    <row r="142" spans="2:37" x14ac:dyDescent="0.5">
      <c r="B142" s="16" t="s">
        <v>6</v>
      </c>
      <c r="C142" s="11">
        <v>9</v>
      </c>
      <c r="D142" s="1">
        <v>8</v>
      </c>
      <c r="E142" s="1">
        <v>7</v>
      </c>
      <c r="F142" s="1">
        <v>6</v>
      </c>
      <c r="G142" s="1">
        <v>5</v>
      </c>
      <c r="H142" s="1">
        <v>4</v>
      </c>
      <c r="I142" s="18">
        <v>3</v>
      </c>
      <c r="J142" s="1">
        <v>2</v>
      </c>
      <c r="K142" s="1">
        <v>1</v>
      </c>
      <c r="L142" s="1">
        <v>2</v>
      </c>
      <c r="M142" s="1">
        <v>3</v>
      </c>
      <c r="N142" s="1">
        <v>4</v>
      </c>
      <c r="O142" s="1">
        <v>5</v>
      </c>
      <c r="P142" s="59">
        <v>6</v>
      </c>
      <c r="Q142" s="1">
        <v>7</v>
      </c>
      <c r="R142" s="1">
        <v>8</v>
      </c>
      <c r="S142" s="12">
        <v>9</v>
      </c>
      <c r="T142" s="12" t="s">
        <v>7</v>
      </c>
    </row>
    <row r="143" spans="2:37" x14ac:dyDescent="0.5">
      <c r="B143" s="17" t="s">
        <v>6</v>
      </c>
      <c r="C143" s="11">
        <v>9</v>
      </c>
      <c r="D143" s="1">
        <v>8</v>
      </c>
      <c r="E143" s="1">
        <v>7</v>
      </c>
      <c r="F143" s="1">
        <v>6</v>
      </c>
      <c r="G143" s="1">
        <v>5</v>
      </c>
      <c r="H143" s="1">
        <v>4</v>
      </c>
      <c r="I143" s="1">
        <v>3</v>
      </c>
      <c r="J143" s="1">
        <v>2</v>
      </c>
      <c r="K143" s="1">
        <v>1</v>
      </c>
      <c r="L143" s="1">
        <v>2</v>
      </c>
      <c r="M143" s="1">
        <v>3</v>
      </c>
      <c r="N143" s="1">
        <v>4</v>
      </c>
      <c r="O143" s="1">
        <v>5</v>
      </c>
      <c r="P143" s="59">
        <v>6</v>
      </c>
      <c r="Q143" s="1">
        <v>7</v>
      </c>
      <c r="R143" s="1">
        <v>8</v>
      </c>
      <c r="S143" s="12">
        <v>9</v>
      </c>
      <c r="T143" s="12" t="s">
        <v>8</v>
      </c>
    </row>
    <row r="144" spans="2:37" x14ac:dyDescent="0.5">
      <c r="B144" s="17" t="s">
        <v>6</v>
      </c>
      <c r="C144" s="11">
        <v>9</v>
      </c>
      <c r="D144" s="1">
        <v>8</v>
      </c>
      <c r="E144" s="1">
        <v>7</v>
      </c>
      <c r="F144" s="1">
        <v>6</v>
      </c>
      <c r="G144" s="1">
        <v>5</v>
      </c>
      <c r="H144" s="1">
        <v>4</v>
      </c>
      <c r="I144" s="1">
        <v>3</v>
      </c>
      <c r="J144" s="1">
        <v>2</v>
      </c>
      <c r="K144" s="1">
        <v>1</v>
      </c>
      <c r="L144" s="1">
        <v>2</v>
      </c>
      <c r="M144" s="1">
        <v>3</v>
      </c>
      <c r="N144" s="59">
        <v>4</v>
      </c>
      <c r="O144" s="1">
        <v>5</v>
      </c>
      <c r="P144" s="1">
        <v>6</v>
      </c>
      <c r="Q144" s="1">
        <v>7</v>
      </c>
      <c r="R144" s="1">
        <v>8</v>
      </c>
      <c r="S144" s="12">
        <v>9</v>
      </c>
      <c r="T144" s="12" t="s">
        <v>9</v>
      </c>
    </row>
    <row r="145" spans="2:20" x14ac:dyDescent="0.5">
      <c r="B145" s="17" t="s">
        <v>6</v>
      </c>
      <c r="C145" s="11">
        <v>9</v>
      </c>
      <c r="D145" s="1">
        <v>8</v>
      </c>
      <c r="E145" s="1">
        <v>7</v>
      </c>
      <c r="F145" s="1">
        <v>6</v>
      </c>
      <c r="G145" s="1">
        <v>5</v>
      </c>
      <c r="H145" s="1">
        <v>4</v>
      </c>
      <c r="I145" s="59">
        <v>3</v>
      </c>
      <c r="J145" s="1">
        <v>2</v>
      </c>
      <c r="K145" s="1">
        <v>1</v>
      </c>
      <c r="L145" s="1">
        <v>2</v>
      </c>
      <c r="M145" s="1">
        <v>3</v>
      </c>
      <c r="N145" s="1">
        <v>4</v>
      </c>
      <c r="O145" s="1">
        <v>5</v>
      </c>
      <c r="P145" s="1">
        <v>6</v>
      </c>
      <c r="Q145" s="1">
        <v>7</v>
      </c>
      <c r="R145" s="1">
        <v>8</v>
      </c>
      <c r="S145" s="12">
        <v>9</v>
      </c>
      <c r="T145" s="12" t="s">
        <v>10</v>
      </c>
    </row>
    <row r="146" spans="2:20" x14ac:dyDescent="0.5">
      <c r="B146" s="17" t="s">
        <v>6</v>
      </c>
      <c r="C146" s="11">
        <v>9</v>
      </c>
      <c r="D146" s="1">
        <v>8</v>
      </c>
      <c r="E146" s="1">
        <v>7</v>
      </c>
      <c r="F146" s="1">
        <v>6</v>
      </c>
      <c r="G146" s="1">
        <v>5</v>
      </c>
      <c r="H146" s="1">
        <v>4</v>
      </c>
      <c r="I146" s="1">
        <v>3</v>
      </c>
      <c r="J146" s="59">
        <v>2</v>
      </c>
      <c r="K146" s="1">
        <v>1</v>
      </c>
      <c r="L146" s="1">
        <v>2</v>
      </c>
      <c r="M146" s="1">
        <v>3</v>
      </c>
      <c r="N146" s="1">
        <v>4</v>
      </c>
      <c r="O146" s="1">
        <v>5</v>
      </c>
      <c r="P146" s="1">
        <v>6</v>
      </c>
      <c r="Q146" s="1">
        <v>7</v>
      </c>
      <c r="R146" s="1">
        <v>8</v>
      </c>
      <c r="S146" s="12">
        <v>9</v>
      </c>
      <c r="T146" s="12" t="s">
        <v>11</v>
      </c>
    </row>
    <row r="147" spans="2:20" x14ac:dyDescent="0.5">
      <c r="B147" s="17" t="s">
        <v>6</v>
      </c>
      <c r="C147" s="11">
        <v>9</v>
      </c>
      <c r="D147" s="1">
        <v>8</v>
      </c>
      <c r="E147" s="1">
        <v>7</v>
      </c>
      <c r="F147" s="1">
        <v>6</v>
      </c>
      <c r="G147" s="1">
        <v>5</v>
      </c>
      <c r="H147" s="59">
        <v>4</v>
      </c>
      <c r="I147" s="1">
        <v>3</v>
      </c>
      <c r="J147" s="1">
        <v>2</v>
      </c>
      <c r="K147" s="1">
        <v>1</v>
      </c>
      <c r="L147" s="1">
        <v>2</v>
      </c>
      <c r="M147" s="1">
        <v>3</v>
      </c>
      <c r="N147" s="1">
        <v>4</v>
      </c>
      <c r="O147" s="1">
        <v>5</v>
      </c>
      <c r="P147" s="1">
        <v>6</v>
      </c>
      <c r="Q147" s="1">
        <v>7</v>
      </c>
      <c r="R147" s="1">
        <v>8</v>
      </c>
      <c r="S147" s="12">
        <v>9</v>
      </c>
      <c r="T147" s="12" t="s">
        <v>12</v>
      </c>
    </row>
    <row r="148" spans="2:20" x14ac:dyDescent="0.5">
      <c r="B148" s="17" t="s">
        <v>6</v>
      </c>
      <c r="C148" s="11">
        <v>9</v>
      </c>
      <c r="D148" s="1">
        <v>8</v>
      </c>
      <c r="E148" s="1">
        <v>7</v>
      </c>
      <c r="F148" s="1">
        <v>6</v>
      </c>
      <c r="G148" s="1">
        <v>5</v>
      </c>
      <c r="H148" s="1">
        <v>4</v>
      </c>
      <c r="I148" s="59">
        <v>3</v>
      </c>
      <c r="J148" s="1">
        <v>2</v>
      </c>
      <c r="K148" s="1">
        <v>1</v>
      </c>
      <c r="L148" s="1">
        <v>2</v>
      </c>
      <c r="M148" s="1">
        <v>3</v>
      </c>
      <c r="N148" s="1">
        <v>4</v>
      </c>
      <c r="O148" s="1">
        <v>5</v>
      </c>
      <c r="P148" s="1">
        <v>6</v>
      </c>
      <c r="Q148" s="1">
        <v>7</v>
      </c>
      <c r="R148" s="1">
        <v>8</v>
      </c>
      <c r="S148" s="12">
        <v>9</v>
      </c>
      <c r="T148" s="12" t="s">
        <v>13</v>
      </c>
    </row>
    <row r="149" spans="2:20" x14ac:dyDescent="0.5">
      <c r="B149" s="17" t="s">
        <v>6</v>
      </c>
      <c r="C149" s="11">
        <v>9</v>
      </c>
      <c r="D149" s="1">
        <v>8</v>
      </c>
      <c r="E149" s="1">
        <v>7</v>
      </c>
      <c r="F149" s="1">
        <v>6</v>
      </c>
      <c r="G149" s="1">
        <v>5</v>
      </c>
      <c r="H149" s="1">
        <v>4</v>
      </c>
      <c r="I149" s="1">
        <v>3</v>
      </c>
      <c r="J149" s="1">
        <v>2</v>
      </c>
      <c r="K149" s="1">
        <v>1</v>
      </c>
      <c r="L149" s="1">
        <v>2</v>
      </c>
      <c r="M149" s="59">
        <v>3</v>
      </c>
      <c r="N149" s="1">
        <v>4</v>
      </c>
      <c r="O149" s="1">
        <v>5</v>
      </c>
      <c r="P149" s="1">
        <v>6</v>
      </c>
      <c r="Q149" s="1">
        <v>7</v>
      </c>
      <c r="R149" s="1">
        <v>8</v>
      </c>
      <c r="S149" s="12">
        <v>9</v>
      </c>
      <c r="T149" s="12" t="s">
        <v>14</v>
      </c>
    </row>
    <row r="150" spans="2:20" x14ac:dyDescent="0.5">
      <c r="B150" s="17" t="s">
        <v>6</v>
      </c>
      <c r="C150" s="11">
        <v>9</v>
      </c>
      <c r="D150" s="1">
        <v>8</v>
      </c>
      <c r="E150" s="1">
        <v>7</v>
      </c>
      <c r="F150" s="1">
        <v>6</v>
      </c>
      <c r="G150" s="1">
        <v>5</v>
      </c>
      <c r="H150" s="1">
        <v>4</v>
      </c>
      <c r="I150" s="1">
        <v>3</v>
      </c>
      <c r="J150" s="1">
        <v>2</v>
      </c>
      <c r="K150" s="1">
        <v>1</v>
      </c>
      <c r="L150" s="1">
        <v>2</v>
      </c>
      <c r="M150" s="1">
        <v>3</v>
      </c>
      <c r="N150" s="59">
        <v>4</v>
      </c>
      <c r="O150" s="1">
        <v>5</v>
      </c>
      <c r="P150" s="1">
        <v>6</v>
      </c>
      <c r="Q150" s="1">
        <v>7</v>
      </c>
      <c r="R150" s="1">
        <v>8</v>
      </c>
      <c r="S150" s="12">
        <v>9</v>
      </c>
      <c r="T150" s="12" t="s">
        <v>15</v>
      </c>
    </row>
    <row r="151" spans="2:20" x14ac:dyDescent="0.5">
      <c r="B151" s="17" t="s">
        <v>6</v>
      </c>
      <c r="C151" s="11">
        <v>9</v>
      </c>
      <c r="D151" s="1">
        <v>8</v>
      </c>
      <c r="E151" s="1">
        <v>7</v>
      </c>
      <c r="F151" s="1">
        <v>6</v>
      </c>
      <c r="G151" s="1">
        <v>5</v>
      </c>
      <c r="H151" s="1">
        <v>4</v>
      </c>
      <c r="I151" s="1">
        <v>3</v>
      </c>
      <c r="J151" s="1">
        <v>2</v>
      </c>
      <c r="K151" s="1">
        <v>1</v>
      </c>
      <c r="L151" s="1">
        <v>2</v>
      </c>
      <c r="M151" s="59">
        <v>3</v>
      </c>
      <c r="N151" s="1">
        <v>4</v>
      </c>
      <c r="O151" s="1">
        <v>5</v>
      </c>
      <c r="P151" s="1">
        <v>6</v>
      </c>
      <c r="Q151" s="1">
        <v>7</v>
      </c>
      <c r="R151" s="1">
        <v>8</v>
      </c>
      <c r="S151" s="12">
        <v>9</v>
      </c>
      <c r="T151" s="12" t="s">
        <v>16</v>
      </c>
    </row>
    <row r="152" spans="2:20" x14ac:dyDescent="0.5">
      <c r="B152" s="17" t="s">
        <v>6</v>
      </c>
      <c r="C152" s="11">
        <v>9</v>
      </c>
      <c r="D152" s="1">
        <v>8</v>
      </c>
      <c r="E152" s="1">
        <v>7</v>
      </c>
      <c r="F152" s="1">
        <v>6</v>
      </c>
      <c r="G152" s="1">
        <v>5</v>
      </c>
      <c r="H152" s="1">
        <v>4</v>
      </c>
      <c r="I152" s="1">
        <v>3</v>
      </c>
      <c r="J152" s="1">
        <v>2</v>
      </c>
      <c r="K152" s="1">
        <v>1</v>
      </c>
      <c r="L152" s="59">
        <v>2</v>
      </c>
      <c r="M152" s="1">
        <v>3</v>
      </c>
      <c r="N152" s="1">
        <v>4</v>
      </c>
      <c r="O152" s="1">
        <v>5</v>
      </c>
      <c r="P152" s="1">
        <v>6</v>
      </c>
      <c r="Q152" s="1">
        <v>7</v>
      </c>
      <c r="R152" s="1">
        <v>8</v>
      </c>
      <c r="S152" s="12">
        <v>9</v>
      </c>
      <c r="T152" s="12" t="s">
        <v>17</v>
      </c>
    </row>
    <row r="153" spans="2:20" x14ac:dyDescent="0.5">
      <c r="B153" s="17" t="s">
        <v>6</v>
      </c>
      <c r="C153" s="13">
        <v>9</v>
      </c>
      <c r="D153" s="14">
        <v>8</v>
      </c>
      <c r="E153" s="14">
        <v>7</v>
      </c>
      <c r="F153" s="14">
        <v>6</v>
      </c>
      <c r="G153" s="14">
        <v>5</v>
      </c>
      <c r="H153" s="14">
        <v>4</v>
      </c>
      <c r="I153" s="14">
        <v>3</v>
      </c>
      <c r="J153" s="14">
        <v>2</v>
      </c>
      <c r="K153" s="14">
        <v>1</v>
      </c>
      <c r="L153" s="14">
        <v>2</v>
      </c>
      <c r="M153" s="14">
        <v>3</v>
      </c>
      <c r="N153" s="60">
        <v>4</v>
      </c>
      <c r="O153" s="14">
        <v>5</v>
      </c>
      <c r="P153" s="14">
        <v>6</v>
      </c>
      <c r="Q153" s="14">
        <v>7</v>
      </c>
      <c r="R153" s="14">
        <v>8</v>
      </c>
      <c r="S153" s="15">
        <v>9</v>
      </c>
      <c r="T153" s="15" t="s">
        <v>18</v>
      </c>
    </row>
    <row r="154" spans="2:20" x14ac:dyDescent="0.5">
      <c r="B154" s="16" t="s">
        <v>7</v>
      </c>
      <c r="C154" s="11">
        <v>9</v>
      </c>
      <c r="D154" s="1">
        <v>8</v>
      </c>
      <c r="E154" s="1">
        <v>7</v>
      </c>
      <c r="F154" s="1">
        <v>6</v>
      </c>
      <c r="G154" s="1">
        <v>5</v>
      </c>
      <c r="H154" s="1">
        <v>4</v>
      </c>
      <c r="I154" s="1">
        <v>3</v>
      </c>
      <c r="J154" s="1">
        <v>2</v>
      </c>
      <c r="K154" s="1">
        <v>1</v>
      </c>
      <c r="L154" s="1">
        <v>2</v>
      </c>
      <c r="M154" s="1">
        <v>3</v>
      </c>
      <c r="N154" s="1">
        <v>4</v>
      </c>
      <c r="O154" s="1">
        <v>5</v>
      </c>
      <c r="P154" s="1">
        <v>6</v>
      </c>
      <c r="Q154" s="59">
        <v>7</v>
      </c>
      <c r="R154" s="1">
        <v>8</v>
      </c>
      <c r="S154" s="12">
        <v>9</v>
      </c>
      <c r="T154" s="12" t="s">
        <v>8</v>
      </c>
    </row>
    <row r="155" spans="2:20" x14ac:dyDescent="0.5">
      <c r="B155" s="17" t="s">
        <v>7</v>
      </c>
      <c r="C155" s="11">
        <v>9</v>
      </c>
      <c r="D155" s="1">
        <v>8</v>
      </c>
      <c r="E155" s="1">
        <v>7</v>
      </c>
      <c r="F155" s="1">
        <v>6</v>
      </c>
      <c r="G155" s="1">
        <v>5</v>
      </c>
      <c r="H155" s="1">
        <v>4</v>
      </c>
      <c r="I155" s="1">
        <v>3</v>
      </c>
      <c r="J155" s="59">
        <v>2</v>
      </c>
      <c r="K155" s="1">
        <v>1</v>
      </c>
      <c r="L155" s="1">
        <v>2</v>
      </c>
      <c r="M155" s="1">
        <v>3</v>
      </c>
      <c r="N155" s="1">
        <v>4</v>
      </c>
      <c r="O155" s="1">
        <v>5</v>
      </c>
      <c r="P155" s="1">
        <v>6</v>
      </c>
      <c r="Q155" s="1">
        <v>7</v>
      </c>
      <c r="R155" s="1">
        <v>8</v>
      </c>
      <c r="S155" s="12">
        <v>9</v>
      </c>
      <c r="T155" s="12" t="s">
        <v>9</v>
      </c>
    </row>
    <row r="156" spans="2:20" x14ac:dyDescent="0.5">
      <c r="B156" s="17" t="s">
        <v>7</v>
      </c>
      <c r="C156" s="11">
        <v>9</v>
      </c>
      <c r="D156" s="1">
        <v>8</v>
      </c>
      <c r="E156" s="1">
        <v>7</v>
      </c>
      <c r="F156" s="1">
        <v>6</v>
      </c>
      <c r="G156" s="1">
        <v>5</v>
      </c>
      <c r="H156" s="1">
        <v>4</v>
      </c>
      <c r="I156" s="1">
        <v>3</v>
      </c>
      <c r="J156" s="59">
        <v>2</v>
      </c>
      <c r="K156" s="1">
        <v>1</v>
      </c>
      <c r="L156" s="1">
        <v>2</v>
      </c>
      <c r="M156" s="1">
        <v>3</v>
      </c>
      <c r="N156" s="1">
        <v>4</v>
      </c>
      <c r="O156" s="1">
        <v>5</v>
      </c>
      <c r="P156" s="1">
        <v>6</v>
      </c>
      <c r="Q156" s="1">
        <v>7</v>
      </c>
      <c r="R156" s="1">
        <v>8</v>
      </c>
      <c r="S156" s="12">
        <v>9</v>
      </c>
      <c r="T156" s="12" t="s">
        <v>10</v>
      </c>
    </row>
    <row r="157" spans="2:20" x14ac:dyDescent="0.5">
      <c r="B157" s="17" t="s">
        <v>7</v>
      </c>
      <c r="C157" s="11">
        <v>9</v>
      </c>
      <c r="D157" s="1">
        <v>8</v>
      </c>
      <c r="E157" s="1">
        <v>7</v>
      </c>
      <c r="F157" s="1">
        <v>6</v>
      </c>
      <c r="G157" s="1">
        <v>5</v>
      </c>
      <c r="H157" s="1">
        <v>4</v>
      </c>
      <c r="I157" s="1">
        <v>3</v>
      </c>
      <c r="J157" s="59">
        <v>2</v>
      </c>
      <c r="K157" s="1">
        <v>1</v>
      </c>
      <c r="L157" s="1">
        <v>2</v>
      </c>
      <c r="M157" s="1">
        <v>3</v>
      </c>
      <c r="N157" s="1">
        <v>4</v>
      </c>
      <c r="O157" s="1">
        <v>5</v>
      </c>
      <c r="P157" s="1">
        <v>6</v>
      </c>
      <c r="Q157" s="1">
        <v>7</v>
      </c>
      <c r="R157" s="1">
        <v>8</v>
      </c>
      <c r="S157" s="12">
        <v>9</v>
      </c>
      <c r="T157" s="12" t="s">
        <v>11</v>
      </c>
    </row>
    <row r="158" spans="2:20" x14ac:dyDescent="0.5">
      <c r="B158" s="17" t="s">
        <v>7</v>
      </c>
      <c r="C158" s="11">
        <v>9</v>
      </c>
      <c r="D158" s="1">
        <v>8</v>
      </c>
      <c r="E158" s="1">
        <v>7</v>
      </c>
      <c r="F158" s="1">
        <v>6</v>
      </c>
      <c r="G158" s="1">
        <v>5</v>
      </c>
      <c r="H158" s="1">
        <v>4</v>
      </c>
      <c r="I158" s="1">
        <v>3</v>
      </c>
      <c r="J158" s="1">
        <v>2</v>
      </c>
      <c r="K158" s="1">
        <v>1</v>
      </c>
      <c r="L158" s="1">
        <v>2</v>
      </c>
      <c r="M158" s="1">
        <v>3</v>
      </c>
      <c r="N158" s="59">
        <v>4</v>
      </c>
      <c r="O158" s="1">
        <v>5</v>
      </c>
      <c r="P158" s="1">
        <v>6</v>
      </c>
      <c r="Q158" s="1">
        <v>7</v>
      </c>
      <c r="R158" s="1">
        <v>8</v>
      </c>
      <c r="S158" s="12">
        <v>9</v>
      </c>
      <c r="T158" s="12" t="s">
        <v>12</v>
      </c>
    </row>
    <row r="159" spans="2:20" x14ac:dyDescent="0.5">
      <c r="B159" s="17" t="s">
        <v>7</v>
      </c>
      <c r="C159" s="11">
        <v>9</v>
      </c>
      <c r="D159" s="1">
        <v>8</v>
      </c>
      <c r="E159" s="1">
        <v>7</v>
      </c>
      <c r="F159" s="1">
        <v>6</v>
      </c>
      <c r="G159" s="1">
        <v>5</v>
      </c>
      <c r="H159" s="1">
        <v>4</v>
      </c>
      <c r="I159" s="1">
        <v>3</v>
      </c>
      <c r="J159" s="59">
        <v>2</v>
      </c>
      <c r="K159" s="1">
        <v>1</v>
      </c>
      <c r="L159" s="1">
        <v>2</v>
      </c>
      <c r="M159" s="1">
        <v>3</v>
      </c>
      <c r="N159" s="1">
        <v>4</v>
      </c>
      <c r="O159" s="1">
        <v>5</v>
      </c>
      <c r="P159" s="1">
        <v>6</v>
      </c>
      <c r="Q159" s="1">
        <v>7</v>
      </c>
      <c r="R159" s="1">
        <v>8</v>
      </c>
      <c r="S159" s="12">
        <v>9</v>
      </c>
      <c r="T159" s="12" t="s">
        <v>13</v>
      </c>
    </row>
    <row r="160" spans="2:20" x14ac:dyDescent="0.5">
      <c r="B160" s="17" t="s">
        <v>7</v>
      </c>
      <c r="C160" s="11">
        <v>9</v>
      </c>
      <c r="D160" s="1">
        <v>8</v>
      </c>
      <c r="E160" s="1">
        <v>7</v>
      </c>
      <c r="F160" s="1">
        <v>6</v>
      </c>
      <c r="G160" s="1">
        <v>5</v>
      </c>
      <c r="H160" s="1">
        <v>4</v>
      </c>
      <c r="I160" s="1">
        <v>3</v>
      </c>
      <c r="J160" s="1">
        <v>2</v>
      </c>
      <c r="K160" s="1">
        <v>1</v>
      </c>
      <c r="L160" s="59">
        <v>2</v>
      </c>
      <c r="M160" s="1">
        <v>3</v>
      </c>
      <c r="N160" s="1">
        <v>4</v>
      </c>
      <c r="O160" s="1">
        <v>5</v>
      </c>
      <c r="P160" s="1">
        <v>6</v>
      </c>
      <c r="Q160" s="1">
        <v>7</v>
      </c>
      <c r="R160" s="1">
        <v>8</v>
      </c>
      <c r="S160" s="12">
        <v>9</v>
      </c>
      <c r="T160" s="12" t="s">
        <v>14</v>
      </c>
    </row>
    <row r="161" spans="2:20" x14ac:dyDescent="0.5">
      <c r="B161" s="17" t="s">
        <v>7</v>
      </c>
      <c r="C161" s="11">
        <v>9</v>
      </c>
      <c r="D161" s="1">
        <v>8</v>
      </c>
      <c r="E161" s="1">
        <v>7</v>
      </c>
      <c r="F161" s="1">
        <v>6</v>
      </c>
      <c r="G161" s="1">
        <v>5</v>
      </c>
      <c r="H161" s="1">
        <v>4</v>
      </c>
      <c r="I161" s="1">
        <v>3</v>
      </c>
      <c r="J161" s="59">
        <v>2</v>
      </c>
      <c r="K161" s="1">
        <v>1</v>
      </c>
      <c r="L161" s="1">
        <v>2</v>
      </c>
      <c r="M161" s="1">
        <v>3</v>
      </c>
      <c r="N161" s="1">
        <v>4</v>
      </c>
      <c r="O161" s="1">
        <v>5</v>
      </c>
      <c r="P161" s="1">
        <v>6</v>
      </c>
      <c r="Q161" s="1">
        <v>7</v>
      </c>
      <c r="R161" s="1">
        <v>8</v>
      </c>
      <c r="S161" s="12">
        <v>9</v>
      </c>
      <c r="T161" s="12" t="s">
        <v>15</v>
      </c>
    </row>
    <row r="162" spans="2:20" x14ac:dyDescent="0.5">
      <c r="B162" s="17" t="s">
        <v>7</v>
      </c>
      <c r="C162" s="11">
        <v>9</v>
      </c>
      <c r="D162" s="1">
        <v>8</v>
      </c>
      <c r="E162" s="1">
        <v>7</v>
      </c>
      <c r="F162" s="1">
        <v>6</v>
      </c>
      <c r="G162" s="1">
        <v>5</v>
      </c>
      <c r="H162" s="1">
        <v>4</v>
      </c>
      <c r="I162" s="59">
        <v>3</v>
      </c>
      <c r="J162" s="1">
        <v>2</v>
      </c>
      <c r="K162" s="1">
        <v>1</v>
      </c>
      <c r="L162" s="1">
        <v>2</v>
      </c>
      <c r="M162" s="1">
        <v>3</v>
      </c>
      <c r="N162" s="1">
        <v>4</v>
      </c>
      <c r="O162" s="1">
        <v>5</v>
      </c>
      <c r="P162" s="1">
        <v>6</v>
      </c>
      <c r="Q162" s="1">
        <v>7</v>
      </c>
      <c r="R162" s="1">
        <v>8</v>
      </c>
      <c r="S162" s="12">
        <v>9</v>
      </c>
      <c r="T162" s="12" t="s">
        <v>16</v>
      </c>
    </row>
    <row r="163" spans="2:20" x14ac:dyDescent="0.5">
      <c r="B163" s="17" t="s">
        <v>7</v>
      </c>
      <c r="C163" s="11">
        <v>9</v>
      </c>
      <c r="D163" s="1">
        <v>8</v>
      </c>
      <c r="E163" s="1">
        <v>7</v>
      </c>
      <c r="F163" s="1">
        <v>6</v>
      </c>
      <c r="G163" s="1">
        <v>5</v>
      </c>
      <c r="H163" s="59">
        <v>4</v>
      </c>
      <c r="I163" s="1">
        <v>3</v>
      </c>
      <c r="J163" s="1">
        <v>2</v>
      </c>
      <c r="K163" s="1">
        <v>1</v>
      </c>
      <c r="L163" s="1">
        <v>2</v>
      </c>
      <c r="M163" s="1">
        <v>3</v>
      </c>
      <c r="N163" s="1">
        <v>4</v>
      </c>
      <c r="O163" s="1">
        <v>5</v>
      </c>
      <c r="P163" s="1">
        <v>6</v>
      </c>
      <c r="Q163" s="1">
        <v>7</v>
      </c>
      <c r="R163" s="1">
        <v>8</v>
      </c>
      <c r="S163" s="12">
        <v>9</v>
      </c>
      <c r="T163" s="12" t="s">
        <v>17</v>
      </c>
    </row>
    <row r="164" spans="2:20" x14ac:dyDescent="0.5">
      <c r="B164" s="19" t="s">
        <v>7</v>
      </c>
      <c r="C164" s="13">
        <v>9</v>
      </c>
      <c r="D164" s="14">
        <v>8</v>
      </c>
      <c r="E164" s="14">
        <v>7</v>
      </c>
      <c r="F164" s="14">
        <v>6</v>
      </c>
      <c r="G164" s="14">
        <v>5</v>
      </c>
      <c r="H164" s="14">
        <v>4</v>
      </c>
      <c r="I164" s="14">
        <v>3</v>
      </c>
      <c r="J164" s="14">
        <v>2</v>
      </c>
      <c r="K164" s="14">
        <v>1</v>
      </c>
      <c r="L164" s="14">
        <v>2</v>
      </c>
      <c r="M164" s="60">
        <v>3</v>
      </c>
      <c r="N164" s="14">
        <v>4</v>
      </c>
      <c r="O164" s="14">
        <v>5</v>
      </c>
      <c r="P164" s="14">
        <v>6</v>
      </c>
      <c r="Q164" s="14">
        <v>7</v>
      </c>
      <c r="R164" s="14">
        <v>8</v>
      </c>
      <c r="S164" s="15">
        <v>9</v>
      </c>
      <c r="T164" s="15" t="s">
        <v>18</v>
      </c>
    </row>
    <row r="165" spans="2:20" x14ac:dyDescent="0.5">
      <c r="B165" s="16" t="s">
        <v>8</v>
      </c>
      <c r="C165" s="119">
        <v>9</v>
      </c>
      <c r="D165" s="1">
        <v>8</v>
      </c>
      <c r="E165" s="1">
        <v>7</v>
      </c>
      <c r="F165" s="1">
        <v>6</v>
      </c>
      <c r="G165" s="1">
        <v>5</v>
      </c>
      <c r="H165" s="1">
        <v>4</v>
      </c>
      <c r="I165" s="1">
        <v>3</v>
      </c>
      <c r="J165" s="1">
        <v>2</v>
      </c>
      <c r="K165" s="1">
        <v>1</v>
      </c>
      <c r="L165" s="1">
        <v>2</v>
      </c>
      <c r="M165" s="1">
        <v>3</v>
      </c>
      <c r="N165" s="1">
        <v>4</v>
      </c>
      <c r="O165" s="1">
        <v>5</v>
      </c>
      <c r="P165" s="1">
        <v>6</v>
      </c>
      <c r="Q165" s="1">
        <v>7</v>
      </c>
      <c r="R165" s="1">
        <v>8</v>
      </c>
      <c r="S165" s="12">
        <v>9</v>
      </c>
      <c r="T165" s="12" t="s">
        <v>9</v>
      </c>
    </row>
    <row r="166" spans="2:20" x14ac:dyDescent="0.5">
      <c r="B166" s="17" t="s">
        <v>8</v>
      </c>
      <c r="C166" s="11">
        <v>9</v>
      </c>
      <c r="D166" s="59">
        <v>8</v>
      </c>
      <c r="E166" s="1">
        <v>7</v>
      </c>
      <c r="F166" s="1">
        <v>6</v>
      </c>
      <c r="G166" s="1">
        <v>5</v>
      </c>
      <c r="H166" s="1">
        <v>4</v>
      </c>
      <c r="I166" s="1">
        <v>3</v>
      </c>
      <c r="J166" s="1">
        <v>2</v>
      </c>
      <c r="K166" s="1">
        <v>1</v>
      </c>
      <c r="L166" s="1">
        <v>2</v>
      </c>
      <c r="M166" s="1">
        <v>3</v>
      </c>
      <c r="N166" s="1">
        <v>4</v>
      </c>
      <c r="O166" s="1">
        <v>5</v>
      </c>
      <c r="P166" s="1">
        <v>6</v>
      </c>
      <c r="Q166" s="1">
        <v>7</v>
      </c>
      <c r="R166" s="1">
        <v>8</v>
      </c>
      <c r="S166" s="12">
        <v>9</v>
      </c>
      <c r="T166" s="12" t="s">
        <v>10</v>
      </c>
    </row>
    <row r="167" spans="2:20" x14ac:dyDescent="0.5">
      <c r="B167" s="17" t="s">
        <v>8</v>
      </c>
      <c r="C167" s="119">
        <v>9</v>
      </c>
      <c r="D167" s="1">
        <v>8</v>
      </c>
      <c r="E167" s="1">
        <v>7</v>
      </c>
      <c r="F167" s="1">
        <v>6</v>
      </c>
      <c r="G167" s="1">
        <v>5</v>
      </c>
      <c r="H167" s="1">
        <v>4</v>
      </c>
      <c r="I167" s="1">
        <v>3</v>
      </c>
      <c r="J167" s="1">
        <v>2</v>
      </c>
      <c r="K167" s="1">
        <v>1</v>
      </c>
      <c r="L167" s="1">
        <v>2</v>
      </c>
      <c r="M167" s="1">
        <v>3</v>
      </c>
      <c r="N167" s="1">
        <v>4</v>
      </c>
      <c r="O167" s="1">
        <v>5</v>
      </c>
      <c r="P167" s="1">
        <v>6</v>
      </c>
      <c r="Q167" s="1">
        <v>7</v>
      </c>
      <c r="R167" s="1">
        <v>8</v>
      </c>
      <c r="S167" s="12">
        <v>9</v>
      </c>
      <c r="T167" s="12" t="s">
        <v>11</v>
      </c>
    </row>
    <row r="168" spans="2:20" x14ac:dyDescent="0.5">
      <c r="B168" s="17" t="s">
        <v>8</v>
      </c>
      <c r="C168" s="11">
        <v>9</v>
      </c>
      <c r="D168" s="1">
        <v>8</v>
      </c>
      <c r="E168" s="1">
        <v>7</v>
      </c>
      <c r="F168" s="1">
        <v>6</v>
      </c>
      <c r="G168" s="1">
        <v>5</v>
      </c>
      <c r="H168" s="1">
        <v>4</v>
      </c>
      <c r="I168" s="1">
        <v>3</v>
      </c>
      <c r="J168" s="59">
        <v>2</v>
      </c>
      <c r="K168" s="1">
        <v>1</v>
      </c>
      <c r="L168" s="1">
        <v>2</v>
      </c>
      <c r="M168" s="1">
        <v>3</v>
      </c>
      <c r="N168" s="1">
        <v>4</v>
      </c>
      <c r="O168" s="1">
        <v>5</v>
      </c>
      <c r="P168" s="1">
        <v>6</v>
      </c>
      <c r="Q168" s="1">
        <v>7</v>
      </c>
      <c r="R168" s="1">
        <v>8</v>
      </c>
      <c r="S168" s="12">
        <v>9</v>
      </c>
      <c r="T168" s="12" t="s">
        <v>12</v>
      </c>
    </row>
    <row r="169" spans="2:20" x14ac:dyDescent="0.5">
      <c r="B169" s="17" t="s">
        <v>8</v>
      </c>
      <c r="C169" s="11">
        <v>9</v>
      </c>
      <c r="D169" s="1">
        <v>8</v>
      </c>
      <c r="E169" s="59">
        <v>7</v>
      </c>
      <c r="F169" s="1">
        <v>6</v>
      </c>
      <c r="G169" s="1">
        <v>5</v>
      </c>
      <c r="H169" s="1">
        <v>4</v>
      </c>
      <c r="I169" s="1">
        <v>3</v>
      </c>
      <c r="J169" s="1">
        <v>2</v>
      </c>
      <c r="K169" s="1">
        <v>1</v>
      </c>
      <c r="L169" s="1">
        <v>2</v>
      </c>
      <c r="M169" s="1">
        <v>3</v>
      </c>
      <c r="N169" s="1">
        <v>4</v>
      </c>
      <c r="O169" s="1">
        <v>5</v>
      </c>
      <c r="P169" s="1">
        <v>6</v>
      </c>
      <c r="Q169" s="1">
        <v>7</v>
      </c>
      <c r="R169" s="1">
        <v>8</v>
      </c>
      <c r="S169" s="12">
        <v>9</v>
      </c>
      <c r="T169" s="12" t="s">
        <v>13</v>
      </c>
    </row>
    <row r="170" spans="2:20" x14ac:dyDescent="0.5">
      <c r="B170" s="17" t="s">
        <v>8</v>
      </c>
      <c r="C170" s="11">
        <v>9</v>
      </c>
      <c r="D170" s="1">
        <v>8</v>
      </c>
      <c r="E170" s="1">
        <v>7</v>
      </c>
      <c r="F170" s="59">
        <v>6</v>
      </c>
      <c r="G170" s="1">
        <v>5</v>
      </c>
      <c r="H170" s="1">
        <v>4</v>
      </c>
      <c r="I170" s="1">
        <v>3</v>
      </c>
      <c r="J170" s="1">
        <v>2</v>
      </c>
      <c r="K170" s="1">
        <v>1</v>
      </c>
      <c r="L170" s="1">
        <v>2</v>
      </c>
      <c r="M170" s="1">
        <v>3</v>
      </c>
      <c r="N170" s="1">
        <v>4</v>
      </c>
      <c r="O170" s="1">
        <v>5</v>
      </c>
      <c r="P170" s="1">
        <v>6</v>
      </c>
      <c r="Q170" s="1">
        <v>7</v>
      </c>
      <c r="R170" s="1">
        <v>8</v>
      </c>
      <c r="S170" s="12">
        <v>9</v>
      </c>
      <c r="T170" s="12" t="s">
        <v>14</v>
      </c>
    </row>
    <row r="171" spans="2:20" x14ac:dyDescent="0.5">
      <c r="B171" s="17" t="s">
        <v>8</v>
      </c>
      <c r="C171" s="119">
        <v>9</v>
      </c>
      <c r="D171" s="1">
        <v>8</v>
      </c>
      <c r="E171" s="1">
        <v>7</v>
      </c>
      <c r="F171" s="1">
        <v>6</v>
      </c>
      <c r="G171" s="1">
        <v>5</v>
      </c>
      <c r="H171" s="1">
        <v>4</v>
      </c>
      <c r="I171" s="1">
        <v>3</v>
      </c>
      <c r="J171" s="1">
        <v>2</v>
      </c>
      <c r="K171" s="1">
        <v>1</v>
      </c>
      <c r="L171" s="1">
        <v>2</v>
      </c>
      <c r="M171" s="1">
        <v>3</v>
      </c>
      <c r="N171" s="1">
        <v>4</v>
      </c>
      <c r="O171" s="1">
        <v>5</v>
      </c>
      <c r="P171" s="1">
        <v>6</v>
      </c>
      <c r="Q171" s="1">
        <v>7</v>
      </c>
      <c r="R171" s="1">
        <v>8</v>
      </c>
      <c r="S171" s="12">
        <v>9</v>
      </c>
      <c r="T171" s="12" t="s">
        <v>15</v>
      </c>
    </row>
    <row r="172" spans="2:20" x14ac:dyDescent="0.5">
      <c r="B172" s="17" t="s">
        <v>8</v>
      </c>
      <c r="C172" s="11">
        <v>9</v>
      </c>
      <c r="D172" s="59">
        <v>8</v>
      </c>
      <c r="E172" s="1">
        <v>7</v>
      </c>
      <c r="F172" s="1">
        <v>6</v>
      </c>
      <c r="G172" s="1">
        <v>5</v>
      </c>
      <c r="H172" s="1">
        <v>4</v>
      </c>
      <c r="I172" s="1">
        <v>3</v>
      </c>
      <c r="J172" s="1">
        <v>2</v>
      </c>
      <c r="K172" s="1">
        <v>1</v>
      </c>
      <c r="L172" s="1">
        <v>2</v>
      </c>
      <c r="M172" s="1">
        <v>3</v>
      </c>
      <c r="N172" s="1">
        <v>4</v>
      </c>
      <c r="O172" s="1">
        <v>5</v>
      </c>
      <c r="P172" s="1">
        <v>6</v>
      </c>
      <c r="Q172" s="1">
        <v>7</v>
      </c>
      <c r="R172" s="1">
        <v>8</v>
      </c>
      <c r="S172" s="12">
        <v>9</v>
      </c>
      <c r="T172" s="12" t="s">
        <v>16</v>
      </c>
    </row>
    <row r="173" spans="2:20" x14ac:dyDescent="0.5">
      <c r="B173" s="17" t="s">
        <v>8</v>
      </c>
      <c r="C173" s="11">
        <v>9</v>
      </c>
      <c r="D173" s="1">
        <v>8</v>
      </c>
      <c r="E173" s="59">
        <v>7</v>
      </c>
      <c r="F173" s="1">
        <v>6</v>
      </c>
      <c r="G173" s="1">
        <v>5</v>
      </c>
      <c r="H173" s="1">
        <v>4</v>
      </c>
      <c r="I173" s="1">
        <v>3</v>
      </c>
      <c r="J173" s="1">
        <v>2</v>
      </c>
      <c r="K173" s="1">
        <v>1</v>
      </c>
      <c r="L173" s="1">
        <v>2</v>
      </c>
      <c r="M173" s="1">
        <v>3</v>
      </c>
      <c r="N173" s="1">
        <v>4</v>
      </c>
      <c r="O173" s="1">
        <v>5</v>
      </c>
      <c r="P173" s="1">
        <v>6</v>
      </c>
      <c r="Q173" s="1">
        <v>7</v>
      </c>
      <c r="R173" s="1">
        <v>8</v>
      </c>
      <c r="S173" s="12">
        <v>9</v>
      </c>
      <c r="T173" s="12" t="s">
        <v>17</v>
      </c>
    </row>
    <row r="174" spans="2:20" x14ac:dyDescent="0.5">
      <c r="B174" s="19" t="s">
        <v>8</v>
      </c>
      <c r="C174" s="13">
        <v>9</v>
      </c>
      <c r="D174" s="14">
        <v>8</v>
      </c>
      <c r="E174" s="14">
        <v>7</v>
      </c>
      <c r="F174" s="14">
        <v>6</v>
      </c>
      <c r="G174" s="14">
        <v>5</v>
      </c>
      <c r="H174" s="14">
        <v>4</v>
      </c>
      <c r="I174" s="14">
        <v>3</v>
      </c>
      <c r="J174" s="60">
        <v>2</v>
      </c>
      <c r="K174" s="14">
        <v>1</v>
      </c>
      <c r="L174" s="14">
        <v>2</v>
      </c>
      <c r="M174" s="14">
        <v>3</v>
      </c>
      <c r="N174" s="14">
        <v>4</v>
      </c>
      <c r="O174" s="14">
        <v>5</v>
      </c>
      <c r="P174" s="14">
        <v>6</v>
      </c>
      <c r="Q174" s="14">
        <v>7</v>
      </c>
      <c r="R174" s="14">
        <v>8</v>
      </c>
      <c r="S174" s="15">
        <v>9</v>
      </c>
      <c r="T174" s="15" t="s">
        <v>18</v>
      </c>
    </row>
    <row r="175" spans="2:20" x14ac:dyDescent="0.5">
      <c r="B175" s="16" t="s">
        <v>9</v>
      </c>
      <c r="C175" s="11">
        <v>9</v>
      </c>
      <c r="D175" s="1">
        <v>8</v>
      </c>
      <c r="E175" s="1">
        <v>7</v>
      </c>
      <c r="F175" s="1">
        <v>6</v>
      </c>
      <c r="G175" s="1">
        <v>5</v>
      </c>
      <c r="H175" s="1">
        <v>4</v>
      </c>
      <c r="I175" s="1">
        <v>3</v>
      </c>
      <c r="J175" s="59">
        <v>2</v>
      </c>
      <c r="K175" s="1">
        <v>1</v>
      </c>
      <c r="L175" s="1">
        <v>2</v>
      </c>
      <c r="M175" s="1">
        <v>3</v>
      </c>
      <c r="N175" s="1">
        <v>4</v>
      </c>
      <c r="O175" s="1">
        <v>5</v>
      </c>
      <c r="P175" s="1">
        <v>6</v>
      </c>
      <c r="Q175" s="1">
        <v>7</v>
      </c>
      <c r="R175" s="1">
        <v>8</v>
      </c>
      <c r="S175" s="12">
        <v>9</v>
      </c>
      <c r="T175" s="12" t="s">
        <v>10</v>
      </c>
    </row>
    <row r="176" spans="2:20" x14ac:dyDescent="0.5">
      <c r="B176" s="17" t="s">
        <v>9</v>
      </c>
      <c r="C176" s="11">
        <v>9</v>
      </c>
      <c r="D176" s="1">
        <v>8</v>
      </c>
      <c r="E176" s="1">
        <v>7</v>
      </c>
      <c r="F176" s="1">
        <v>6</v>
      </c>
      <c r="G176" s="1">
        <v>5</v>
      </c>
      <c r="H176" s="1">
        <v>4</v>
      </c>
      <c r="I176" s="1">
        <v>3</v>
      </c>
      <c r="J176" s="1">
        <v>2</v>
      </c>
      <c r="K176" s="59">
        <v>1</v>
      </c>
      <c r="L176" s="1">
        <v>2</v>
      </c>
      <c r="M176" s="1">
        <v>3</v>
      </c>
      <c r="N176" s="1">
        <v>4</v>
      </c>
      <c r="O176" s="1">
        <v>5</v>
      </c>
      <c r="P176" s="1">
        <v>6</v>
      </c>
      <c r="Q176" s="1">
        <v>7</v>
      </c>
      <c r="R176" s="1">
        <v>8</v>
      </c>
      <c r="S176" s="12">
        <v>9</v>
      </c>
      <c r="T176" s="12" t="s">
        <v>11</v>
      </c>
    </row>
    <row r="177" spans="2:20" x14ac:dyDescent="0.5">
      <c r="B177" s="17" t="s">
        <v>9</v>
      </c>
      <c r="C177" s="11">
        <v>9</v>
      </c>
      <c r="D177" s="1">
        <v>8</v>
      </c>
      <c r="E177" s="1">
        <v>7</v>
      </c>
      <c r="F177" s="1">
        <v>6</v>
      </c>
      <c r="G177" s="1">
        <v>5</v>
      </c>
      <c r="H177" s="1">
        <v>4</v>
      </c>
      <c r="I177" s="1">
        <v>3</v>
      </c>
      <c r="J177" s="1">
        <v>2</v>
      </c>
      <c r="K177" s="1">
        <v>1</v>
      </c>
      <c r="L177" s="1">
        <v>2</v>
      </c>
      <c r="M177" s="1">
        <v>3</v>
      </c>
      <c r="N177" s="1">
        <v>4</v>
      </c>
      <c r="O177" s="1">
        <v>5</v>
      </c>
      <c r="P177" s="1">
        <v>6</v>
      </c>
      <c r="Q177" s="59">
        <v>7</v>
      </c>
      <c r="R177" s="1">
        <v>8</v>
      </c>
      <c r="S177" s="12">
        <v>9</v>
      </c>
      <c r="T177" s="12" t="s">
        <v>12</v>
      </c>
    </row>
    <row r="178" spans="2:20" x14ac:dyDescent="0.5">
      <c r="B178" s="17" t="s">
        <v>9</v>
      </c>
      <c r="C178" s="11">
        <v>9</v>
      </c>
      <c r="D178" s="1">
        <v>8</v>
      </c>
      <c r="E178" s="1">
        <v>7</v>
      </c>
      <c r="F178" s="1">
        <v>6</v>
      </c>
      <c r="G178" s="1">
        <v>5</v>
      </c>
      <c r="H178" s="1">
        <v>4</v>
      </c>
      <c r="I178" s="1">
        <v>3</v>
      </c>
      <c r="J178" s="1">
        <v>2</v>
      </c>
      <c r="K178" s="59">
        <v>1</v>
      </c>
      <c r="L178" s="1">
        <v>2</v>
      </c>
      <c r="M178" s="1">
        <v>3</v>
      </c>
      <c r="N178" s="1">
        <v>4</v>
      </c>
      <c r="O178" s="1">
        <v>5</v>
      </c>
      <c r="P178" s="1">
        <v>6</v>
      </c>
      <c r="Q178" s="1">
        <v>7</v>
      </c>
      <c r="R178" s="1">
        <v>8</v>
      </c>
      <c r="S178" s="12">
        <v>9</v>
      </c>
      <c r="T178" s="12" t="s">
        <v>13</v>
      </c>
    </row>
    <row r="179" spans="2:20" x14ac:dyDescent="0.5">
      <c r="B179" s="17" t="s">
        <v>9</v>
      </c>
      <c r="C179" s="11">
        <v>9</v>
      </c>
      <c r="D179" s="1">
        <v>8</v>
      </c>
      <c r="E179" s="1">
        <v>7</v>
      </c>
      <c r="F179" s="1">
        <v>6</v>
      </c>
      <c r="G179" s="1">
        <v>5</v>
      </c>
      <c r="H179" s="1">
        <v>4</v>
      </c>
      <c r="I179" s="1">
        <v>3</v>
      </c>
      <c r="J179" s="1">
        <v>2</v>
      </c>
      <c r="K179" s="1">
        <v>1</v>
      </c>
      <c r="L179" s="1">
        <v>2</v>
      </c>
      <c r="M179" s="1">
        <v>3</v>
      </c>
      <c r="N179" s="59">
        <v>4</v>
      </c>
      <c r="O179" s="1">
        <v>5</v>
      </c>
      <c r="P179" s="1">
        <v>6</v>
      </c>
      <c r="Q179" s="1">
        <v>7</v>
      </c>
      <c r="R179" s="1">
        <v>8</v>
      </c>
      <c r="S179" s="12">
        <v>9</v>
      </c>
      <c r="T179" s="12" t="s">
        <v>14</v>
      </c>
    </row>
    <row r="180" spans="2:20" x14ac:dyDescent="0.5">
      <c r="B180" s="17" t="s">
        <v>9</v>
      </c>
      <c r="C180" s="11">
        <v>9</v>
      </c>
      <c r="D180" s="1">
        <v>8</v>
      </c>
      <c r="E180" s="1">
        <v>7</v>
      </c>
      <c r="F180" s="1">
        <v>6</v>
      </c>
      <c r="G180" s="1">
        <v>5</v>
      </c>
      <c r="H180" s="1">
        <v>4</v>
      </c>
      <c r="I180" s="1">
        <v>3</v>
      </c>
      <c r="J180" s="1">
        <v>2</v>
      </c>
      <c r="K180" s="1">
        <v>1</v>
      </c>
      <c r="L180" s="59">
        <v>2</v>
      </c>
      <c r="M180" s="1">
        <v>3</v>
      </c>
      <c r="N180" s="1">
        <v>4</v>
      </c>
      <c r="O180" s="1">
        <v>5</v>
      </c>
      <c r="P180" s="1">
        <v>6</v>
      </c>
      <c r="Q180" s="1">
        <v>7</v>
      </c>
      <c r="R180" s="1">
        <v>8</v>
      </c>
      <c r="S180" s="12">
        <v>9</v>
      </c>
      <c r="T180" s="12" t="s">
        <v>15</v>
      </c>
    </row>
    <row r="181" spans="2:20" x14ac:dyDescent="0.5">
      <c r="B181" s="17" t="s">
        <v>9</v>
      </c>
      <c r="C181" s="11">
        <v>9</v>
      </c>
      <c r="D181" s="1">
        <v>8</v>
      </c>
      <c r="E181" s="1">
        <v>7</v>
      </c>
      <c r="F181" s="1">
        <v>6</v>
      </c>
      <c r="G181" s="1">
        <v>5</v>
      </c>
      <c r="H181" s="1">
        <v>4</v>
      </c>
      <c r="I181" s="1">
        <v>3</v>
      </c>
      <c r="J181" s="1">
        <v>2</v>
      </c>
      <c r="K181" s="59">
        <v>1</v>
      </c>
      <c r="L181" s="1">
        <v>2</v>
      </c>
      <c r="M181" s="1">
        <v>3</v>
      </c>
      <c r="N181" s="1">
        <v>4</v>
      </c>
      <c r="O181" s="1">
        <v>5</v>
      </c>
      <c r="P181" s="1">
        <v>6</v>
      </c>
      <c r="Q181" s="1">
        <v>7</v>
      </c>
      <c r="R181" s="1">
        <v>8</v>
      </c>
      <c r="S181" s="12">
        <v>9</v>
      </c>
      <c r="T181" s="12" t="s">
        <v>16</v>
      </c>
    </row>
    <row r="182" spans="2:20" x14ac:dyDescent="0.5">
      <c r="B182" s="17" t="s">
        <v>9</v>
      </c>
      <c r="C182" s="11">
        <v>9</v>
      </c>
      <c r="D182" s="1">
        <v>8</v>
      </c>
      <c r="E182" s="1">
        <v>7</v>
      </c>
      <c r="F182" s="1">
        <v>6</v>
      </c>
      <c r="G182" s="1">
        <v>5</v>
      </c>
      <c r="H182" s="1">
        <v>4</v>
      </c>
      <c r="I182" s="1">
        <v>3</v>
      </c>
      <c r="J182" s="1">
        <v>2</v>
      </c>
      <c r="K182" s="59">
        <v>1</v>
      </c>
      <c r="L182" s="1">
        <v>2</v>
      </c>
      <c r="M182" s="1">
        <v>3</v>
      </c>
      <c r="N182" s="1">
        <v>4</v>
      </c>
      <c r="O182" s="1">
        <v>5</v>
      </c>
      <c r="P182" s="1">
        <v>6</v>
      </c>
      <c r="Q182" s="1">
        <v>7</v>
      </c>
      <c r="R182" s="1">
        <v>8</v>
      </c>
      <c r="S182" s="12">
        <v>9</v>
      </c>
      <c r="T182" s="12" t="s">
        <v>17</v>
      </c>
    </row>
    <row r="183" spans="2:20" x14ac:dyDescent="0.5">
      <c r="B183" s="19" t="s">
        <v>9</v>
      </c>
      <c r="C183" s="13">
        <v>9</v>
      </c>
      <c r="D183" s="14">
        <v>8</v>
      </c>
      <c r="E183" s="14">
        <v>7</v>
      </c>
      <c r="F183" s="14">
        <v>6</v>
      </c>
      <c r="G183" s="14">
        <v>5</v>
      </c>
      <c r="H183" s="14">
        <v>4</v>
      </c>
      <c r="I183" s="14">
        <v>3</v>
      </c>
      <c r="J183" s="14">
        <v>2</v>
      </c>
      <c r="K183" s="14">
        <v>1</v>
      </c>
      <c r="L183" s="14">
        <v>2</v>
      </c>
      <c r="M183" s="14">
        <v>3</v>
      </c>
      <c r="N183" s="14">
        <v>4</v>
      </c>
      <c r="O183" s="14">
        <v>5</v>
      </c>
      <c r="P183" s="14">
        <v>6</v>
      </c>
      <c r="Q183" s="60">
        <v>7</v>
      </c>
      <c r="R183" s="14">
        <v>8</v>
      </c>
      <c r="S183" s="15">
        <v>9</v>
      </c>
      <c r="T183" s="15" t="s">
        <v>18</v>
      </c>
    </row>
    <row r="184" spans="2:20" x14ac:dyDescent="0.5">
      <c r="B184" s="16" t="s">
        <v>10</v>
      </c>
      <c r="C184" s="11">
        <v>9</v>
      </c>
      <c r="D184" s="1">
        <v>8</v>
      </c>
      <c r="E184" s="1">
        <v>7</v>
      </c>
      <c r="F184" s="1">
        <v>6</v>
      </c>
      <c r="G184" s="1">
        <v>5</v>
      </c>
      <c r="H184" s="1">
        <v>4</v>
      </c>
      <c r="I184" s="1">
        <v>3</v>
      </c>
      <c r="J184" s="1">
        <v>2</v>
      </c>
      <c r="K184" s="59">
        <v>1</v>
      </c>
      <c r="L184" s="1">
        <v>2</v>
      </c>
      <c r="M184" s="1">
        <v>3</v>
      </c>
      <c r="N184" s="1">
        <v>4</v>
      </c>
      <c r="O184" s="1">
        <v>5</v>
      </c>
      <c r="P184" s="1">
        <v>6</v>
      </c>
      <c r="Q184" s="1">
        <v>7</v>
      </c>
      <c r="R184" s="1">
        <v>8</v>
      </c>
      <c r="S184" s="12">
        <v>9</v>
      </c>
      <c r="T184" s="12" t="s">
        <v>11</v>
      </c>
    </row>
    <row r="185" spans="2:20" x14ac:dyDescent="0.5">
      <c r="B185" s="17" t="s">
        <v>10</v>
      </c>
      <c r="C185" s="11">
        <v>9</v>
      </c>
      <c r="D185" s="1">
        <v>8</v>
      </c>
      <c r="E185" s="1">
        <v>7</v>
      </c>
      <c r="F185" s="1">
        <v>6</v>
      </c>
      <c r="G185" s="1">
        <v>5</v>
      </c>
      <c r="H185" s="1">
        <v>4</v>
      </c>
      <c r="I185" s="1">
        <v>3</v>
      </c>
      <c r="J185" s="1">
        <v>2</v>
      </c>
      <c r="K185" s="1">
        <v>1</v>
      </c>
      <c r="L185" s="1">
        <v>2</v>
      </c>
      <c r="M185" s="1">
        <v>3</v>
      </c>
      <c r="N185" s="1">
        <v>4</v>
      </c>
      <c r="O185" s="1">
        <v>5</v>
      </c>
      <c r="P185" s="1">
        <v>6</v>
      </c>
      <c r="Q185" s="1">
        <v>7</v>
      </c>
      <c r="R185" s="1">
        <v>8</v>
      </c>
      <c r="S185" s="117">
        <v>9</v>
      </c>
      <c r="T185" s="12" t="s">
        <v>12</v>
      </c>
    </row>
    <row r="186" spans="2:20" x14ac:dyDescent="0.5">
      <c r="B186" s="17" t="s">
        <v>10</v>
      </c>
      <c r="C186" s="11">
        <v>9</v>
      </c>
      <c r="D186" s="1">
        <v>8</v>
      </c>
      <c r="E186" s="1">
        <v>7</v>
      </c>
      <c r="F186" s="1">
        <v>6</v>
      </c>
      <c r="G186" s="1">
        <v>5</v>
      </c>
      <c r="H186" s="1">
        <v>4</v>
      </c>
      <c r="I186" s="1">
        <v>3</v>
      </c>
      <c r="J186" s="1">
        <v>2</v>
      </c>
      <c r="K186" s="59">
        <v>1</v>
      </c>
      <c r="L186" s="1">
        <v>2</v>
      </c>
      <c r="M186" s="1">
        <v>3</v>
      </c>
      <c r="N186" s="1">
        <v>4</v>
      </c>
      <c r="O186" s="1">
        <v>5</v>
      </c>
      <c r="P186" s="1">
        <v>6</v>
      </c>
      <c r="Q186" s="1">
        <v>7</v>
      </c>
      <c r="R186" s="1">
        <v>8</v>
      </c>
      <c r="S186" s="12">
        <v>9</v>
      </c>
      <c r="T186" s="12" t="s">
        <v>13</v>
      </c>
    </row>
    <row r="187" spans="2:20" x14ac:dyDescent="0.5">
      <c r="B187" s="17" t="s">
        <v>10</v>
      </c>
      <c r="C187" s="11">
        <v>9</v>
      </c>
      <c r="D187" s="1">
        <v>8</v>
      </c>
      <c r="E187" s="1">
        <v>7</v>
      </c>
      <c r="F187" s="1">
        <v>6</v>
      </c>
      <c r="G187" s="1">
        <v>5</v>
      </c>
      <c r="H187" s="1">
        <v>4</v>
      </c>
      <c r="I187" s="1">
        <v>3</v>
      </c>
      <c r="J187" s="1">
        <v>2</v>
      </c>
      <c r="K187" s="1">
        <v>1</v>
      </c>
      <c r="L187" s="1">
        <v>2</v>
      </c>
      <c r="M187" s="1">
        <v>3</v>
      </c>
      <c r="N187" s="1">
        <v>4</v>
      </c>
      <c r="O187" s="59">
        <v>5</v>
      </c>
      <c r="P187" s="1">
        <v>6</v>
      </c>
      <c r="Q187" s="1">
        <v>7</v>
      </c>
      <c r="R187" s="1">
        <v>8</v>
      </c>
      <c r="S187" s="12">
        <v>9</v>
      </c>
      <c r="T187" s="12" t="s">
        <v>14</v>
      </c>
    </row>
    <row r="188" spans="2:20" x14ac:dyDescent="0.5">
      <c r="B188" s="17" t="s">
        <v>10</v>
      </c>
      <c r="C188" s="11">
        <v>9</v>
      </c>
      <c r="D188" s="1">
        <v>8</v>
      </c>
      <c r="E188" s="1">
        <v>7</v>
      </c>
      <c r="F188" s="1">
        <v>6</v>
      </c>
      <c r="G188" s="1">
        <v>5</v>
      </c>
      <c r="H188" s="1">
        <v>4</v>
      </c>
      <c r="I188" s="1">
        <v>3</v>
      </c>
      <c r="J188" s="1">
        <v>2</v>
      </c>
      <c r="K188" s="1">
        <v>1</v>
      </c>
      <c r="L188" s="59">
        <v>2</v>
      </c>
      <c r="M188" s="1">
        <v>3</v>
      </c>
      <c r="N188" s="1">
        <v>4</v>
      </c>
      <c r="O188" s="1">
        <v>5</v>
      </c>
      <c r="P188" s="1">
        <v>6</v>
      </c>
      <c r="Q188" s="1">
        <v>7</v>
      </c>
      <c r="R188" s="1">
        <v>8</v>
      </c>
      <c r="S188" s="12">
        <v>9</v>
      </c>
      <c r="T188" s="12" t="s">
        <v>15</v>
      </c>
    </row>
    <row r="189" spans="2:20" x14ac:dyDescent="0.5">
      <c r="B189" s="17" t="s">
        <v>10</v>
      </c>
      <c r="C189" s="11">
        <v>9</v>
      </c>
      <c r="D189" s="1">
        <v>8</v>
      </c>
      <c r="E189" s="1">
        <v>7</v>
      </c>
      <c r="F189" s="1">
        <v>6</v>
      </c>
      <c r="G189" s="1">
        <v>5</v>
      </c>
      <c r="H189" s="1">
        <v>4</v>
      </c>
      <c r="I189" s="1">
        <v>3</v>
      </c>
      <c r="J189" s="1">
        <v>2</v>
      </c>
      <c r="K189" s="59">
        <v>1</v>
      </c>
      <c r="L189" s="1">
        <v>2</v>
      </c>
      <c r="M189" s="1">
        <v>3</v>
      </c>
      <c r="N189" s="1">
        <v>4</v>
      </c>
      <c r="O189" s="1">
        <v>5</v>
      </c>
      <c r="P189" s="1">
        <v>6</v>
      </c>
      <c r="Q189" s="1">
        <v>7</v>
      </c>
      <c r="R189" s="1">
        <v>8</v>
      </c>
      <c r="S189" s="12">
        <v>9</v>
      </c>
      <c r="T189" s="12" t="s">
        <v>16</v>
      </c>
    </row>
    <row r="190" spans="2:20" x14ac:dyDescent="0.5">
      <c r="B190" s="17" t="s">
        <v>10</v>
      </c>
      <c r="C190" s="11">
        <v>9</v>
      </c>
      <c r="D190" s="1">
        <v>8</v>
      </c>
      <c r="E190" s="1">
        <v>7</v>
      </c>
      <c r="F190" s="1">
        <v>6</v>
      </c>
      <c r="G190" s="1">
        <v>5</v>
      </c>
      <c r="H190" s="1">
        <v>4</v>
      </c>
      <c r="I190" s="1">
        <v>3</v>
      </c>
      <c r="J190" s="59">
        <v>2</v>
      </c>
      <c r="K190" s="1">
        <v>1</v>
      </c>
      <c r="L190" s="1">
        <v>2</v>
      </c>
      <c r="M190" s="1">
        <v>3</v>
      </c>
      <c r="N190" s="1">
        <v>4</v>
      </c>
      <c r="O190" s="1">
        <v>5</v>
      </c>
      <c r="P190" s="1">
        <v>6</v>
      </c>
      <c r="Q190" s="1">
        <v>7</v>
      </c>
      <c r="R190" s="1">
        <v>8</v>
      </c>
      <c r="S190" s="12">
        <v>9</v>
      </c>
      <c r="T190" s="12" t="s">
        <v>17</v>
      </c>
    </row>
    <row r="191" spans="2:20" x14ac:dyDescent="0.5">
      <c r="B191" s="19" t="s">
        <v>10</v>
      </c>
      <c r="C191" s="13">
        <v>9</v>
      </c>
      <c r="D191" s="14">
        <v>8</v>
      </c>
      <c r="E191" s="14">
        <v>7</v>
      </c>
      <c r="F191" s="14">
        <v>6</v>
      </c>
      <c r="G191" s="14">
        <v>5</v>
      </c>
      <c r="H191" s="14">
        <v>4</v>
      </c>
      <c r="I191" s="14">
        <v>3</v>
      </c>
      <c r="J191" s="14">
        <v>2</v>
      </c>
      <c r="K191" s="14">
        <v>1</v>
      </c>
      <c r="L191" s="14">
        <v>2</v>
      </c>
      <c r="M191" s="14">
        <v>3</v>
      </c>
      <c r="N191" s="14">
        <v>4</v>
      </c>
      <c r="O191" s="14">
        <v>5</v>
      </c>
      <c r="P191" s="14">
        <v>6</v>
      </c>
      <c r="Q191" s="60">
        <v>7</v>
      </c>
      <c r="R191" s="14">
        <v>8</v>
      </c>
      <c r="S191" s="15">
        <v>9</v>
      </c>
      <c r="T191" s="15" t="s">
        <v>18</v>
      </c>
    </row>
    <row r="192" spans="2:20" x14ac:dyDescent="0.5">
      <c r="B192" s="16" t="s">
        <v>11</v>
      </c>
      <c r="C192" s="11">
        <v>9</v>
      </c>
      <c r="D192" s="1">
        <v>8</v>
      </c>
      <c r="E192" s="1">
        <v>7</v>
      </c>
      <c r="F192" s="1">
        <v>6</v>
      </c>
      <c r="G192" s="1">
        <v>5</v>
      </c>
      <c r="H192" s="1">
        <v>4</v>
      </c>
      <c r="I192" s="1">
        <v>3</v>
      </c>
      <c r="J192" s="1">
        <v>2</v>
      </c>
      <c r="K192" s="1">
        <v>1</v>
      </c>
      <c r="L192" s="1">
        <v>2</v>
      </c>
      <c r="M192" s="1">
        <v>3</v>
      </c>
      <c r="N192" s="1">
        <v>4</v>
      </c>
      <c r="O192" s="1">
        <v>5</v>
      </c>
      <c r="P192" s="1">
        <v>6</v>
      </c>
      <c r="Q192" s="59">
        <v>7</v>
      </c>
      <c r="R192" s="1">
        <v>8</v>
      </c>
      <c r="S192" s="12">
        <v>9</v>
      </c>
      <c r="T192" s="12" t="s">
        <v>12</v>
      </c>
    </row>
    <row r="193" spans="2:20" x14ac:dyDescent="0.5">
      <c r="B193" s="17" t="s">
        <v>11</v>
      </c>
      <c r="C193" s="11">
        <v>9</v>
      </c>
      <c r="D193" s="1">
        <v>8</v>
      </c>
      <c r="E193" s="1">
        <v>7</v>
      </c>
      <c r="F193" s="1">
        <v>6</v>
      </c>
      <c r="G193" s="1">
        <v>5</v>
      </c>
      <c r="H193" s="1">
        <v>4</v>
      </c>
      <c r="I193" s="1">
        <v>3</v>
      </c>
      <c r="J193" s="1">
        <v>2</v>
      </c>
      <c r="K193" s="1">
        <v>1</v>
      </c>
      <c r="L193" s="1">
        <v>2</v>
      </c>
      <c r="M193" s="59">
        <v>3</v>
      </c>
      <c r="N193" s="1">
        <v>4</v>
      </c>
      <c r="O193" s="1">
        <v>5</v>
      </c>
      <c r="P193" s="1">
        <v>6</v>
      </c>
      <c r="Q193" s="1">
        <v>7</v>
      </c>
      <c r="R193" s="1">
        <v>8</v>
      </c>
      <c r="S193" s="12">
        <v>9</v>
      </c>
      <c r="T193" s="12" t="s">
        <v>13</v>
      </c>
    </row>
    <row r="194" spans="2:20" x14ac:dyDescent="0.5">
      <c r="B194" s="17" t="s">
        <v>11</v>
      </c>
      <c r="C194" s="11">
        <v>9</v>
      </c>
      <c r="D194" s="1">
        <v>8</v>
      </c>
      <c r="E194" s="1">
        <v>7</v>
      </c>
      <c r="F194" s="1">
        <v>6</v>
      </c>
      <c r="G194" s="1">
        <v>5</v>
      </c>
      <c r="H194" s="1">
        <v>4</v>
      </c>
      <c r="I194" s="1">
        <v>3</v>
      </c>
      <c r="J194" s="1">
        <v>2</v>
      </c>
      <c r="K194" s="1">
        <v>1</v>
      </c>
      <c r="L194" s="1">
        <v>2</v>
      </c>
      <c r="M194" s="1">
        <v>3</v>
      </c>
      <c r="N194" s="1">
        <v>4</v>
      </c>
      <c r="O194" s="59">
        <v>5</v>
      </c>
      <c r="P194" s="1">
        <v>6</v>
      </c>
      <c r="Q194" s="1">
        <v>7</v>
      </c>
      <c r="R194" s="1">
        <v>8</v>
      </c>
      <c r="S194" s="12">
        <v>9</v>
      </c>
      <c r="T194" s="12" t="s">
        <v>14</v>
      </c>
    </row>
    <row r="195" spans="2:20" x14ac:dyDescent="0.5">
      <c r="B195" s="17" t="s">
        <v>11</v>
      </c>
      <c r="C195" s="11">
        <v>9</v>
      </c>
      <c r="D195" s="1">
        <v>8</v>
      </c>
      <c r="E195" s="1">
        <v>7</v>
      </c>
      <c r="F195" s="1">
        <v>6</v>
      </c>
      <c r="G195" s="1">
        <v>5</v>
      </c>
      <c r="H195" s="1">
        <v>4</v>
      </c>
      <c r="I195" s="1">
        <v>3</v>
      </c>
      <c r="J195" s="1">
        <v>2</v>
      </c>
      <c r="K195" s="1">
        <v>1</v>
      </c>
      <c r="L195" s="59">
        <v>2</v>
      </c>
      <c r="M195" s="1">
        <v>3</v>
      </c>
      <c r="N195" s="1">
        <v>4</v>
      </c>
      <c r="O195" s="1">
        <v>5</v>
      </c>
      <c r="P195" s="1">
        <v>6</v>
      </c>
      <c r="Q195" s="1">
        <v>7</v>
      </c>
      <c r="R195" s="1">
        <v>8</v>
      </c>
      <c r="S195" s="12">
        <v>9</v>
      </c>
      <c r="T195" s="12" t="s">
        <v>15</v>
      </c>
    </row>
    <row r="196" spans="2:20" x14ac:dyDescent="0.5">
      <c r="B196" s="17" t="s">
        <v>11</v>
      </c>
      <c r="C196" s="11">
        <v>9</v>
      </c>
      <c r="D196" s="1">
        <v>8</v>
      </c>
      <c r="E196" s="1">
        <v>7</v>
      </c>
      <c r="F196" s="1">
        <v>6</v>
      </c>
      <c r="G196" s="1">
        <v>5</v>
      </c>
      <c r="H196" s="1">
        <v>4</v>
      </c>
      <c r="I196" s="1">
        <v>3</v>
      </c>
      <c r="J196" s="1">
        <v>2</v>
      </c>
      <c r="K196" s="59">
        <v>1</v>
      </c>
      <c r="L196" s="1">
        <v>2</v>
      </c>
      <c r="M196" s="1">
        <v>3</v>
      </c>
      <c r="N196" s="1">
        <v>4</v>
      </c>
      <c r="O196" s="1">
        <v>5</v>
      </c>
      <c r="P196" s="1">
        <v>6</v>
      </c>
      <c r="Q196" s="1">
        <v>7</v>
      </c>
      <c r="R196" s="1">
        <v>8</v>
      </c>
      <c r="S196" s="12">
        <v>9</v>
      </c>
      <c r="T196" s="12" t="s">
        <v>16</v>
      </c>
    </row>
    <row r="197" spans="2:20" x14ac:dyDescent="0.5">
      <c r="B197" s="17" t="s">
        <v>11</v>
      </c>
      <c r="C197" s="11">
        <v>9</v>
      </c>
      <c r="D197" s="1">
        <v>8</v>
      </c>
      <c r="E197" s="1">
        <v>7</v>
      </c>
      <c r="F197" s="1">
        <v>6</v>
      </c>
      <c r="G197" s="1">
        <v>5</v>
      </c>
      <c r="H197" s="1">
        <v>4</v>
      </c>
      <c r="I197" s="1">
        <v>3</v>
      </c>
      <c r="J197" s="59">
        <v>2</v>
      </c>
      <c r="K197" s="1">
        <v>1</v>
      </c>
      <c r="L197" s="1">
        <v>2</v>
      </c>
      <c r="M197" s="1">
        <v>3</v>
      </c>
      <c r="N197" s="1">
        <v>4</v>
      </c>
      <c r="O197" s="1">
        <v>5</v>
      </c>
      <c r="P197" s="1">
        <v>6</v>
      </c>
      <c r="Q197" s="1">
        <v>7</v>
      </c>
      <c r="R197" s="1">
        <v>8</v>
      </c>
      <c r="S197" s="12">
        <v>9</v>
      </c>
      <c r="T197" s="12" t="s">
        <v>17</v>
      </c>
    </row>
    <row r="198" spans="2:20" x14ac:dyDescent="0.5">
      <c r="B198" s="19" t="s">
        <v>11</v>
      </c>
      <c r="C198" s="13">
        <v>9</v>
      </c>
      <c r="D198" s="14">
        <v>8</v>
      </c>
      <c r="E198" s="14">
        <v>7</v>
      </c>
      <c r="F198" s="14">
        <v>6</v>
      </c>
      <c r="G198" s="14">
        <v>5</v>
      </c>
      <c r="H198" s="14">
        <v>4</v>
      </c>
      <c r="I198" s="14">
        <v>3</v>
      </c>
      <c r="J198" s="14">
        <v>2</v>
      </c>
      <c r="K198" s="14">
        <v>1</v>
      </c>
      <c r="L198" s="14">
        <v>2</v>
      </c>
      <c r="M198" s="14">
        <v>3</v>
      </c>
      <c r="N198" s="14">
        <v>4</v>
      </c>
      <c r="O198" s="14">
        <v>5</v>
      </c>
      <c r="P198" s="14">
        <v>6</v>
      </c>
      <c r="Q198" s="60">
        <v>7</v>
      </c>
      <c r="R198" s="14">
        <v>8</v>
      </c>
      <c r="S198" s="15">
        <v>9</v>
      </c>
      <c r="T198" s="15" t="s">
        <v>18</v>
      </c>
    </row>
    <row r="199" spans="2:20" x14ac:dyDescent="0.5">
      <c r="B199" s="16" t="s">
        <v>12</v>
      </c>
      <c r="C199" s="11">
        <v>9</v>
      </c>
      <c r="D199" s="59">
        <v>8</v>
      </c>
      <c r="E199" s="1">
        <v>7</v>
      </c>
      <c r="F199" s="1">
        <v>6</v>
      </c>
      <c r="G199" s="1">
        <v>5</v>
      </c>
      <c r="H199" s="1">
        <v>4</v>
      </c>
      <c r="I199" s="1">
        <v>3</v>
      </c>
      <c r="J199" s="1">
        <v>2</v>
      </c>
      <c r="K199" s="1">
        <v>1</v>
      </c>
      <c r="L199" s="1">
        <v>2</v>
      </c>
      <c r="M199" s="1">
        <v>3</v>
      </c>
      <c r="N199" s="1">
        <v>4</v>
      </c>
      <c r="O199" s="1">
        <v>5</v>
      </c>
      <c r="P199" s="1">
        <v>6</v>
      </c>
      <c r="Q199" s="1">
        <v>7</v>
      </c>
      <c r="R199" s="1">
        <v>8</v>
      </c>
      <c r="S199" s="12">
        <v>9</v>
      </c>
      <c r="T199" s="12" t="s">
        <v>13</v>
      </c>
    </row>
    <row r="200" spans="2:20" x14ac:dyDescent="0.5">
      <c r="B200" s="17" t="s">
        <v>12</v>
      </c>
      <c r="C200" s="11">
        <v>9</v>
      </c>
      <c r="D200" s="1">
        <v>8</v>
      </c>
      <c r="E200" s="1">
        <v>7</v>
      </c>
      <c r="F200" s="1">
        <v>6</v>
      </c>
      <c r="G200" s="1">
        <v>5</v>
      </c>
      <c r="H200" s="59">
        <v>4</v>
      </c>
      <c r="I200" s="1">
        <v>3</v>
      </c>
      <c r="J200" s="1">
        <v>2</v>
      </c>
      <c r="K200" s="1">
        <v>1</v>
      </c>
      <c r="L200" s="1">
        <v>2</v>
      </c>
      <c r="M200" s="1">
        <v>3</v>
      </c>
      <c r="N200" s="1">
        <v>4</v>
      </c>
      <c r="O200" s="1">
        <v>5</v>
      </c>
      <c r="P200" s="1">
        <v>6</v>
      </c>
      <c r="Q200" s="1">
        <v>7</v>
      </c>
      <c r="R200" s="1">
        <v>8</v>
      </c>
      <c r="S200" s="12">
        <v>9</v>
      </c>
      <c r="T200" s="12" t="s">
        <v>14</v>
      </c>
    </row>
    <row r="201" spans="2:20" x14ac:dyDescent="0.5">
      <c r="B201" s="17" t="s">
        <v>12</v>
      </c>
      <c r="C201" s="11">
        <v>9</v>
      </c>
      <c r="D201" s="1">
        <v>8</v>
      </c>
      <c r="E201" s="59">
        <v>7</v>
      </c>
      <c r="F201" s="1">
        <v>6</v>
      </c>
      <c r="G201" s="1">
        <v>5</v>
      </c>
      <c r="H201" s="1">
        <v>4</v>
      </c>
      <c r="I201" s="1">
        <v>3</v>
      </c>
      <c r="J201" s="1">
        <v>2</v>
      </c>
      <c r="K201" s="1">
        <v>1</v>
      </c>
      <c r="L201" s="1">
        <v>2</v>
      </c>
      <c r="M201" s="1">
        <v>3</v>
      </c>
      <c r="N201" s="1">
        <v>4</v>
      </c>
      <c r="O201" s="1">
        <v>5</v>
      </c>
      <c r="P201" s="1">
        <v>6</v>
      </c>
      <c r="Q201" s="1">
        <v>7</v>
      </c>
      <c r="R201" s="1">
        <v>8</v>
      </c>
      <c r="S201" s="12">
        <v>9</v>
      </c>
      <c r="T201" s="12" t="s">
        <v>15</v>
      </c>
    </row>
    <row r="202" spans="2:20" x14ac:dyDescent="0.5">
      <c r="B202" s="17" t="s">
        <v>12</v>
      </c>
      <c r="C202" s="11">
        <v>9</v>
      </c>
      <c r="D202" s="1">
        <v>8</v>
      </c>
      <c r="E202" s="59">
        <v>7</v>
      </c>
      <c r="F202" s="1">
        <v>6</v>
      </c>
      <c r="G202" s="1">
        <v>5</v>
      </c>
      <c r="H202" s="1">
        <v>4</v>
      </c>
      <c r="I202" s="1">
        <v>3</v>
      </c>
      <c r="J202" s="1">
        <v>2</v>
      </c>
      <c r="K202" s="1">
        <v>1</v>
      </c>
      <c r="L202" s="1">
        <v>2</v>
      </c>
      <c r="M202" s="1">
        <v>3</v>
      </c>
      <c r="N202" s="1">
        <v>4</v>
      </c>
      <c r="O202" s="1">
        <v>5</v>
      </c>
      <c r="P202" s="1">
        <v>6</v>
      </c>
      <c r="Q202" s="1">
        <v>7</v>
      </c>
      <c r="R202" s="1">
        <v>8</v>
      </c>
      <c r="S202" s="12">
        <v>9</v>
      </c>
      <c r="T202" s="12" t="s">
        <v>16</v>
      </c>
    </row>
    <row r="203" spans="2:20" x14ac:dyDescent="0.5">
      <c r="B203" s="17" t="s">
        <v>12</v>
      </c>
      <c r="C203" s="11">
        <v>9</v>
      </c>
      <c r="D203" s="1">
        <v>8</v>
      </c>
      <c r="E203" s="1">
        <v>7</v>
      </c>
      <c r="F203" s="59">
        <v>6</v>
      </c>
      <c r="G203" s="1">
        <v>5</v>
      </c>
      <c r="H203" s="1">
        <v>4</v>
      </c>
      <c r="I203" s="1">
        <v>3</v>
      </c>
      <c r="J203" s="1">
        <v>2</v>
      </c>
      <c r="K203" s="1">
        <v>1</v>
      </c>
      <c r="L203" s="1">
        <v>2</v>
      </c>
      <c r="M203" s="1">
        <v>3</v>
      </c>
      <c r="N203" s="1">
        <v>4</v>
      </c>
      <c r="O203" s="1">
        <v>5</v>
      </c>
      <c r="P203" s="1">
        <v>6</v>
      </c>
      <c r="Q203" s="1">
        <v>7</v>
      </c>
      <c r="R203" s="1">
        <v>8</v>
      </c>
      <c r="S203" s="12">
        <v>9</v>
      </c>
      <c r="T203" s="12" t="s">
        <v>17</v>
      </c>
    </row>
    <row r="204" spans="2:20" x14ac:dyDescent="0.5">
      <c r="B204" s="19" t="s">
        <v>12</v>
      </c>
      <c r="C204" s="13">
        <v>9</v>
      </c>
      <c r="D204" s="14">
        <v>8</v>
      </c>
      <c r="E204" s="14">
        <v>7</v>
      </c>
      <c r="F204" s="14">
        <v>6</v>
      </c>
      <c r="G204" s="14">
        <v>5</v>
      </c>
      <c r="H204" s="14">
        <v>4</v>
      </c>
      <c r="I204" s="14">
        <v>3</v>
      </c>
      <c r="J204" s="14">
        <v>2</v>
      </c>
      <c r="K204" s="14">
        <v>1</v>
      </c>
      <c r="L204" s="60">
        <v>2</v>
      </c>
      <c r="M204" s="14">
        <v>3</v>
      </c>
      <c r="N204" s="14">
        <v>4</v>
      </c>
      <c r="O204" s="14">
        <v>5</v>
      </c>
      <c r="P204" s="14">
        <v>6</v>
      </c>
      <c r="Q204" s="14">
        <v>7</v>
      </c>
      <c r="R204" s="14">
        <v>8</v>
      </c>
      <c r="S204" s="15">
        <v>9</v>
      </c>
      <c r="T204" s="15" t="s">
        <v>18</v>
      </c>
    </row>
    <row r="205" spans="2:20" x14ac:dyDescent="0.5">
      <c r="B205" s="16" t="s">
        <v>13</v>
      </c>
      <c r="C205" s="11">
        <v>9</v>
      </c>
      <c r="D205" s="1">
        <v>8</v>
      </c>
      <c r="E205" s="1">
        <v>7</v>
      </c>
      <c r="F205" s="1">
        <v>6</v>
      </c>
      <c r="G205" s="1">
        <v>5</v>
      </c>
      <c r="H205" s="1">
        <v>4</v>
      </c>
      <c r="I205" s="1">
        <v>3</v>
      </c>
      <c r="J205" s="1">
        <v>2</v>
      </c>
      <c r="K205" s="1">
        <v>1</v>
      </c>
      <c r="L205" s="1">
        <v>2</v>
      </c>
      <c r="M205" s="1">
        <v>3</v>
      </c>
      <c r="N205" s="59">
        <v>4</v>
      </c>
      <c r="O205" s="1">
        <v>5</v>
      </c>
      <c r="P205" s="1">
        <v>6</v>
      </c>
      <c r="Q205" s="1">
        <v>7</v>
      </c>
      <c r="R205" s="1">
        <v>8</v>
      </c>
      <c r="S205" s="12">
        <v>9</v>
      </c>
      <c r="T205" s="7" t="s">
        <v>14</v>
      </c>
    </row>
    <row r="206" spans="2:20" x14ac:dyDescent="0.5">
      <c r="B206" s="17" t="s">
        <v>13</v>
      </c>
      <c r="C206" s="11">
        <v>9</v>
      </c>
      <c r="D206" s="1">
        <v>8</v>
      </c>
      <c r="E206" s="1">
        <v>7</v>
      </c>
      <c r="F206" s="1">
        <v>6</v>
      </c>
      <c r="G206" s="1">
        <v>5</v>
      </c>
      <c r="H206" s="1">
        <v>4</v>
      </c>
      <c r="I206" s="1">
        <v>3</v>
      </c>
      <c r="J206" s="1">
        <v>2</v>
      </c>
      <c r="K206" s="1">
        <v>1</v>
      </c>
      <c r="L206" s="59">
        <v>2</v>
      </c>
      <c r="M206" s="1">
        <v>3</v>
      </c>
      <c r="N206" s="1">
        <v>4</v>
      </c>
      <c r="O206" s="1">
        <v>5</v>
      </c>
      <c r="P206" s="1">
        <v>6</v>
      </c>
      <c r="Q206" s="1">
        <v>7</v>
      </c>
      <c r="R206" s="1">
        <v>8</v>
      </c>
      <c r="S206" s="12">
        <v>9</v>
      </c>
      <c r="T206" s="12" t="s">
        <v>15</v>
      </c>
    </row>
    <row r="207" spans="2:20" x14ac:dyDescent="0.5">
      <c r="B207" s="17" t="s">
        <v>13</v>
      </c>
      <c r="C207" s="11">
        <v>9</v>
      </c>
      <c r="D207" s="1">
        <v>8</v>
      </c>
      <c r="E207" s="1">
        <v>7</v>
      </c>
      <c r="F207" s="1">
        <v>6</v>
      </c>
      <c r="G207" s="1">
        <v>5</v>
      </c>
      <c r="H207" s="1">
        <v>4</v>
      </c>
      <c r="I207" s="1">
        <v>3</v>
      </c>
      <c r="J207" s="1">
        <v>2</v>
      </c>
      <c r="K207" s="1">
        <v>1</v>
      </c>
      <c r="L207" s="59">
        <v>2</v>
      </c>
      <c r="M207" s="1">
        <v>3</v>
      </c>
      <c r="N207" s="1">
        <v>4</v>
      </c>
      <c r="O207" s="1">
        <v>5</v>
      </c>
      <c r="P207" s="1">
        <v>6</v>
      </c>
      <c r="Q207" s="1">
        <v>7</v>
      </c>
      <c r="R207" s="1">
        <v>8</v>
      </c>
      <c r="S207" s="12">
        <v>9</v>
      </c>
      <c r="T207" s="12" t="s">
        <v>16</v>
      </c>
    </row>
    <row r="208" spans="2:20" x14ac:dyDescent="0.5">
      <c r="B208" s="17" t="s">
        <v>13</v>
      </c>
      <c r="C208" s="11">
        <v>9</v>
      </c>
      <c r="D208" s="1">
        <v>8</v>
      </c>
      <c r="E208" s="1">
        <v>7</v>
      </c>
      <c r="F208" s="1">
        <v>6</v>
      </c>
      <c r="G208" s="1">
        <v>5</v>
      </c>
      <c r="H208" s="1">
        <v>4</v>
      </c>
      <c r="I208" s="1">
        <v>3</v>
      </c>
      <c r="J208" s="1">
        <v>2</v>
      </c>
      <c r="K208" s="1">
        <v>1</v>
      </c>
      <c r="L208" s="1">
        <v>2</v>
      </c>
      <c r="M208" s="59">
        <v>3</v>
      </c>
      <c r="N208" s="1">
        <v>4</v>
      </c>
      <c r="O208" s="1">
        <v>5</v>
      </c>
      <c r="P208" s="1">
        <v>6</v>
      </c>
      <c r="Q208" s="1">
        <v>7</v>
      </c>
      <c r="R208" s="1">
        <v>8</v>
      </c>
      <c r="S208" s="12">
        <v>9</v>
      </c>
      <c r="T208" s="12" t="s">
        <v>17</v>
      </c>
    </row>
    <row r="209" spans="2:20" x14ac:dyDescent="0.5">
      <c r="B209" s="17" t="s">
        <v>13</v>
      </c>
      <c r="C209" s="11">
        <v>9</v>
      </c>
      <c r="D209" s="1">
        <v>8</v>
      </c>
      <c r="E209" s="1">
        <v>7</v>
      </c>
      <c r="F209" s="1">
        <v>6</v>
      </c>
      <c r="G209" s="1">
        <v>5</v>
      </c>
      <c r="H209" s="1">
        <v>4</v>
      </c>
      <c r="I209" s="1">
        <v>3</v>
      </c>
      <c r="J209" s="1">
        <v>2</v>
      </c>
      <c r="K209" s="1">
        <v>1</v>
      </c>
      <c r="L209" s="1">
        <v>2</v>
      </c>
      <c r="M209" s="1">
        <v>3</v>
      </c>
      <c r="N209" s="1">
        <v>4</v>
      </c>
      <c r="O209" s="1">
        <v>5</v>
      </c>
      <c r="P209" s="59">
        <v>6</v>
      </c>
      <c r="Q209" s="1">
        <v>7</v>
      </c>
      <c r="R209" s="1">
        <v>8</v>
      </c>
      <c r="S209" s="12">
        <v>9</v>
      </c>
      <c r="T209" s="15" t="s">
        <v>18</v>
      </c>
    </row>
    <row r="210" spans="2:20" x14ac:dyDescent="0.5">
      <c r="B210" s="4" t="s">
        <v>14</v>
      </c>
      <c r="C210" s="4">
        <v>9</v>
      </c>
      <c r="D210" s="5">
        <v>8</v>
      </c>
      <c r="E210" s="5">
        <v>7</v>
      </c>
      <c r="F210" s="5">
        <v>6</v>
      </c>
      <c r="G210" s="5">
        <v>5</v>
      </c>
      <c r="H210" s="5">
        <v>4</v>
      </c>
      <c r="I210" s="58">
        <v>3</v>
      </c>
      <c r="J210" s="5">
        <v>2</v>
      </c>
      <c r="K210" s="5">
        <v>1</v>
      </c>
      <c r="L210" s="5">
        <v>2</v>
      </c>
      <c r="M210" s="5">
        <v>3</v>
      </c>
      <c r="N210" s="5">
        <v>4</v>
      </c>
      <c r="O210" s="5">
        <v>5</v>
      </c>
      <c r="P210" s="5">
        <v>6</v>
      </c>
      <c r="Q210" s="5">
        <v>7</v>
      </c>
      <c r="R210" s="5">
        <v>8</v>
      </c>
      <c r="S210" s="7">
        <v>9</v>
      </c>
      <c r="T210" s="12" t="s">
        <v>15</v>
      </c>
    </row>
    <row r="211" spans="2:20" x14ac:dyDescent="0.5">
      <c r="B211" s="11" t="s">
        <v>14</v>
      </c>
      <c r="C211" s="11">
        <v>9</v>
      </c>
      <c r="D211" s="1">
        <v>8</v>
      </c>
      <c r="E211" s="1">
        <v>7</v>
      </c>
      <c r="F211" s="1">
        <v>6</v>
      </c>
      <c r="G211" s="1">
        <v>5</v>
      </c>
      <c r="H211" s="1">
        <v>4</v>
      </c>
      <c r="I211" s="59">
        <v>3</v>
      </c>
      <c r="J211" s="1">
        <v>2</v>
      </c>
      <c r="K211" s="1">
        <v>1</v>
      </c>
      <c r="L211" s="1">
        <v>2</v>
      </c>
      <c r="M211" s="1">
        <v>3</v>
      </c>
      <c r="N211" s="1">
        <v>4</v>
      </c>
      <c r="O211" s="1">
        <v>5</v>
      </c>
      <c r="P211" s="1">
        <v>6</v>
      </c>
      <c r="Q211" s="1">
        <v>7</v>
      </c>
      <c r="R211" s="1">
        <v>8</v>
      </c>
      <c r="S211" s="12">
        <v>9</v>
      </c>
      <c r="T211" s="12" t="s">
        <v>16</v>
      </c>
    </row>
    <row r="212" spans="2:20" x14ac:dyDescent="0.5">
      <c r="B212" s="11" t="s">
        <v>14</v>
      </c>
      <c r="C212" s="11">
        <v>9</v>
      </c>
      <c r="D212" s="1">
        <v>8</v>
      </c>
      <c r="E212" s="1">
        <v>7</v>
      </c>
      <c r="F212" s="1">
        <v>6</v>
      </c>
      <c r="G212" s="1">
        <v>5</v>
      </c>
      <c r="H212" s="1">
        <v>4</v>
      </c>
      <c r="I212" s="1">
        <v>3</v>
      </c>
      <c r="J212" s="59">
        <v>2</v>
      </c>
      <c r="K212" s="1">
        <v>1</v>
      </c>
      <c r="L212" s="1">
        <v>2</v>
      </c>
      <c r="M212" s="1">
        <v>3</v>
      </c>
      <c r="N212" s="1">
        <v>4</v>
      </c>
      <c r="O212" s="1">
        <v>5</v>
      </c>
      <c r="P212" s="1">
        <v>6</v>
      </c>
      <c r="Q212" s="1">
        <v>7</v>
      </c>
      <c r="R212" s="1">
        <v>8</v>
      </c>
      <c r="S212" s="12">
        <v>9</v>
      </c>
      <c r="T212" s="12" t="s">
        <v>17</v>
      </c>
    </row>
    <row r="213" spans="2:20" x14ac:dyDescent="0.5">
      <c r="B213" s="13" t="s">
        <v>14</v>
      </c>
      <c r="C213" s="13">
        <v>9</v>
      </c>
      <c r="D213" s="14">
        <v>8</v>
      </c>
      <c r="E213" s="14">
        <v>7</v>
      </c>
      <c r="F213" s="14">
        <v>6</v>
      </c>
      <c r="G213" s="14">
        <v>5</v>
      </c>
      <c r="H213" s="14">
        <v>4</v>
      </c>
      <c r="I213" s="14">
        <v>3</v>
      </c>
      <c r="J213" s="14">
        <v>2</v>
      </c>
      <c r="K213" s="14">
        <v>1</v>
      </c>
      <c r="L213" s="14">
        <v>2</v>
      </c>
      <c r="M213" s="60">
        <v>3</v>
      </c>
      <c r="N213" s="14">
        <v>4</v>
      </c>
      <c r="O213" s="14">
        <v>5</v>
      </c>
      <c r="P213" s="14">
        <v>6</v>
      </c>
      <c r="Q213" s="14">
        <v>7</v>
      </c>
      <c r="R213" s="14">
        <v>8</v>
      </c>
      <c r="S213" s="15">
        <v>9</v>
      </c>
      <c r="T213" s="15" t="s">
        <v>18</v>
      </c>
    </row>
    <row r="214" spans="2:20" x14ac:dyDescent="0.5">
      <c r="B214" s="16" t="s">
        <v>15</v>
      </c>
      <c r="C214" s="11">
        <v>9</v>
      </c>
      <c r="D214" s="1">
        <v>8</v>
      </c>
      <c r="E214" s="1">
        <v>7</v>
      </c>
      <c r="F214" s="1">
        <v>6</v>
      </c>
      <c r="G214" s="1">
        <v>5</v>
      </c>
      <c r="H214" s="1">
        <v>4</v>
      </c>
      <c r="I214" s="1">
        <v>3</v>
      </c>
      <c r="J214" s="1">
        <v>2</v>
      </c>
      <c r="K214" s="1">
        <v>1</v>
      </c>
      <c r="L214" s="1">
        <v>2</v>
      </c>
      <c r="M214" s="1">
        <v>3</v>
      </c>
      <c r="N214" s="1">
        <v>4</v>
      </c>
      <c r="O214" s="1">
        <v>5</v>
      </c>
      <c r="P214" s="59">
        <v>6</v>
      </c>
      <c r="Q214" s="1">
        <v>7</v>
      </c>
      <c r="R214" s="1">
        <v>8</v>
      </c>
      <c r="S214" s="12">
        <v>9</v>
      </c>
      <c r="T214" s="12" t="s">
        <v>16</v>
      </c>
    </row>
    <row r="215" spans="2:20" x14ac:dyDescent="0.5">
      <c r="B215" s="17" t="s">
        <v>15</v>
      </c>
      <c r="C215" s="11">
        <v>9</v>
      </c>
      <c r="D215" s="1">
        <v>8</v>
      </c>
      <c r="E215" s="1">
        <v>7</v>
      </c>
      <c r="F215" s="1">
        <v>6</v>
      </c>
      <c r="G215" s="1">
        <v>5</v>
      </c>
      <c r="H215" s="1">
        <v>4</v>
      </c>
      <c r="I215" s="1">
        <v>3</v>
      </c>
      <c r="J215" s="1">
        <v>2</v>
      </c>
      <c r="K215" s="1">
        <v>1</v>
      </c>
      <c r="L215" s="1">
        <v>2</v>
      </c>
      <c r="M215" s="1">
        <v>3</v>
      </c>
      <c r="N215" s="1">
        <v>4</v>
      </c>
      <c r="O215" s="59">
        <v>5</v>
      </c>
      <c r="P215" s="1">
        <v>6</v>
      </c>
      <c r="Q215" s="1">
        <v>7</v>
      </c>
      <c r="R215" s="1">
        <v>8</v>
      </c>
      <c r="S215" s="12">
        <v>9</v>
      </c>
      <c r="T215" s="12" t="s">
        <v>17</v>
      </c>
    </row>
    <row r="216" spans="2:20" x14ac:dyDescent="0.5">
      <c r="B216" s="19" t="s">
        <v>15</v>
      </c>
      <c r="C216" s="13">
        <v>9</v>
      </c>
      <c r="D216" s="14">
        <v>8</v>
      </c>
      <c r="E216" s="14">
        <v>7</v>
      </c>
      <c r="F216" s="14">
        <v>6</v>
      </c>
      <c r="G216" s="14">
        <v>5</v>
      </c>
      <c r="H216" s="14">
        <v>4</v>
      </c>
      <c r="I216" s="14">
        <v>3</v>
      </c>
      <c r="J216" s="60">
        <v>2</v>
      </c>
      <c r="K216" s="14">
        <v>1</v>
      </c>
      <c r="L216" s="14">
        <v>2</v>
      </c>
      <c r="M216" s="14">
        <v>3</v>
      </c>
      <c r="N216" s="14">
        <v>4</v>
      </c>
      <c r="O216" s="14">
        <v>5</v>
      </c>
      <c r="P216" s="14">
        <v>6</v>
      </c>
      <c r="Q216" s="14">
        <v>7</v>
      </c>
      <c r="R216" s="14">
        <v>8</v>
      </c>
      <c r="S216" s="15">
        <v>9</v>
      </c>
      <c r="T216" s="15" t="s">
        <v>18</v>
      </c>
    </row>
    <row r="217" spans="2:20" x14ac:dyDescent="0.5">
      <c r="B217" s="16" t="s">
        <v>16</v>
      </c>
      <c r="C217" s="11">
        <v>9</v>
      </c>
      <c r="D217" s="1">
        <v>8</v>
      </c>
      <c r="E217" s="1">
        <v>7</v>
      </c>
      <c r="F217" s="1">
        <v>6</v>
      </c>
      <c r="G217" s="1">
        <v>5</v>
      </c>
      <c r="H217" s="1">
        <v>4</v>
      </c>
      <c r="I217" s="1">
        <v>3</v>
      </c>
      <c r="J217" s="1">
        <v>2</v>
      </c>
      <c r="K217" s="1">
        <v>1</v>
      </c>
      <c r="L217" s="1">
        <v>2</v>
      </c>
      <c r="M217" s="1">
        <v>3</v>
      </c>
      <c r="N217" s="1">
        <v>4</v>
      </c>
      <c r="O217" s="1">
        <v>5</v>
      </c>
      <c r="P217" s="59">
        <v>6</v>
      </c>
      <c r="Q217" s="1">
        <v>7</v>
      </c>
      <c r="R217" s="1">
        <v>8</v>
      </c>
      <c r="S217" s="12">
        <v>9</v>
      </c>
      <c r="T217" s="7" t="s">
        <v>17</v>
      </c>
    </row>
    <row r="218" spans="2:20" x14ac:dyDescent="0.5">
      <c r="B218" s="19" t="s">
        <v>16</v>
      </c>
      <c r="C218" s="13">
        <v>9</v>
      </c>
      <c r="D218" s="14">
        <v>8</v>
      </c>
      <c r="E218" s="14">
        <v>7</v>
      </c>
      <c r="F218" s="14">
        <v>6</v>
      </c>
      <c r="G218" s="14">
        <v>5</v>
      </c>
      <c r="H218" s="14">
        <v>4</v>
      </c>
      <c r="I218" s="14">
        <v>3</v>
      </c>
      <c r="J218" s="14">
        <v>2</v>
      </c>
      <c r="K218" s="14">
        <v>1</v>
      </c>
      <c r="L218" s="14">
        <v>2</v>
      </c>
      <c r="M218" s="14">
        <v>3</v>
      </c>
      <c r="N218" s="14">
        <v>4</v>
      </c>
      <c r="O218" s="14">
        <v>5</v>
      </c>
      <c r="P218" s="14">
        <v>6</v>
      </c>
      <c r="Q218" s="60">
        <v>7</v>
      </c>
      <c r="R218" s="14">
        <v>8</v>
      </c>
      <c r="S218" s="15">
        <v>9</v>
      </c>
      <c r="T218" s="15" t="s">
        <v>18</v>
      </c>
    </row>
    <row r="219" spans="2:20" x14ac:dyDescent="0.5">
      <c r="B219" s="3" t="s">
        <v>17</v>
      </c>
      <c r="C219" s="13">
        <v>9</v>
      </c>
      <c r="D219" s="14">
        <v>8</v>
      </c>
      <c r="E219" s="14">
        <v>7</v>
      </c>
      <c r="F219" s="14">
        <v>6</v>
      </c>
      <c r="G219" s="14">
        <v>5</v>
      </c>
      <c r="H219" s="14">
        <v>4</v>
      </c>
      <c r="I219" s="14">
        <v>3</v>
      </c>
      <c r="J219" s="60">
        <v>2</v>
      </c>
      <c r="K219" s="14">
        <v>1</v>
      </c>
      <c r="L219" s="14">
        <v>2</v>
      </c>
      <c r="M219" s="14">
        <v>3</v>
      </c>
      <c r="N219" s="14">
        <v>4</v>
      </c>
      <c r="O219" s="14">
        <v>5</v>
      </c>
      <c r="P219" s="14">
        <v>6</v>
      </c>
      <c r="Q219" s="14">
        <v>7</v>
      </c>
      <c r="R219" s="14">
        <v>8</v>
      </c>
      <c r="S219" s="15">
        <v>9</v>
      </c>
      <c r="T219" s="15" t="s">
        <v>18</v>
      </c>
    </row>
    <row r="221" spans="2:20" x14ac:dyDescent="0.5">
      <c r="B221" s="90" t="s">
        <v>21</v>
      </c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2"/>
    </row>
    <row r="222" spans="2:20" x14ac:dyDescent="0.5">
      <c r="B222" s="85" t="s">
        <v>66</v>
      </c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93"/>
    </row>
    <row r="223" spans="2:20" x14ac:dyDescent="0.5">
      <c r="B223" s="94" t="s">
        <v>1</v>
      </c>
      <c r="C223" s="90" t="s">
        <v>2</v>
      </c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6"/>
      <c r="T223" s="94" t="s">
        <v>3</v>
      </c>
    </row>
    <row r="224" spans="2:20" x14ac:dyDescent="0.5">
      <c r="B224" s="95"/>
      <c r="C224" s="24">
        <v>9</v>
      </c>
      <c r="D224" s="24">
        <v>8</v>
      </c>
      <c r="E224" s="24">
        <v>7</v>
      </c>
      <c r="F224" s="24">
        <v>6</v>
      </c>
      <c r="G224" s="24">
        <v>5</v>
      </c>
      <c r="H224" s="24">
        <v>4</v>
      </c>
      <c r="I224" s="24">
        <v>3</v>
      </c>
      <c r="J224" s="24">
        <v>2</v>
      </c>
      <c r="K224" s="24">
        <v>1</v>
      </c>
      <c r="L224" s="24">
        <v>2</v>
      </c>
      <c r="M224" s="24">
        <v>3</v>
      </c>
      <c r="N224" s="24">
        <v>4</v>
      </c>
      <c r="O224" s="24">
        <v>5</v>
      </c>
      <c r="P224" s="24">
        <v>6</v>
      </c>
      <c r="Q224" s="24">
        <v>7</v>
      </c>
      <c r="R224" s="24">
        <v>8</v>
      </c>
      <c r="S224" s="24">
        <v>9</v>
      </c>
      <c r="T224" s="95"/>
    </row>
    <row r="225" spans="2:37" x14ac:dyDescent="0.5">
      <c r="B225" s="16" t="s">
        <v>4</v>
      </c>
      <c r="C225" s="4">
        <v>9</v>
      </c>
      <c r="D225" s="5">
        <v>8</v>
      </c>
      <c r="E225" s="6">
        <v>7</v>
      </c>
      <c r="F225" s="5">
        <v>6</v>
      </c>
      <c r="G225" s="5">
        <v>5</v>
      </c>
      <c r="H225" s="5">
        <v>4</v>
      </c>
      <c r="I225" s="5">
        <v>3</v>
      </c>
      <c r="J225" s="5">
        <v>2</v>
      </c>
      <c r="K225" s="5">
        <v>1</v>
      </c>
      <c r="L225" s="5">
        <v>2</v>
      </c>
      <c r="M225" s="5">
        <v>3</v>
      </c>
      <c r="N225" s="5">
        <v>4</v>
      </c>
      <c r="O225" s="5">
        <v>5</v>
      </c>
      <c r="P225" s="5">
        <v>6</v>
      </c>
      <c r="Q225" s="5">
        <v>7</v>
      </c>
      <c r="R225" s="5">
        <v>8</v>
      </c>
      <c r="S225" s="7">
        <v>9</v>
      </c>
      <c r="T225" s="7" t="s">
        <v>5</v>
      </c>
      <c r="V225" s="63" t="s">
        <v>21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5">
      <c r="B226" s="17" t="s">
        <v>4</v>
      </c>
      <c r="C226" s="11">
        <v>9</v>
      </c>
      <c r="D226" s="1">
        <v>8</v>
      </c>
      <c r="E226" s="1">
        <v>7</v>
      </c>
      <c r="F226" s="1">
        <v>6</v>
      </c>
      <c r="G226" s="33">
        <v>5</v>
      </c>
      <c r="H226" s="1">
        <v>4</v>
      </c>
      <c r="I226" s="1">
        <v>3</v>
      </c>
      <c r="J226" s="1">
        <v>2</v>
      </c>
      <c r="K226" s="1">
        <v>1</v>
      </c>
      <c r="L226" s="1">
        <v>2</v>
      </c>
      <c r="M226" s="1">
        <v>3</v>
      </c>
      <c r="N226" s="1">
        <v>4</v>
      </c>
      <c r="O226" s="1">
        <v>5</v>
      </c>
      <c r="P226" s="1">
        <v>6</v>
      </c>
      <c r="Q226" s="1">
        <v>7</v>
      </c>
      <c r="R226" s="1">
        <v>8</v>
      </c>
      <c r="S226" s="12">
        <v>9</v>
      </c>
      <c r="T226" s="12" t="s">
        <v>6</v>
      </c>
      <c r="V226" s="2" t="s">
        <v>4</v>
      </c>
      <c r="W226" s="3">
        <v>1</v>
      </c>
      <c r="X226" s="3">
        <v>7</v>
      </c>
      <c r="Y226" s="3">
        <v>5</v>
      </c>
      <c r="Z226" s="3">
        <f>1/5</f>
        <v>0.2</v>
      </c>
      <c r="AA226" s="3">
        <f>1/6</f>
        <v>0.16666666666666666</v>
      </c>
      <c r="AB226" s="3">
        <f>1/4</f>
        <v>0.25</v>
      </c>
      <c r="AC226" s="3">
        <v>4</v>
      </c>
      <c r="AD226" s="3">
        <f>1/5</f>
        <v>0.2</v>
      </c>
      <c r="AE226" s="3">
        <f>1/5</f>
        <v>0.2</v>
      </c>
      <c r="AF226" s="3">
        <v>3</v>
      </c>
      <c r="AG226" s="3">
        <f>1/4</f>
        <v>0.25</v>
      </c>
      <c r="AH226" s="3">
        <v>3</v>
      </c>
      <c r="AI226" s="3">
        <v>3</v>
      </c>
      <c r="AJ226" s="3">
        <v>4</v>
      </c>
      <c r="AK226" s="3">
        <v>3</v>
      </c>
    </row>
    <row r="227" spans="2:37" x14ac:dyDescent="0.5">
      <c r="B227" s="17" t="s">
        <v>4</v>
      </c>
      <c r="C227" s="11">
        <v>9</v>
      </c>
      <c r="D227" s="1">
        <v>8</v>
      </c>
      <c r="E227" s="1">
        <v>7</v>
      </c>
      <c r="F227" s="1">
        <v>6</v>
      </c>
      <c r="G227" s="1">
        <v>5</v>
      </c>
      <c r="H227" s="1">
        <v>4</v>
      </c>
      <c r="I227" s="18">
        <v>3</v>
      </c>
      <c r="J227" s="1">
        <v>2</v>
      </c>
      <c r="K227" s="1">
        <v>1</v>
      </c>
      <c r="L227" s="1">
        <v>2</v>
      </c>
      <c r="M227" s="1">
        <v>3</v>
      </c>
      <c r="N227" s="1">
        <v>4</v>
      </c>
      <c r="O227" s="33">
        <v>5</v>
      </c>
      <c r="P227" s="1">
        <v>6</v>
      </c>
      <c r="Q227" s="1">
        <v>7</v>
      </c>
      <c r="R227" s="1">
        <v>8</v>
      </c>
      <c r="S227" s="12">
        <v>9</v>
      </c>
      <c r="T227" s="12" t="s">
        <v>7</v>
      </c>
      <c r="V227" s="2" t="s">
        <v>5</v>
      </c>
      <c r="W227" s="3">
        <f>1/X226</f>
        <v>0.14285714285714285</v>
      </c>
      <c r="X227" s="3">
        <v>1</v>
      </c>
      <c r="Y227" s="3">
        <f>1/7</f>
        <v>0.14285714285714285</v>
      </c>
      <c r="Z227" s="3">
        <v>8</v>
      </c>
      <c r="AA227" s="3">
        <v>8</v>
      </c>
      <c r="AB227" s="3">
        <v>8</v>
      </c>
      <c r="AC227" s="3">
        <f>1/5</f>
        <v>0.2</v>
      </c>
      <c r="AD227" s="3">
        <f>1/7</f>
        <v>0.14285714285714285</v>
      </c>
      <c r="AE227" s="3">
        <f>1/7</f>
        <v>0.14285714285714285</v>
      </c>
      <c r="AF227" s="3">
        <f>1/3</f>
        <v>0.33333333333333331</v>
      </c>
      <c r="AG227" s="3">
        <f>1/5</f>
        <v>0.2</v>
      </c>
      <c r="AH227" s="3">
        <f>1/4</f>
        <v>0.25</v>
      </c>
      <c r="AI227" s="3">
        <f>1/5</f>
        <v>0.2</v>
      </c>
      <c r="AJ227" s="3">
        <f>1/5</f>
        <v>0.2</v>
      </c>
      <c r="AK227" s="3">
        <f>1/4</f>
        <v>0.25</v>
      </c>
    </row>
    <row r="228" spans="2:37" x14ac:dyDescent="0.5">
      <c r="B228" s="17" t="s">
        <v>4</v>
      </c>
      <c r="C228" s="11">
        <v>9</v>
      </c>
      <c r="D228" s="1">
        <v>8</v>
      </c>
      <c r="E228" s="1">
        <v>7</v>
      </c>
      <c r="F228" s="1">
        <v>6</v>
      </c>
      <c r="G228" s="1">
        <v>5</v>
      </c>
      <c r="H228" s="1">
        <v>4</v>
      </c>
      <c r="I228" s="1">
        <v>3</v>
      </c>
      <c r="J228" s="1">
        <v>2</v>
      </c>
      <c r="K228" s="1">
        <v>1</v>
      </c>
      <c r="L228" s="1">
        <v>2</v>
      </c>
      <c r="M228" s="1">
        <v>3</v>
      </c>
      <c r="N228" s="1">
        <v>4</v>
      </c>
      <c r="O228" s="1">
        <v>5</v>
      </c>
      <c r="P228" s="33">
        <v>6</v>
      </c>
      <c r="Q228" s="1">
        <v>7</v>
      </c>
      <c r="R228" s="1">
        <v>8</v>
      </c>
      <c r="S228" s="12">
        <v>9</v>
      </c>
      <c r="T228" s="12" t="s">
        <v>8</v>
      </c>
      <c r="V228" s="2" t="s">
        <v>6</v>
      </c>
      <c r="W228" s="3">
        <f>1/Y226</f>
        <v>0.2</v>
      </c>
      <c r="X228" s="3">
        <f>1/Y227</f>
        <v>7</v>
      </c>
      <c r="Y228" s="3">
        <v>1</v>
      </c>
      <c r="Z228" s="3">
        <f>1/3</f>
        <v>0.33333333333333331</v>
      </c>
      <c r="AA228" s="3">
        <f>1/4</f>
        <v>0.25</v>
      </c>
      <c r="AB228" s="3">
        <f>1/4</f>
        <v>0.25</v>
      </c>
      <c r="AC228" s="3">
        <f>1/2</f>
        <v>0.5</v>
      </c>
      <c r="AD228" s="3">
        <f>1/3</f>
        <v>0.33333333333333331</v>
      </c>
      <c r="AE228" s="3">
        <f>1/3</f>
        <v>0.33333333333333331</v>
      </c>
      <c r="AF228" s="3">
        <f>1/2</f>
        <v>0.5</v>
      </c>
      <c r="AG228" s="3">
        <f>1/5</f>
        <v>0.2</v>
      </c>
      <c r="AH228" s="3">
        <f>1/4</f>
        <v>0.25</v>
      </c>
      <c r="AI228" s="3">
        <f>1/5</f>
        <v>0.2</v>
      </c>
      <c r="AJ228" s="3">
        <f>1/5</f>
        <v>0.2</v>
      </c>
      <c r="AK228" s="3">
        <f>1/4</f>
        <v>0.25</v>
      </c>
    </row>
    <row r="229" spans="2:37" x14ac:dyDescent="0.5">
      <c r="B229" s="17" t="s">
        <v>4</v>
      </c>
      <c r="C229" s="11">
        <v>9</v>
      </c>
      <c r="D229" s="1">
        <v>8</v>
      </c>
      <c r="E229" s="1">
        <v>7</v>
      </c>
      <c r="F229" s="1">
        <v>6</v>
      </c>
      <c r="G229" s="1">
        <v>5</v>
      </c>
      <c r="H229" s="1">
        <v>4</v>
      </c>
      <c r="I229" s="1">
        <v>3</v>
      </c>
      <c r="J229" s="1">
        <v>2</v>
      </c>
      <c r="K229" s="1">
        <v>1</v>
      </c>
      <c r="L229" s="1">
        <v>2</v>
      </c>
      <c r="M229" s="1">
        <v>3</v>
      </c>
      <c r="N229" s="33">
        <v>4</v>
      </c>
      <c r="O229" s="1">
        <v>5</v>
      </c>
      <c r="P229" s="1">
        <v>6</v>
      </c>
      <c r="Q229" s="1">
        <v>7</v>
      </c>
      <c r="R229" s="1">
        <v>8</v>
      </c>
      <c r="S229" s="12">
        <v>9</v>
      </c>
      <c r="T229" s="12" t="s">
        <v>9</v>
      </c>
      <c r="V229" s="2" t="s">
        <v>7</v>
      </c>
      <c r="W229" s="3">
        <f>1/Z226</f>
        <v>5</v>
      </c>
      <c r="X229" s="3">
        <f>1/Z227</f>
        <v>0.125</v>
      </c>
      <c r="Y229" s="3">
        <f>1/Z228</f>
        <v>3</v>
      </c>
      <c r="Z229" s="3">
        <v>1</v>
      </c>
      <c r="AA229" s="3">
        <f>1/2</f>
        <v>0.5</v>
      </c>
      <c r="AB229" s="3">
        <f>1/2</f>
        <v>0.5</v>
      </c>
      <c r="AC229" s="3">
        <v>4</v>
      </c>
      <c r="AD229" s="3">
        <v>3</v>
      </c>
      <c r="AE229" s="3">
        <v>3</v>
      </c>
      <c r="AF229" s="3">
        <v>5</v>
      </c>
      <c r="AG229" s="3">
        <v>2</v>
      </c>
      <c r="AH229" s="3">
        <f>1/3</f>
        <v>0.33333333333333331</v>
      </c>
      <c r="AI229" s="3">
        <f>1/4</f>
        <v>0.25</v>
      </c>
      <c r="AJ229" s="3">
        <f>1/4</f>
        <v>0.25</v>
      </c>
      <c r="AK229" s="3">
        <f>1/3</f>
        <v>0.33333333333333331</v>
      </c>
    </row>
    <row r="230" spans="2:37" x14ac:dyDescent="0.5">
      <c r="B230" s="17" t="s">
        <v>4</v>
      </c>
      <c r="C230" s="11">
        <v>9</v>
      </c>
      <c r="D230" s="1">
        <v>8</v>
      </c>
      <c r="E230" s="1">
        <v>7</v>
      </c>
      <c r="F230" s="1">
        <v>6</v>
      </c>
      <c r="G230" s="1">
        <v>5</v>
      </c>
      <c r="H230" s="33">
        <v>4</v>
      </c>
      <c r="I230" s="1">
        <v>3</v>
      </c>
      <c r="J230" s="1">
        <v>2</v>
      </c>
      <c r="K230" s="1">
        <v>1</v>
      </c>
      <c r="L230" s="1">
        <v>2</v>
      </c>
      <c r="M230" s="1">
        <v>3</v>
      </c>
      <c r="N230" s="1">
        <v>4</v>
      </c>
      <c r="O230" s="1">
        <v>5</v>
      </c>
      <c r="P230" s="1">
        <v>6</v>
      </c>
      <c r="Q230" s="1">
        <v>7</v>
      </c>
      <c r="R230" s="1">
        <v>8</v>
      </c>
      <c r="S230" s="12">
        <v>9</v>
      </c>
      <c r="T230" s="12" t="s">
        <v>10</v>
      </c>
      <c r="V230" s="2" t="s">
        <v>8</v>
      </c>
      <c r="W230" s="3">
        <f>1/AA226</f>
        <v>6</v>
      </c>
      <c r="X230" s="3">
        <f>1/AA227</f>
        <v>0.125</v>
      </c>
      <c r="Y230" s="3">
        <f>1/AA228</f>
        <v>4</v>
      </c>
      <c r="Z230" s="3">
        <f>1/AA229</f>
        <v>2</v>
      </c>
      <c r="AA230" s="3">
        <v>1</v>
      </c>
      <c r="AB230" s="3">
        <v>1</v>
      </c>
      <c r="AC230" s="3">
        <v>7</v>
      </c>
      <c r="AD230" s="3">
        <v>3</v>
      </c>
      <c r="AE230" s="3">
        <v>2</v>
      </c>
      <c r="AF230" s="3">
        <v>6</v>
      </c>
      <c r="AG230" s="3">
        <v>4</v>
      </c>
      <c r="AH230" s="3">
        <v>3</v>
      </c>
      <c r="AI230" s="3">
        <f>1/3</f>
        <v>0.33333333333333331</v>
      </c>
      <c r="AJ230" s="3">
        <f>1/3</f>
        <v>0.33333333333333331</v>
      </c>
      <c r="AK230" s="3">
        <v>3</v>
      </c>
    </row>
    <row r="231" spans="2:37" x14ac:dyDescent="0.5">
      <c r="B231" s="17" t="s">
        <v>4</v>
      </c>
      <c r="C231" s="11">
        <v>9</v>
      </c>
      <c r="D231" s="1">
        <v>8</v>
      </c>
      <c r="E231" s="1">
        <v>7</v>
      </c>
      <c r="F231" s="1">
        <v>6</v>
      </c>
      <c r="G231" s="1">
        <v>5</v>
      </c>
      <c r="H231" s="1">
        <v>4</v>
      </c>
      <c r="I231" s="1">
        <v>3</v>
      </c>
      <c r="J231" s="1">
        <v>2</v>
      </c>
      <c r="K231" s="1">
        <v>1</v>
      </c>
      <c r="L231" s="1">
        <v>2</v>
      </c>
      <c r="M231" s="1">
        <v>3</v>
      </c>
      <c r="N231" s="1">
        <v>4</v>
      </c>
      <c r="O231" s="33">
        <v>5</v>
      </c>
      <c r="P231" s="1">
        <v>6</v>
      </c>
      <c r="Q231" s="1">
        <v>7</v>
      </c>
      <c r="R231" s="1">
        <v>8</v>
      </c>
      <c r="S231" s="12">
        <v>9</v>
      </c>
      <c r="T231" s="12" t="s">
        <v>11</v>
      </c>
      <c r="V231" s="2" t="s">
        <v>9</v>
      </c>
      <c r="W231" s="3">
        <f>1/AB226</f>
        <v>4</v>
      </c>
      <c r="X231" s="3">
        <f>1/AB227</f>
        <v>0.125</v>
      </c>
      <c r="Y231" s="3">
        <f>1/AB228</f>
        <v>4</v>
      </c>
      <c r="Z231" s="3">
        <f>1/AB229</f>
        <v>2</v>
      </c>
      <c r="AA231" s="3">
        <f>1/AB230</f>
        <v>1</v>
      </c>
      <c r="AB231" s="3">
        <v>1</v>
      </c>
      <c r="AC231" s="3">
        <v>7</v>
      </c>
      <c r="AD231" s="3">
        <v>3</v>
      </c>
      <c r="AE231" s="3">
        <v>2</v>
      </c>
      <c r="AF231" s="3">
        <v>6</v>
      </c>
      <c r="AG231" s="3">
        <v>4</v>
      </c>
      <c r="AH231" s="3">
        <v>3</v>
      </c>
      <c r="AI231" s="3">
        <f>1/3</f>
        <v>0.33333333333333331</v>
      </c>
      <c r="AJ231" s="3">
        <f>1/3</f>
        <v>0.33333333333333331</v>
      </c>
      <c r="AK231" s="3">
        <v>3</v>
      </c>
    </row>
    <row r="232" spans="2:37" x14ac:dyDescent="0.5">
      <c r="B232" s="17" t="s">
        <v>4</v>
      </c>
      <c r="C232" s="11">
        <v>9</v>
      </c>
      <c r="D232" s="1">
        <v>8</v>
      </c>
      <c r="E232" s="1">
        <v>7</v>
      </c>
      <c r="F232" s="1">
        <v>6</v>
      </c>
      <c r="G232" s="1">
        <v>5</v>
      </c>
      <c r="H232" s="1">
        <v>4</v>
      </c>
      <c r="I232" s="1">
        <v>3</v>
      </c>
      <c r="J232" s="1">
        <v>2</v>
      </c>
      <c r="K232" s="1">
        <v>1</v>
      </c>
      <c r="L232" s="1">
        <v>2</v>
      </c>
      <c r="M232" s="1">
        <v>3</v>
      </c>
      <c r="N232" s="1">
        <v>4</v>
      </c>
      <c r="O232" s="33">
        <v>5</v>
      </c>
      <c r="P232" s="1">
        <v>6</v>
      </c>
      <c r="Q232" s="1">
        <v>7</v>
      </c>
      <c r="R232" s="1">
        <v>8</v>
      </c>
      <c r="S232" s="12">
        <v>9</v>
      </c>
      <c r="T232" s="12" t="s">
        <v>12</v>
      </c>
      <c r="V232" s="2" t="s">
        <v>10</v>
      </c>
      <c r="W232" s="3">
        <f>1/AC226</f>
        <v>0.25</v>
      </c>
      <c r="X232" s="3">
        <f>1/AC227</f>
        <v>5</v>
      </c>
      <c r="Y232" s="3">
        <f>1/AC228</f>
        <v>2</v>
      </c>
      <c r="Z232" s="3">
        <f>1/AC229</f>
        <v>0.25</v>
      </c>
      <c r="AA232" s="3">
        <f>1/AC230</f>
        <v>0.14285714285714285</v>
      </c>
      <c r="AB232" s="3">
        <f>1/AC231</f>
        <v>0.14285714285714285</v>
      </c>
      <c r="AC232" s="3">
        <v>1</v>
      </c>
      <c r="AD232" s="3">
        <f>1/4</f>
        <v>0.25</v>
      </c>
      <c r="AE232" s="3">
        <f>1/5</f>
        <v>0.2</v>
      </c>
      <c r="AF232" s="3">
        <f>1/3</f>
        <v>0.33333333333333331</v>
      </c>
      <c r="AG232" s="3">
        <f>1/5</f>
        <v>0.2</v>
      </c>
      <c r="AH232" s="3">
        <f>1/3</f>
        <v>0.33333333333333331</v>
      </c>
      <c r="AI232" s="3">
        <f>1/5</f>
        <v>0.2</v>
      </c>
      <c r="AJ232" s="3">
        <f>1/5</f>
        <v>0.2</v>
      </c>
      <c r="AK232" s="3">
        <f>1/3</f>
        <v>0.33333333333333331</v>
      </c>
    </row>
    <row r="233" spans="2:37" x14ac:dyDescent="0.5">
      <c r="B233" s="17" t="s">
        <v>4</v>
      </c>
      <c r="C233" s="11">
        <v>9</v>
      </c>
      <c r="D233" s="1">
        <v>8</v>
      </c>
      <c r="E233" s="1">
        <v>7</v>
      </c>
      <c r="F233" s="1">
        <v>6</v>
      </c>
      <c r="G233" s="1">
        <v>5</v>
      </c>
      <c r="H233" s="1">
        <v>4</v>
      </c>
      <c r="I233" s="33">
        <v>3</v>
      </c>
      <c r="J233" s="1">
        <v>2</v>
      </c>
      <c r="K233" s="1">
        <v>1</v>
      </c>
      <c r="L233" s="1">
        <v>2</v>
      </c>
      <c r="M233" s="1">
        <v>3</v>
      </c>
      <c r="N233" s="1">
        <v>4</v>
      </c>
      <c r="O233" s="1">
        <v>5</v>
      </c>
      <c r="P233" s="1">
        <v>6</v>
      </c>
      <c r="Q233" s="1">
        <v>7</v>
      </c>
      <c r="R233" s="1">
        <v>8</v>
      </c>
      <c r="S233" s="12">
        <v>9</v>
      </c>
      <c r="T233" s="12" t="s">
        <v>13</v>
      </c>
      <c r="V233" s="2" t="s">
        <v>11</v>
      </c>
      <c r="W233" s="3">
        <f>1/AD226</f>
        <v>5</v>
      </c>
      <c r="X233" s="3">
        <f>1/AD227</f>
        <v>7</v>
      </c>
      <c r="Y233" s="3">
        <f>1/AD228</f>
        <v>3</v>
      </c>
      <c r="Z233" s="3">
        <f>1/AD229</f>
        <v>0.33333333333333331</v>
      </c>
      <c r="AA233" s="3">
        <f>1/AD230</f>
        <v>0.33333333333333331</v>
      </c>
      <c r="AB233" s="3">
        <f>1/AD231</f>
        <v>0.33333333333333331</v>
      </c>
      <c r="AC233" s="3">
        <f>1/AD232</f>
        <v>4</v>
      </c>
      <c r="AD233" s="3">
        <v>1</v>
      </c>
      <c r="AE233" s="3">
        <f>1/2</f>
        <v>0.5</v>
      </c>
      <c r="AF233" s="3">
        <v>3</v>
      </c>
      <c r="AG233" s="3">
        <f>1/3</f>
        <v>0.33333333333333331</v>
      </c>
      <c r="AH233" s="3">
        <f>1/3</f>
        <v>0.33333333333333331</v>
      </c>
      <c r="AI233" s="3">
        <f>1/2</f>
        <v>0.5</v>
      </c>
      <c r="AJ233" s="3">
        <f>1/3</f>
        <v>0.33333333333333331</v>
      </c>
      <c r="AK233" s="3">
        <f>1/4</f>
        <v>0.25</v>
      </c>
    </row>
    <row r="234" spans="2:37" x14ac:dyDescent="0.5">
      <c r="B234" s="17" t="s">
        <v>4</v>
      </c>
      <c r="C234" s="11">
        <v>9</v>
      </c>
      <c r="D234" s="1">
        <v>8</v>
      </c>
      <c r="E234" s="1">
        <v>7</v>
      </c>
      <c r="F234" s="1">
        <v>6</v>
      </c>
      <c r="G234" s="1">
        <v>5</v>
      </c>
      <c r="H234" s="1">
        <v>4</v>
      </c>
      <c r="I234" s="1">
        <v>3</v>
      </c>
      <c r="J234" s="1">
        <v>2</v>
      </c>
      <c r="K234" s="1">
        <v>1</v>
      </c>
      <c r="L234" s="1">
        <v>2</v>
      </c>
      <c r="M234" s="1">
        <v>3</v>
      </c>
      <c r="N234" s="33">
        <v>4</v>
      </c>
      <c r="O234" s="1">
        <v>5</v>
      </c>
      <c r="P234" s="1">
        <v>6</v>
      </c>
      <c r="Q234" s="1">
        <v>7</v>
      </c>
      <c r="R234" s="1">
        <v>8</v>
      </c>
      <c r="S234" s="12">
        <v>9</v>
      </c>
      <c r="T234" s="12" t="s">
        <v>14</v>
      </c>
      <c r="V234" s="2" t="s">
        <v>12</v>
      </c>
      <c r="W234" s="3">
        <f>1/AE226</f>
        <v>5</v>
      </c>
      <c r="X234" s="3">
        <f>1/AE227</f>
        <v>7</v>
      </c>
      <c r="Y234" s="3">
        <f>1/AE228</f>
        <v>3</v>
      </c>
      <c r="Z234" s="3">
        <f>1/AE229</f>
        <v>0.33333333333333331</v>
      </c>
      <c r="AA234" s="3">
        <f>1/AE230</f>
        <v>0.5</v>
      </c>
      <c r="AB234" s="3">
        <f>1/AE231</f>
        <v>0.5</v>
      </c>
      <c r="AC234" s="3">
        <f>1/AE232</f>
        <v>5</v>
      </c>
      <c r="AD234" s="3">
        <f>1/AE233</f>
        <v>2</v>
      </c>
      <c r="AE234" s="3">
        <v>1</v>
      </c>
      <c r="AF234" s="3">
        <v>4</v>
      </c>
      <c r="AG234" s="3">
        <v>3</v>
      </c>
      <c r="AH234" s="3">
        <v>3</v>
      </c>
      <c r="AI234" s="3">
        <f>1/2</f>
        <v>0.5</v>
      </c>
      <c r="AJ234" s="3">
        <f>1/3</f>
        <v>0.33333333333333331</v>
      </c>
      <c r="AK234" s="3">
        <v>3</v>
      </c>
    </row>
    <row r="235" spans="2:37" x14ac:dyDescent="0.5">
      <c r="B235" s="17" t="s">
        <v>4</v>
      </c>
      <c r="C235" s="11">
        <v>9</v>
      </c>
      <c r="D235" s="1">
        <v>8</v>
      </c>
      <c r="E235" s="1">
        <v>7</v>
      </c>
      <c r="F235" s="1">
        <v>6</v>
      </c>
      <c r="G235" s="1">
        <v>5</v>
      </c>
      <c r="H235" s="1">
        <v>4</v>
      </c>
      <c r="I235" s="33">
        <v>3</v>
      </c>
      <c r="J235" s="1">
        <v>2</v>
      </c>
      <c r="K235" s="1">
        <v>1</v>
      </c>
      <c r="L235" s="1">
        <v>2</v>
      </c>
      <c r="M235" s="1">
        <v>3</v>
      </c>
      <c r="N235" s="1">
        <v>4</v>
      </c>
      <c r="O235" s="1">
        <v>5</v>
      </c>
      <c r="P235" s="1">
        <v>6</v>
      </c>
      <c r="Q235" s="1">
        <v>7</v>
      </c>
      <c r="R235" s="1">
        <v>8</v>
      </c>
      <c r="S235" s="12">
        <v>9</v>
      </c>
      <c r="T235" s="12" t="s">
        <v>15</v>
      </c>
      <c r="V235" s="2" t="s">
        <v>13</v>
      </c>
      <c r="W235" s="3">
        <f>1/AF226</f>
        <v>0.33333333333333331</v>
      </c>
      <c r="X235" s="3">
        <f>1/AF227</f>
        <v>3</v>
      </c>
      <c r="Y235" s="3">
        <f>1/AF228</f>
        <v>2</v>
      </c>
      <c r="Z235" s="3">
        <f>1/AF229</f>
        <v>0.2</v>
      </c>
      <c r="AA235" s="3">
        <f>1/AF230</f>
        <v>0.16666666666666666</v>
      </c>
      <c r="AB235" s="3">
        <f>1/AF231</f>
        <v>0.16666666666666666</v>
      </c>
      <c r="AC235" s="3">
        <f>1/AF232</f>
        <v>3</v>
      </c>
      <c r="AD235" s="3">
        <f>1/AF233</f>
        <v>0.33333333333333331</v>
      </c>
      <c r="AE235" s="3">
        <f>1/AF234</f>
        <v>0.25</v>
      </c>
      <c r="AF235" s="3">
        <v>1</v>
      </c>
      <c r="AG235" s="3">
        <f>1/4</f>
        <v>0.25</v>
      </c>
      <c r="AH235" s="3">
        <f>1/3</f>
        <v>0.33333333333333331</v>
      </c>
      <c r="AI235" s="3">
        <f>1/4</f>
        <v>0.25</v>
      </c>
      <c r="AJ235" s="3">
        <f>1/5</f>
        <v>0.2</v>
      </c>
      <c r="AK235" s="3">
        <f>1/3</f>
        <v>0.33333333333333331</v>
      </c>
    </row>
    <row r="236" spans="2:37" x14ac:dyDescent="0.5">
      <c r="B236" s="17" t="s">
        <v>4</v>
      </c>
      <c r="C236" s="11">
        <v>9</v>
      </c>
      <c r="D236" s="1">
        <v>8</v>
      </c>
      <c r="E236" s="1">
        <v>7</v>
      </c>
      <c r="F236" s="1">
        <v>6</v>
      </c>
      <c r="G236" s="1">
        <v>5</v>
      </c>
      <c r="H236" s="1">
        <v>4</v>
      </c>
      <c r="I236" s="33">
        <v>3</v>
      </c>
      <c r="J236" s="1">
        <v>2</v>
      </c>
      <c r="K236" s="1">
        <v>1</v>
      </c>
      <c r="L236" s="1">
        <v>2</v>
      </c>
      <c r="M236" s="1">
        <v>3</v>
      </c>
      <c r="N236" s="1">
        <v>4</v>
      </c>
      <c r="O236" s="1">
        <v>5</v>
      </c>
      <c r="P236" s="1">
        <v>6</v>
      </c>
      <c r="Q236" s="1">
        <v>7</v>
      </c>
      <c r="R236" s="1">
        <v>8</v>
      </c>
      <c r="S236" s="12">
        <v>9</v>
      </c>
      <c r="T236" s="12" t="s">
        <v>16</v>
      </c>
      <c r="V236" s="2" t="s">
        <v>14</v>
      </c>
      <c r="W236" s="3">
        <f>1/AG226</f>
        <v>4</v>
      </c>
      <c r="X236" s="3">
        <f>1/AG227</f>
        <v>5</v>
      </c>
      <c r="Y236" s="3">
        <f>1/AG228</f>
        <v>5</v>
      </c>
      <c r="Z236" s="3">
        <f>1/AG229</f>
        <v>0.5</v>
      </c>
      <c r="AA236" s="3">
        <f>1/AG230</f>
        <v>0.25</v>
      </c>
      <c r="AB236" s="3">
        <f>1/AG231</f>
        <v>0.25</v>
      </c>
      <c r="AC236" s="3">
        <f>1/AG232</f>
        <v>5</v>
      </c>
      <c r="AD236" s="3">
        <f>1/AG233</f>
        <v>3</v>
      </c>
      <c r="AE236" s="3">
        <f>1/AG234</f>
        <v>0.33333333333333331</v>
      </c>
      <c r="AF236" s="3">
        <f>1/AG235</f>
        <v>4</v>
      </c>
      <c r="AG236" s="3">
        <v>1</v>
      </c>
      <c r="AH236" s="3">
        <v>3</v>
      </c>
      <c r="AI236" s="3">
        <f>1/2</f>
        <v>0.5</v>
      </c>
      <c r="AJ236" s="3">
        <f>1/2</f>
        <v>0.5</v>
      </c>
      <c r="AK236" s="3">
        <v>3</v>
      </c>
    </row>
    <row r="237" spans="2:37" x14ac:dyDescent="0.5">
      <c r="B237" s="17" t="s">
        <v>4</v>
      </c>
      <c r="C237" s="11">
        <v>9</v>
      </c>
      <c r="D237" s="1">
        <v>8</v>
      </c>
      <c r="E237" s="1">
        <v>7</v>
      </c>
      <c r="F237" s="1">
        <v>6</v>
      </c>
      <c r="G237" s="1">
        <v>5</v>
      </c>
      <c r="H237" s="33">
        <v>4</v>
      </c>
      <c r="I237" s="1">
        <v>3</v>
      </c>
      <c r="J237" s="1">
        <v>2</v>
      </c>
      <c r="K237" s="1">
        <v>1</v>
      </c>
      <c r="L237" s="1">
        <v>2</v>
      </c>
      <c r="M237" s="1">
        <v>3</v>
      </c>
      <c r="N237" s="1">
        <v>4</v>
      </c>
      <c r="O237" s="1">
        <v>5</v>
      </c>
      <c r="P237" s="1">
        <v>6</v>
      </c>
      <c r="Q237" s="1">
        <v>7</v>
      </c>
      <c r="R237" s="1">
        <v>8</v>
      </c>
      <c r="S237" s="12">
        <v>9</v>
      </c>
      <c r="T237" s="12" t="s">
        <v>17</v>
      </c>
      <c r="V237" s="2" t="s">
        <v>15</v>
      </c>
      <c r="W237" s="3">
        <f>1/AH226</f>
        <v>0.33333333333333331</v>
      </c>
      <c r="X237" s="3">
        <f>1/AH227</f>
        <v>4</v>
      </c>
      <c r="Y237" s="3">
        <f>1/AH228</f>
        <v>4</v>
      </c>
      <c r="Z237" s="3">
        <f>1/AH229</f>
        <v>3</v>
      </c>
      <c r="AA237" s="3">
        <f>1/AH230</f>
        <v>0.33333333333333331</v>
      </c>
      <c r="AB237" s="3">
        <f>1/AH231</f>
        <v>0.33333333333333331</v>
      </c>
      <c r="AC237" s="3">
        <f>1/AH232</f>
        <v>3</v>
      </c>
      <c r="AD237" s="3">
        <f>1/AH233</f>
        <v>3</v>
      </c>
      <c r="AE237" s="3">
        <f>1/AH234</f>
        <v>0.33333333333333331</v>
      </c>
      <c r="AF237" s="3">
        <f>1/AH235</f>
        <v>3</v>
      </c>
      <c r="AG237" s="3">
        <f>1/AH236</f>
        <v>0.33333333333333331</v>
      </c>
      <c r="AH237" s="3">
        <v>1</v>
      </c>
      <c r="AI237" s="3">
        <f>1/3</f>
        <v>0.33333333333333331</v>
      </c>
      <c r="AJ237" s="3">
        <f>1/3</f>
        <v>0.33333333333333331</v>
      </c>
      <c r="AK237" s="3">
        <v>1</v>
      </c>
    </row>
    <row r="238" spans="2:37" x14ac:dyDescent="0.5">
      <c r="B238" s="13" t="s">
        <v>4</v>
      </c>
      <c r="C238" s="13">
        <v>9</v>
      </c>
      <c r="D238" s="14">
        <v>8</v>
      </c>
      <c r="E238" s="14">
        <v>7</v>
      </c>
      <c r="F238" s="14">
        <v>6</v>
      </c>
      <c r="G238" s="14">
        <v>5</v>
      </c>
      <c r="H238" s="14">
        <v>4</v>
      </c>
      <c r="I238" s="14">
        <v>3</v>
      </c>
      <c r="J238" s="14">
        <v>2</v>
      </c>
      <c r="K238" s="14">
        <v>1</v>
      </c>
      <c r="L238" s="14">
        <v>2</v>
      </c>
      <c r="M238" s="34">
        <v>3</v>
      </c>
      <c r="N238" s="14">
        <v>4</v>
      </c>
      <c r="O238" s="14">
        <v>5</v>
      </c>
      <c r="P238" s="14">
        <v>6</v>
      </c>
      <c r="Q238" s="14">
        <v>7</v>
      </c>
      <c r="R238" s="14">
        <v>8</v>
      </c>
      <c r="S238" s="15">
        <v>9</v>
      </c>
      <c r="T238" s="15" t="s">
        <v>18</v>
      </c>
      <c r="V238" s="2" t="s">
        <v>16</v>
      </c>
      <c r="W238" s="3">
        <f>1/AI226</f>
        <v>0.33333333333333331</v>
      </c>
      <c r="X238" s="3">
        <f>1/AI227</f>
        <v>5</v>
      </c>
      <c r="Y238" s="3">
        <f>1/AI228</f>
        <v>5</v>
      </c>
      <c r="Z238" s="3">
        <f>1/AI229</f>
        <v>4</v>
      </c>
      <c r="AA238" s="3">
        <f>1/AI230</f>
        <v>3</v>
      </c>
      <c r="AB238" s="3">
        <f>1/AI231</f>
        <v>3</v>
      </c>
      <c r="AC238" s="3">
        <f>1/AI232</f>
        <v>5</v>
      </c>
      <c r="AD238" s="3">
        <f>1/AI233</f>
        <v>2</v>
      </c>
      <c r="AE238" s="3">
        <f>1/AI234</f>
        <v>2</v>
      </c>
      <c r="AF238" s="3">
        <f>1/AI235</f>
        <v>4</v>
      </c>
      <c r="AG238" s="3">
        <f>1/AI236</f>
        <v>2</v>
      </c>
      <c r="AH238" s="3">
        <f>1/AI237</f>
        <v>3</v>
      </c>
      <c r="AI238" s="3">
        <v>1</v>
      </c>
      <c r="AJ238" s="3">
        <v>1</v>
      </c>
      <c r="AK238" s="3">
        <v>4</v>
      </c>
    </row>
    <row r="239" spans="2:37" x14ac:dyDescent="0.5">
      <c r="B239" s="16" t="s">
        <v>5</v>
      </c>
      <c r="C239" s="11">
        <v>9</v>
      </c>
      <c r="D239" s="1">
        <v>8</v>
      </c>
      <c r="E239" s="1">
        <v>7</v>
      </c>
      <c r="F239" s="1">
        <v>6</v>
      </c>
      <c r="G239" s="1">
        <v>5</v>
      </c>
      <c r="H239" s="1">
        <v>4</v>
      </c>
      <c r="I239" s="1">
        <v>3</v>
      </c>
      <c r="J239" s="1">
        <v>2</v>
      </c>
      <c r="K239" s="1">
        <v>1</v>
      </c>
      <c r="L239" s="1">
        <v>2</v>
      </c>
      <c r="M239" s="1">
        <v>3</v>
      </c>
      <c r="N239" s="1">
        <v>4</v>
      </c>
      <c r="O239" s="1">
        <v>5</v>
      </c>
      <c r="P239" s="1">
        <v>6</v>
      </c>
      <c r="Q239" s="33">
        <v>7</v>
      </c>
      <c r="R239" s="1">
        <v>8</v>
      </c>
      <c r="S239" s="12">
        <v>9</v>
      </c>
      <c r="T239" s="12" t="s">
        <v>6</v>
      </c>
      <c r="V239" s="2" t="s">
        <v>17</v>
      </c>
      <c r="W239" s="3">
        <f>1/AJ226</f>
        <v>0.25</v>
      </c>
      <c r="X239" s="3">
        <f>1/AJ227</f>
        <v>5</v>
      </c>
      <c r="Y239" s="3">
        <f>1/AJ228</f>
        <v>5</v>
      </c>
      <c r="Z239" s="3">
        <f>1/AJ229</f>
        <v>4</v>
      </c>
      <c r="AA239" s="3">
        <f>1/AJ230</f>
        <v>3</v>
      </c>
      <c r="AB239" s="3">
        <f>1/AJ231</f>
        <v>3</v>
      </c>
      <c r="AC239" s="3">
        <f>1/AJ232</f>
        <v>5</v>
      </c>
      <c r="AD239" s="3">
        <f>1/AJ233</f>
        <v>3</v>
      </c>
      <c r="AE239" s="3">
        <f>1/AJ234</f>
        <v>3</v>
      </c>
      <c r="AF239" s="3">
        <f>1/AJ235</f>
        <v>5</v>
      </c>
      <c r="AG239" s="3">
        <f>1/AJ236</f>
        <v>2</v>
      </c>
      <c r="AH239" s="3">
        <f>1/AJ237</f>
        <v>3</v>
      </c>
      <c r="AI239" s="3">
        <f>1/AJ238</f>
        <v>1</v>
      </c>
      <c r="AJ239" s="3">
        <v>1</v>
      </c>
      <c r="AK239" s="3">
        <v>4</v>
      </c>
    </row>
    <row r="240" spans="2:37" x14ac:dyDescent="0.5">
      <c r="B240" s="17" t="s">
        <v>5</v>
      </c>
      <c r="C240" s="11">
        <v>9</v>
      </c>
      <c r="D240" s="1">
        <v>8</v>
      </c>
      <c r="E240" s="1">
        <v>7</v>
      </c>
      <c r="F240" s="1">
        <v>6</v>
      </c>
      <c r="G240" s="1">
        <v>5</v>
      </c>
      <c r="H240" s="1">
        <v>4</v>
      </c>
      <c r="I240" s="18">
        <v>3</v>
      </c>
      <c r="J240" s="1">
        <v>2</v>
      </c>
      <c r="K240" s="1">
        <v>1</v>
      </c>
      <c r="L240" s="1">
        <v>2</v>
      </c>
      <c r="M240" s="1">
        <v>3</v>
      </c>
      <c r="N240" s="1">
        <v>4</v>
      </c>
      <c r="O240" s="1">
        <v>5</v>
      </c>
      <c r="P240" s="1">
        <v>6</v>
      </c>
      <c r="Q240" s="1">
        <v>7</v>
      </c>
      <c r="R240" s="33">
        <v>8</v>
      </c>
      <c r="S240" s="12">
        <v>9</v>
      </c>
      <c r="T240" s="12" t="s">
        <v>7</v>
      </c>
      <c r="V240" s="2" t="s">
        <v>18</v>
      </c>
      <c r="W240" s="3">
        <f>1/AK226</f>
        <v>0.33333333333333331</v>
      </c>
      <c r="X240" s="3">
        <f>1/AK227</f>
        <v>4</v>
      </c>
      <c r="Y240" s="3">
        <f>1/AK228</f>
        <v>4</v>
      </c>
      <c r="Z240" s="3">
        <f>1/AK229</f>
        <v>3</v>
      </c>
      <c r="AA240" s="3">
        <f>1/AK230</f>
        <v>0.33333333333333331</v>
      </c>
      <c r="AB240" s="3">
        <f>1/AK231</f>
        <v>0.33333333333333331</v>
      </c>
      <c r="AC240" s="3">
        <f>1/AK232</f>
        <v>3</v>
      </c>
      <c r="AD240" s="3">
        <f>1/AK233</f>
        <v>4</v>
      </c>
      <c r="AE240" s="3">
        <f>1/AK234</f>
        <v>0.33333333333333331</v>
      </c>
      <c r="AF240" s="3">
        <f>1/AK235</f>
        <v>3</v>
      </c>
      <c r="AG240" s="3">
        <f>1/AK236</f>
        <v>0.33333333333333331</v>
      </c>
      <c r="AH240" s="3">
        <f>1/AK237</f>
        <v>1</v>
      </c>
      <c r="AI240" s="3">
        <f>1/AK238</f>
        <v>0.25</v>
      </c>
      <c r="AJ240" s="3">
        <f>1/AK239</f>
        <v>0.25</v>
      </c>
      <c r="AK240" s="3">
        <v>1</v>
      </c>
    </row>
    <row r="241" spans="2:20" x14ac:dyDescent="0.5">
      <c r="B241" s="17" t="s">
        <v>5</v>
      </c>
      <c r="C241" s="11">
        <v>9</v>
      </c>
      <c r="D241" s="1">
        <v>8</v>
      </c>
      <c r="E241" s="1">
        <v>7</v>
      </c>
      <c r="F241" s="1">
        <v>6</v>
      </c>
      <c r="G241" s="1">
        <v>5</v>
      </c>
      <c r="H241" s="1">
        <v>4</v>
      </c>
      <c r="I241" s="1">
        <v>3</v>
      </c>
      <c r="J241" s="1">
        <v>2</v>
      </c>
      <c r="K241" s="1">
        <v>1</v>
      </c>
      <c r="L241" s="1">
        <v>2</v>
      </c>
      <c r="M241" s="1">
        <v>3</v>
      </c>
      <c r="N241" s="1">
        <v>4</v>
      </c>
      <c r="O241" s="1">
        <v>5</v>
      </c>
      <c r="P241" s="1">
        <v>6</v>
      </c>
      <c r="Q241" s="1">
        <v>7</v>
      </c>
      <c r="R241" s="33">
        <v>8</v>
      </c>
      <c r="S241" s="12">
        <v>9</v>
      </c>
      <c r="T241" s="12" t="s">
        <v>8</v>
      </c>
    </row>
    <row r="242" spans="2:20" x14ac:dyDescent="0.5">
      <c r="B242" s="17" t="s">
        <v>5</v>
      </c>
      <c r="C242" s="11">
        <v>9</v>
      </c>
      <c r="D242" s="1">
        <v>8</v>
      </c>
      <c r="E242" s="1">
        <v>7</v>
      </c>
      <c r="F242" s="1">
        <v>6</v>
      </c>
      <c r="G242" s="1">
        <v>5</v>
      </c>
      <c r="H242" s="1">
        <v>4</v>
      </c>
      <c r="I242" s="1">
        <v>3</v>
      </c>
      <c r="J242" s="1">
        <v>2</v>
      </c>
      <c r="K242" s="1">
        <v>1</v>
      </c>
      <c r="L242" s="1">
        <v>2</v>
      </c>
      <c r="M242" s="1">
        <v>3</v>
      </c>
      <c r="N242" s="1">
        <v>4</v>
      </c>
      <c r="O242" s="1">
        <v>5</v>
      </c>
      <c r="P242" s="1">
        <v>6</v>
      </c>
      <c r="Q242" s="1">
        <v>7</v>
      </c>
      <c r="R242" s="33">
        <v>8</v>
      </c>
      <c r="S242" s="12">
        <v>9</v>
      </c>
      <c r="T242" s="12" t="s">
        <v>9</v>
      </c>
    </row>
    <row r="243" spans="2:20" x14ac:dyDescent="0.5">
      <c r="B243" s="17" t="s">
        <v>5</v>
      </c>
      <c r="C243" s="11">
        <v>9</v>
      </c>
      <c r="D243" s="1">
        <v>8</v>
      </c>
      <c r="E243" s="1">
        <v>7</v>
      </c>
      <c r="F243" s="1">
        <v>6</v>
      </c>
      <c r="G243" s="1">
        <v>5</v>
      </c>
      <c r="H243" s="1">
        <v>4</v>
      </c>
      <c r="I243" s="1">
        <v>3</v>
      </c>
      <c r="J243" s="1">
        <v>2</v>
      </c>
      <c r="K243" s="1">
        <v>1</v>
      </c>
      <c r="L243" s="1">
        <v>2</v>
      </c>
      <c r="M243" s="1">
        <v>3</v>
      </c>
      <c r="N243" s="1">
        <v>4</v>
      </c>
      <c r="O243" s="33">
        <v>5</v>
      </c>
      <c r="P243" s="1">
        <v>6</v>
      </c>
      <c r="Q243" s="1">
        <v>7</v>
      </c>
      <c r="R243" s="1">
        <v>8</v>
      </c>
      <c r="S243" s="12">
        <v>9</v>
      </c>
      <c r="T243" s="12" t="s">
        <v>10</v>
      </c>
    </row>
    <row r="244" spans="2:20" x14ac:dyDescent="0.5">
      <c r="B244" s="17" t="s">
        <v>5</v>
      </c>
      <c r="C244" s="11">
        <v>9</v>
      </c>
      <c r="D244" s="1">
        <v>8</v>
      </c>
      <c r="E244" s="1">
        <v>7</v>
      </c>
      <c r="F244" s="1">
        <v>6</v>
      </c>
      <c r="G244" s="1">
        <v>5</v>
      </c>
      <c r="H244" s="1">
        <v>4</v>
      </c>
      <c r="I244" s="1">
        <v>3</v>
      </c>
      <c r="J244" s="1">
        <v>2</v>
      </c>
      <c r="K244" s="1">
        <v>1</v>
      </c>
      <c r="L244" s="1">
        <v>2</v>
      </c>
      <c r="M244" s="1">
        <v>3</v>
      </c>
      <c r="N244" s="1">
        <v>4</v>
      </c>
      <c r="O244" s="1">
        <v>5</v>
      </c>
      <c r="P244" s="1">
        <v>6</v>
      </c>
      <c r="Q244" s="33">
        <v>7</v>
      </c>
      <c r="R244" s="1">
        <v>8</v>
      </c>
      <c r="S244" s="12">
        <v>9</v>
      </c>
      <c r="T244" s="12" t="s">
        <v>11</v>
      </c>
    </row>
    <row r="245" spans="2:20" x14ac:dyDescent="0.5">
      <c r="B245" s="17" t="s">
        <v>5</v>
      </c>
      <c r="C245" s="11">
        <v>9</v>
      </c>
      <c r="D245" s="1">
        <v>8</v>
      </c>
      <c r="E245" s="1">
        <v>7</v>
      </c>
      <c r="F245" s="1">
        <v>6</v>
      </c>
      <c r="G245" s="1">
        <v>5</v>
      </c>
      <c r="H245" s="1">
        <v>4</v>
      </c>
      <c r="I245" s="1">
        <v>3</v>
      </c>
      <c r="J245" s="1">
        <v>2</v>
      </c>
      <c r="K245" s="1">
        <v>1</v>
      </c>
      <c r="L245" s="1">
        <v>2</v>
      </c>
      <c r="M245" s="1">
        <v>3</v>
      </c>
      <c r="N245" s="1">
        <v>4</v>
      </c>
      <c r="O245" s="1">
        <v>5</v>
      </c>
      <c r="P245" s="1">
        <v>6</v>
      </c>
      <c r="Q245" s="33">
        <v>7</v>
      </c>
      <c r="R245" s="1">
        <v>8</v>
      </c>
      <c r="S245" s="12">
        <v>9</v>
      </c>
      <c r="T245" s="12" t="s">
        <v>12</v>
      </c>
    </row>
    <row r="246" spans="2:20" x14ac:dyDescent="0.5">
      <c r="B246" s="17" t="s">
        <v>5</v>
      </c>
      <c r="C246" s="11">
        <v>9</v>
      </c>
      <c r="D246" s="1">
        <v>8</v>
      </c>
      <c r="E246" s="1">
        <v>7</v>
      </c>
      <c r="F246" s="1">
        <v>6</v>
      </c>
      <c r="G246" s="1">
        <v>5</v>
      </c>
      <c r="H246" s="1">
        <v>4</v>
      </c>
      <c r="I246" s="1">
        <v>3</v>
      </c>
      <c r="J246" s="1">
        <v>2</v>
      </c>
      <c r="K246" s="1">
        <v>1</v>
      </c>
      <c r="L246" s="1">
        <v>2</v>
      </c>
      <c r="M246" s="33">
        <v>3</v>
      </c>
      <c r="N246" s="1">
        <v>4</v>
      </c>
      <c r="O246" s="1">
        <v>5</v>
      </c>
      <c r="P246" s="1">
        <v>6</v>
      </c>
      <c r="Q246" s="1">
        <v>7</v>
      </c>
      <c r="R246" s="1">
        <v>8</v>
      </c>
      <c r="S246" s="12">
        <v>9</v>
      </c>
      <c r="T246" s="12" t="s">
        <v>13</v>
      </c>
    </row>
    <row r="247" spans="2:20" x14ac:dyDescent="0.5">
      <c r="B247" s="17" t="s">
        <v>5</v>
      </c>
      <c r="C247" s="11">
        <v>9</v>
      </c>
      <c r="D247" s="1">
        <v>8</v>
      </c>
      <c r="E247" s="1">
        <v>7</v>
      </c>
      <c r="F247" s="1">
        <v>6</v>
      </c>
      <c r="G247" s="1">
        <v>5</v>
      </c>
      <c r="H247" s="1">
        <v>4</v>
      </c>
      <c r="I247" s="1">
        <v>3</v>
      </c>
      <c r="J247" s="1">
        <v>2</v>
      </c>
      <c r="K247" s="1">
        <v>1</v>
      </c>
      <c r="L247" s="1">
        <v>2</v>
      </c>
      <c r="M247" s="1">
        <v>3</v>
      </c>
      <c r="N247" s="1">
        <v>4</v>
      </c>
      <c r="O247" s="33">
        <v>5</v>
      </c>
      <c r="P247" s="1">
        <v>6</v>
      </c>
      <c r="Q247" s="1">
        <v>7</v>
      </c>
      <c r="R247" s="1">
        <v>8</v>
      </c>
      <c r="S247" s="12">
        <v>9</v>
      </c>
      <c r="T247" s="12" t="s">
        <v>14</v>
      </c>
    </row>
    <row r="248" spans="2:20" x14ac:dyDescent="0.5">
      <c r="B248" s="17" t="s">
        <v>5</v>
      </c>
      <c r="C248" s="11">
        <v>9</v>
      </c>
      <c r="D248" s="1">
        <v>8</v>
      </c>
      <c r="E248" s="1">
        <v>7</v>
      </c>
      <c r="F248" s="1">
        <v>6</v>
      </c>
      <c r="G248" s="1">
        <v>5</v>
      </c>
      <c r="H248" s="1">
        <v>4</v>
      </c>
      <c r="I248" s="1">
        <v>3</v>
      </c>
      <c r="J248" s="1">
        <v>2</v>
      </c>
      <c r="K248" s="1">
        <v>1</v>
      </c>
      <c r="L248" s="1">
        <v>2</v>
      </c>
      <c r="M248" s="1">
        <v>3</v>
      </c>
      <c r="N248" s="33">
        <v>4</v>
      </c>
      <c r="O248" s="1">
        <v>5</v>
      </c>
      <c r="P248" s="1">
        <v>6</v>
      </c>
      <c r="Q248" s="1">
        <v>7</v>
      </c>
      <c r="R248" s="1">
        <v>8</v>
      </c>
      <c r="S248" s="12">
        <v>9</v>
      </c>
      <c r="T248" s="12" t="s">
        <v>15</v>
      </c>
    </row>
    <row r="249" spans="2:20" x14ac:dyDescent="0.5">
      <c r="B249" s="17" t="s">
        <v>5</v>
      </c>
      <c r="C249" s="11">
        <v>9</v>
      </c>
      <c r="D249" s="1">
        <v>8</v>
      </c>
      <c r="E249" s="1">
        <v>7</v>
      </c>
      <c r="F249" s="1">
        <v>6</v>
      </c>
      <c r="G249" s="1">
        <v>5</v>
      </c>
      <c r="H249" s="1">
        <v>4</v>
      </c>
      <c r="I249" s="1">
        <v>3</v>
      </c>
      <c r="J249" s="1">
        <v>2</v>
      </c>
      <c r="K249" s="1">
        <v>1</v>
      </c>
      <c r="L249" s="1">
        <v>2</v>
      </c>
      <c r="M249" s="1">
        <v>3</v>
      </c>
      <c r="N249" s="1">
        <v>4</v>
      </c>
      <c r="O249" s="33">
        <v>5</v>
      </c>
      <c r="P249" s="1">
        <v>6</v>
      </c>
      <c r="Q249" s="1">
        <v>7</v>
      </c>
      <c r="R249" s="1">
        <v>8</v>
      </c>
      <c r="S249" s="12">
        <v>9</v>
      </c>
      <c r="T249" s="12" t="s">
        <v>16</v>
      </c>
    </row>
    <row r="250" spans="2:20" x14ac:dyDescent="0.5">
      <c r="B250" s="17" t="s">
        <v>5</v>
      </c>
      <c r="C250" s="11">
        <v>9</v>
      </c>
      <c r="D250" s="1">
        <v>8</v>
      </c>
      <c r="E250" s="1">
        <v>7</v>
      </c>
      <c r="F250" s="1">
        <v>6</v>
      </c>
      <c r="G250" s="1">
        <v>5</v>
      </c>
      <c r="H250" s="1">
        <v>4</v>
      </c>
      <c r="I250" s="1">
        <v>3</v>
      </c>
      <c r="J250" s="1">
        <v>2</v>
      </c>
      <c r="K250" s="1">
        <v>1</v>
      </c>
      <c r="L250" s="1">
        <v>2</v>
      </c>
      <c r="M250" s="1">
        <v>3</v>
      </c>
      <c r="N250" s="1">
        <v>4</v>
      </c>
      <c r="O250" s="33">
        <v>5</v>
      </c>
      <c r="P250" s="1">
        <v>6</v>
      </c>
      <c r="Q250" s="1">
        <v>7</v>
      </c>
      <c r="R250" s="1">
        <v>8</v>
      </c>
      <c r="S250" s="12">
        <v>9</v>
      </c>
      <c r="T250" s="12" t="s">
        <v>17</v>
      </c>
    </row>
    <row r="251" spans="2:20" x14ac:dyDescent="0.5">
      <c r="B251" s="19" t="s">
        <v>5</v>
      </c>
      <c r="C251" s="13">
        <v>9</v>
      </c>
      <c r="D251" s="14">
        <v>8</v>
      </c>
      <c r="E251" s="14">
        <v>7</v>
      </c>
      <c r="F251" s="14">
        <v>6</v>
      </c>
      <c r="G251" s="14">
        <v>5</v>
      </c>
      <c r="H251" s="14">
        <v>4</v>
      </c>
      <c r="I251" s="14">
        <v>3</v>
      </c>
      <c r="J251" s="14">
        <v>2</v>
      </c>
      <c r="K251" s="14">
        <v>1</v>
      </c>
      <c r="L251" s="14">
        <v>2</v>
      </c>
      <c r="M251" s="14">
        <v>3</v>
      </c>
      <c r="N251" s="34">
        <v>4</v>
      </c>
      <c r="O251" s="14">
        <v>5</v>
      </c>
      <c r="P251" s="14">
        <v>6</v>
      </c>
      <c r="Q251" s="14">
        <v>7</v>
      </c>
      <c r="R251" s="14">
        <v>8</v>
      </c>
      <c r="S251" s="15">
        <v>9</v>
      </c>
      <c r="T251" s="15" t="s">
        <v>18</v>
      </c>
    </row>
    <row r="252" spans="2:20" x14ac:dyDescent="0.5">
      <c r="B252" s="16" t="s">
        <v>6</v>
      </c>
      <c r="C252" s="11">
        <v>9</v>
      </c>
      <c r="D252" s="1">
        <v>8</v>
      </c>
      <c r="E252" s="1">
        <v>7</v>
      </c>
      <c r="F252" s="1">
        <v>6</v>
      </c>
      <c r="G252" s="1">
        <v>5</v>
      </c>
      <c r="H252" s="1">
        <v>4</v>
      </c>
      <c r="I252" s="18">
        <v>3</v>
      </c>
      <c r="J252" s="1">
        <v>2</v>
      </c>
      <c r="K252" s="1">
        <v>1</v>
      </c>
      <c r="L252" s="1">
        <v>2</v>
      </c>
      <c r="M252" s="33">
        <v>3</v>
      </c>
      <c r="N252" s="1">
        <v>4</v>
      </c>
      <c r="O252" s="1">
        <v>5</v>
      </c>
      <c r="P252" s="1">
        <v>6</v>
      </c>
      <c r="Q252" s="1">
        <v>7</v>
      </c>
      <c r="R252" s="1">
        <v>8</v>
      </c>
      <c r="S252" s="12">
        <v>9</v>
      </c>
      <c r="T252" s="12" t="s">
        <v>7</v>
      </c>
    </row>
    <row r="253" spans="2:20" x14ac:dyDescent="0.5">
      <c r="B253" s="17" t="s">
        <v>6</v>
      </c>
      <c r="C253" s="11">
        <v>9</v>
      </c>
      <c r="D253" s="1">
        <v>8</v>
      </c>
      <c r="E253" s="1">
        <v>7</v>
      </c>
      <c r="F253" s="1">
        <v>6</v>
      </c>
      <c r="G253" s="1">
        <v>5</v>
      </c>
      <c r="H253" s="1">
        <v>4</v>
      </c>
      <c r="I253" s="1">
        <v>3</v>
      </c>
      <c r="J253" s="1">
        <v>2</v>
      </c>
      <c r="K253" s="1">
        <v>1</v>
      </c>
      <c r="L253" s="1">
        <v>2</v>
      </c>
      <c r="M253" s="1">
        <v>3</v>
      </c>
      <c r="N253" s="33">
        <v>4</v>
      </c>
      <c r="O253" s="1">
        <v>5</v>
      </c>
      <c r="P253" s="1">
        <v>6</v>
      </c>
      <c r="Q253" s="1">
        <v>7</v>
      </c>
      <c r="R253" s="1">
        <v>8</v>
      </c>
      <c r="S253" s="12">
        <v>9</v>
      </c>
      <c r="T253" s="12" t="s">
        <v>8</v>
      </c>
    </row>
    <row r="254" spans="2:20" x14ac:dyDescent="0.5">
      <c r="B254" s="17" t="s">
        <v>6</v>
      </c>
      <c r="C254" s="11">
        <v>9</v>
      </c>
      <c r="D254" s="1">
        <v>8</v>
      </c>
      <c r="E254" s="1">
        <v>7</v>
      </c>
      <c r="F254" s="1">
        <v>6</v>
      </c>
      <c r="G254" s="1">
        <v>5</v>
      </c>
      <c r="H254" s="1">
        <v>4</v>
      </c>
      <c r="I254" s="1">
        <v>3</v>
      </c>
      <c r="J254" s="1">
        <v>2</v>
      </c>
      <c r="K254" s="1">
        <v>1</v>
      </c>
      <c r="L254" s="1">
        <v>2</v>
      </c>
      <c r="M254" s="1">
        <v>3</v>
      </c>
      <c r="N254" s="33">
        <v>4</v>
      </c>
      <c r="O254" s="1">
        <v>5</v>
      </c>
      <c r="P254" s="1">
        <v>6</v>
      </c>
      <c r="Q254" s="1">
        <v>7</v>
      </c>
      <c r="R254" s="1">
        <v>8</v>
      </c>
      <c r="S254" s="12">
        <v>9</v>
      </c>
      <c r="T254" s="12" t="s">
        <v>9</v>
      </c>
    </row>
    <row r="255" spans="2:20" x14ac:dyDescent="0.5">
      <c r="B255" s="17" t="s">
        <v>6</v>
      </c>
      <c r="C255" s="11">
        <v>9</v>
      </c>
      <c r="D255" s="1">
        <v>8</v>
      </c>
      <c r="E255" s="1">
        <v>7</v>
      </c>
      <c r="F255" s="1">
        <v>6</v>
      </c>
      <c r="G255" s="1">
        <v>5</v>
      </c>
      <c r="H255" s="1">
        <v>4</v>
      </c>
      <c r="I255" s="1">
        <v>3</v>
      </c>
      <c r="J255" s="1">
        <v>2</v>
      </c>
      <c r="K255" s="1">
        <v>1</v>
      </c>
      <c r="L255" s="33">
        <v>2</v>
      </c>
      <c r="M255" s="1">
        <v>3</v>
      </c>
      <c r="N255" s="1">
        <v>4</v>
      </c>
      <c r="O255" s="1">
        <v>5</v>
      </c>
      <c r="P255" s="1">
        <v>6</v>
      </c>
      <c r="Q255" s="1">
        <v>7</v>
      </c>
      <c r="R255" s="1">
        <v>8</v>
      </c>
      <c r="S255" s="12">
        <v>9</v>
      </c>
      <c r="T255" s="12" t="s">
        <v>10</v>
      </c>
    </row>
    <row r="256" spans="2:20" x14ac:dyDescent="0.5">
      <c r="B256" s="17" t="s">
        <v>6</v>
      </c>
      <c r="C256" s="11">
        <v>9</v>
      </c>
      <c r="D256" s="1">
        <v>8</v>
      </c>
      <c r="E256" s="1">
        <v>7</v>
      </c>
      <c r="F256" s="1">
        <v>6</v>
      </c>
      <c r="G256" s="1">
        <v>5</v>
      </c>
      <c r="H256" s="1">
        <v>4</v>
      </c>
      <c r="I256" s="1">
        <v>3</v>
      </c>
      <c r="J256" s="1">
        <v>2</v>
      </c>
      <c r="K256" s="1">
        <v>1</v>
      </c>
      <c r="L256" s="1">
        <v>2</v>
      </c>
      <c r="M256" s="33">
        <v>3</v>
      </c>
      <c r="N256" s="1">
        <v>4</v>
      </c>
      <c r="O256" s="1">
        <v>5</v>
      </c>
      <c r="P256" s="1">
        <v>6</v>
      </c>
      <c r="Q256" s="1">
        <v>7</v>
      </c>
      <c r="R256" s="1">
        <v>8</v>
      </c>
      <c r="S256" s="12">
        <v>9</v>
      </c>
      <c r="T256" s="12" t="s">
        <v>11</v>
      </c>
    </row>
    <row r="257" spans="2:20" x14ac:dyDescent="0.5">
      <c r="B257" s="17" t="s">
        <v>6</v>
      </c>
      <c r="C257" s="11">
        <v>9</v>
      </c>
      <c r="D257" s="1">
        <v>8</v>
      </c>
      <c r="E257" s="1">
        <v>7</v>
      </c>
      <c r="F257" s="1">
        <v>6</v>
      </c>
      <c r="G257" s="1">
        <v>5</v>
      </c>
      <c r="H257" s="1">
        <v>4</v>
      </c>
      <c r="I257" s="1">
        <v>3</v>
      </c>
      <c r="J257" s="1">
        <v>2</v>
      </c>
      <c r="K257" s="1">
        <v>1</v>
      </c>
      <c r="L257" s="1">
        <v>2</v>
      </c>
      <c r="M257" s="33">
        <v>3</v>
      </c>
      <c r="N257" s="1">
        <v>4</v>
      </c>
      <c r="O257" s="1">
        <v>5</v>
      </c>
      <c r="P257" s="1">
        <v>6</v>
      </c>
      <c r="Q257" s="1">
        <v>7</v>
      </c>
      <c r="R257" s="1">
        <v>8</v>
      </c>
      <c r="S257" s="12">
        <v>9</v>
      </c>
      <c r="T257" s="12" t="s">
        <v>12</v>
      </c>
    </row>
    <row r="258" spans="2:20" x14ac:dyDescent="0.5">
      <c r="B258" s="17" t="s">
        <v>6</v>
      </c>
      <c r="C258" s="11">
        <v>9</v>
      </c>
      <c r="D258" s="1">
        <v>8</v>
      </c>
      <c r="E258" s="1">
        <v>7</v>
      </c>
      <c r="F258" s="1">
        <v>6</v>
      </c>
      <c r="G258" s="1">
        <v>5</v>
      </c>
      <c r="H258" s="1">
        <v>4</v>
      </c>
      <c r="I258" s="1">
        <v>3</v>
      </c>
      <c r="J258" s="1">
        <v>2</v>
      </c>
      <c r="K258" s="1">
        <v>1</v>
      </c>
      <c r="L258" s="33">
        <v>2</v>
      </c>
      <c r="M258" s="1">
        <v>3</v>
      </c>
      <c r="N258" s="1">
        <v>4</v>
      </c>
      <c r="O258" s="1">
        <v>5</v>
      </c>
      <c r="P258" s="1">
        <v>6</v>
      </c>
      <c r="Q258" s="1">
        <v>7</v>
      </c>
      <c r="R258" s="1">
        <v>8</v>
      </c>
      <c r="S258" s="12">
        <v>9</v>
      </c>
      <c r="T258" s="12" t="s">
        <v>13</v>
      </c>
    </row>
    <row r="259" spans="2:20" x14ac:dyDescent="0.5">
      <c r="B259" s="17" t="s">
        <v>6</v>
      </c>
      <c r="C259" s="11">
        <v>9</v>
      </c>
      <c r="D259" s="1">
        <v>8</v>
      </c>
      <c r="E259" s="1">
        <v>7</v>
      </c>
      <c r="F259" s="1">
        <v>6</v>
      </c>
      <c r="G259" s="1">
        <v>5</v>
      </c>
      <c r="H259" s="1">
        <v>4</v>
      </c>
      <c r="I259" s="1">
        <v>3</v>
      </c>
      <c r="J259" s="1">
        <v>2</v>
      </c>
      <c r="K259" s="1">
        <v>1</v>
      </c>
      <c r="L259" s="1">
        <v>2</v>
      </c>
      <c r="M259" s="1">
        <v>3</v>
      </c>
      <c r="N259" s="1">
        <v>4</v>
      </c>
      <c r="O259" s="33">
        <v>5</v>
      </c>
      <c r="P259" s="1">
        <v>6</v>
      </c>
      <c r="Q259" s="1">
        <v>7</v>
      </c>
      <c r="R259" s="1">
        <v>8</v>
      </c>
      <c r="S259" s="12">
        <v>9</v>
      </c>
      <c r="T259" s="12" t="s">
        <v>14</v>
      </c>
    </row>
    <row r="260" spans="2:20" x14ac:dyDescent="0.5">
      <c r="B260" s="17" t="s">
        <v>6</v>
      </c>
      <c r="C260" s="11">
        <v>9</v>
      </c>
      <c r="D260" s="1">
        <v>8</v>
      </c>
      <c r="E260" s="1">
        <v>7</v>
      </c>
      <c r="F260" s="1">
        <v>6</v>
      </c>
      <c r="G260" s="1">
        <v>5</v>
      </c>
      <c r="H260" s="1">
        <v>4</v>
      </c>
      <c r="I260" s="1">
        <v>3</v>
      </c>
      <c r="J260" s="1">
        <v>2</v>
      </c>
      <c r="K260" s="1">
        <v>1</v>
      </c>
      <c r="L260" s="1">
        <v>2</v>
      </c>
      <c r="M260" s="1">
        <v>3</v>
      </c>
      <c r="N260" s="33">
        <v>4</v>
      </c>
      <c r="O260" s="1">
        <v>5</v>
      </c>
      <c r="P260" s="1">
        <v>6</v>
      </c>
      <c r="Q260" s="1">
        <v>7</v>
      </c>
      <c r="R260" s="1">
        <v>8</v>
      </c>
      <c r="S260" s="12">
        <v>9</v>
      </c>
      <c r="T260" s="12" t="s">
        <v>15</v>
      </c>
    </row>
    <row r="261" spans="2:20" x14ac:dyDescent="0.5">
      <c r="B261" s="17" t="s">
        <v>6</v>
      </c>
      <c r="C261" s="11">
        <v>9</v>
      </c>
      <c r="D261" s="1">
        <v>8</v>
      </c>
      <c r="E261" s="1">
        <v>7</v>
      </c>
      <c r="F261" s="1">
        <v>6</v>
      </c>
      <c r="G261" s="1">
        <v>5</v>
      </c>
      <c r="H261" s="1">
        <v>4</v>
      </c>
      <c r="I261" s="1">
        <v>3</v>
      </c>
      <c r="J261" s="1">
        <v>2</v>
      </c>
      <c r="K261" s="1">
        <v>1</v>
      </c>
      <c r="L261" s="1">
        <v>2</v>
      </c>
      <c r="M261" s="1">
        <v>3</v>
      </c>
      <c r="N261" s="1">
        <v>4</v>
      </c>
      <c r="O261" s="33">
        <v>5</v>
      </c>
      <c r="P261" s="1">
        <v>6</v>
      </c>
      <c r="Q261" s="1">
        <v>7</v>
      </c>
      <c r="R261" s="1">
        <v>8</v>
      </c>
      <c r="S261" s="12">
        <v>9</v>
      </c>
      <c r="T261" s="12" t="s">
        <v>16</v>
      </c>
    </row>
    <row r="262" spans="2:20" x14ac:dyDescent="0.5">
      <c r="B262" s="17" t="s">
        <v>6</v>
      </c>
      <c r="C262" s="11">
        <v>9</v>
      </c>
      <c r="D262" s="1">
        <v>8</v>
      </c>
      <c r="E262" s="1">
        <v>7</v>
      </c>
      <c r="F262" s="1">
        <v>6</v>
      </c>
      <c r="G262" s="1">
        <v>5</v>
      </c>
      <c r="H262" s="1">
        <v>4</v>
      </c>
      <c r="I262" s="1">
        <v>3</v>
      </c>
      <c r="J262" s="1">
        <v>2</v>
      </c>
      <c r="K262" s="1">
        <v>1</v>
      </c>
      <c r="L262" s="1">
        <v>2</v>
      </c>
      <c r="M262" s="1">
        <v>3</v>
      </c>
      <c r="N262" s="1">
        <v>4</v>
      </c>
      <c r="O262" s="33">
        <v>5</v>
      </c>
      <c r="P262" s="1">
        <v>6</v>
      </c>
      <c r="Q262" s="1">
        <v>7</v>
      </c>
      <c r="R262" s="1">
        <v>8</v>
      </c>
      <c r="S262" s="12">
        <v>9</v>
      </c>
      <c r="T262" s="12" t="s">
        <v>17</v>
      </c>
    </row>
    <row r="263" spans="2:20" x14ac:dyDescent="0.5">
      <c r="B263" s="17" t="s">
        <v>6</v>
      </c>
      <c r="C263" s="13">
        <v>9</v>
      </c>
      <c r="D263" s="14">
        <v>8</v>
      </c>
      <c r="E263" s="14">
        <v>7</v>
      </c>
      <c r="F263" s="14">
        <v>6</v>
      </c>
      <c r="G263" s="14">
        <v>5</v>
      </c>
      <c r="H263" s="14">
        <v>4</v>
      </c>
      <c r="I263" s="14">
        <v>3</v>
      </c>
      <c r="J263" s="14">
        <v>2</v>
      </c>
      <c r="K263" s="14">
        <v>1</v>
      </c>
      <c r="L263" s="14">
        <v>2</v>
      </c>
      <c r="M263" s="14">
        <v>3</v>
      </c>
      <c r="N263" s="34">
        <v>4</v>
      </c>
      <c r="O263" s="14">
        <v>5</v>
      </c>
      <c r="P263" s="14">
        <v>6</v>
      </c>
      <c r="Q263" s="14">
        <v>7</v>
      </c>
      <c r="R263" s="14">
        <v>8</v>
      </c>
      <c r="S263" s="15">
        <v>9</v>
      </c>
      <c r="T263" s="15" t="s">
        <v>18</v>
      </c>
    </row>
    <row r="264" spans="2:20" x14ac:dyDescent="0.5">
      <c r="B264" s="16" t="s">
        <v>7</v>
      </c>
      <c r="C264" s="11">
        <v>9</v>
      </c>
      <c r="D264" s="1">
        <v>8</v>
      </c>
      <c r="E264" s="1">
        <v>7</v>
      </c>
      <c r="F264" s="1">
        <v>6</v>
      </c>
      <c r="G264" s="1">
        <v>5</v>
      </c>
      <c r="H264" s="1">
        <v>4</v>
      </c>
      <c r="I264" s="1">
        <v>3</v>
      </c>
      <c r="J264" s="1">
        <v>2</v>
      </c>
      <c r="K264" s="1">
        <v>1</v>
      </c>
      <c r="L264" s="33">
        <v>2</v>
      </c>
      <c r="M264" s="1">
        <v>3</v>
      </c>
      <c r="N264" s="1">
        <v>4</v>
      </c>
      <c r="O264" s="1">
        <v>5</v>
      </c>
      <c r="P264" s="1">
        <v>6</v>
      </c>
      <c r="Q264" s="1">
        <v>7</v>
      </c>
      <c r="R264" s="1">
        <v>8</v>
      </c>
      <c r="S264" s="12">
        <v>9</v>
      </c>
      <c r="T264" s="12" t="s">
        <v>8</v>
      </c>
    </row>
    <row r="265" spans="2:20" x14ac:dyDescent="0.5">
      <c r="B265" s="17" t="s">
        <v>7</v>
      </c>
      <c r="C265" s="11">
        <v>9</v>
      </c>
      <c r="D265" s="1">
        <v>8</v>
      </c>
      <c r="E265" s="1">
        <v>7</v>
      </c>
      <c r="F265" s="1">
        <v>6</v>
      </c>
      <c r="G265" s="1">
        <v>5</v>
      </c>
      <c r="H265" s="1">
        <v>4</v>
      </c>
      <c r="I265" s="1">
        <v>3</v>
      </c>
      <c r="J265" s="1">
        <v>2</v>
      </c>
      <c r="K265" s="1">
        <v>1</v>
      </c>
      <c r="L265" s="33">
        <v>2</v>
      </c>
      <c r="M265" s="1">
        <v>3</v>
      </c>
      <c r="N265" s="1">
        <v>4</v>
      </c>
      <c r="O265" s="1">
        <v>5</v>
      </c>
      <c r="P265" s="1">
        <v>6</v>
      </c>
      <c r="Q265" s="1">
        <v>7</v>
      </c>
      <c r="R265" s="1">
        <v>8</v>
      </c>
      <c r="S265" s="12">
        <v>9</v>
      </c>
      <c r="T265" s="12" t="s">
        <v>9</v>
      </c>
    </row>
    <row r="266" spans="2:20" x14ac:dyDescent="0.5">
      <c r="B266" s="17" t="s">
        <v>7</v>
      </c>
      <c r="C266" s="11">
        <v>9</v>
      </c>
      <c r="D266" s="1">
        <v>8</v>
      </c>
      <c r="E266" s="1">
        <v>7</v>
      </c>
      <c r="F266" s="1">
        <v>6</v>
      </c>
      <c r="G266" s="1">
        <v>5</v>
      </c>
      <c r="H266" s="33">
        <v>4</v>
      </c>
      <c r="I266" s="1">
        <v>3</v>
      </c>
      <c r="J266" s="1">
        <v>2</v>
      </c>
      <c r="K266" s="1">
        <v>1</v>
      </c>
      <c r="L266" s="1">
        <v>2</v>
      </c>
      <c r="M266" s="1">
        <v>3</v>
      </c>
      <c r="N266" s="1">
        <v>4</v>
      </c>
      <c r="O266" s="1">
        <v>5</v>
      </c>
      <c r="P266" s="1">
        <v>6</v>
      </c>
      <c r="Q266" s="1">
        <v>7</v>
      </c>
      <c r="R266" s="1">
        <v>8</v>
      </c>
      <c r="S266" s="12">
        <v>9</v>
      </c>
      <c r="T266" s="12" t="s">
        <v>10</v>
      </c>
    </row>
    <row r="267" spans="2:20" x14ac:dyDescent="0.5">
      <c r="B267" s="17" t="s">
        <v>7</v>
      </c>
      <c r="C267" s="11">
        <v>9</v>
      </c>
      <c r="D267" s="1">
        <v>8</v>
      </c>
      <c r="E267" s="1">
        <v>7</v>
      </c>
      <c r="F267" s="1">
        <v>6</v>
      </c>
      <c r="G267" s="1">
        <v>5</v>
      </c>
      <c r="H267" s="1">
        <v>4</v>
      </c>
      <c r="I267" s="33">
        <v>3</v>
      </c>
      <c r="J267" s="1">
        <v>2</v>
      </c>
      <c r="K267" s="1">
        <v>1</v>
      </c>
      <c r="L267" s="1">
        <v>2</v>
      </c>
      <c r="M267" s="1">
        <v>3</v>
      </c>
      <c r="N267" s="1">
        <v>4</v>
      </c>
      <c r="O267" s="1">
        <v>5</v>
      </c>
      <c r="P267" s="1">
        <v>6</v>
      </c>
      <c r="Q267" s="1">
        <v>7</v>
      </c>
      <c r="R267" s="1">
        <v>8</v>
      </c>
      <c r="S267" s="12">
        <v>9</v>
      </c>
      <c r="T267" s="12" t="s">
        <v>11</v>
      </c>
    </row>
    <row r="268" spans="2:20" x14ac:dyDescent="0.5">
      <c r="B268" s="17" t="s">
        <v>7</v>
      </c>
      <c r="C268" s="11">
        <v>9</v>
      </c>
      <c r="D268" s="1">
        <v>8</v>
      </c>
      <c r="E268" s="1">
        <v>7</v>
      </c>
      <c r="F268" s="1">
        <v>6</v>
      </c>
      <c r="G268" s="1">
        <v>5</v>
      </c>
      <c r="H268" s="1">
        <v>4</v>
      </c>
      <c r="I268" s="33">
        <v>3</v>
      </c>
      <c r="J268" s="1">
        <v>2</v>
      </c>
      <c r="K268" s="1">
        <v>1</v>
      </c>
      <c r="L268" s="1">
        <v>2</v>
      </c>
      <c r="M268" s="1">
        <v>3</v>
      </c>
      <c r="N268" s="1">
        <v>4</v>
      </c>
      <c r="O268" s="1">
        <v>5</v>
      </c>
      <c r="P268" s="1">
        <v>6</v>
      </c>
      <c r="Q268" s="1">
        <v>7</v>
      </c>
      <c r="R268" s="1">
        <v>8</v>
      </c>
      <c r="S268" s="12">
        <v>9</v>
      </c>
      <c r="T268" s="12" t="s">
        <v>12</v>
      </c>
    </row>
    <row r="269" spans="2:20" x14ac:dyDescent="0.5">
      <c r="B269" s="17" t="s">
        <v>7</v>
      </c>
      <c r="C269" s="11">
        <v>9</v>
      </c>
      <c r="D269" s="1">
        <v>8</v>
      </c>
      <c r="E269" s="1">
        <v>7</v>
      </c>
      <c r="F269" s="1">
        <v>6</v>
      </c>
      <c r="G269" s="33">
        <v>5</v>
      </c>
      <c r="H269" s="1">
        <v>4</v>
      </c>
      <c r="I269" s="1">
        <v>3</v>
      </c>
      <c r="J269" s="1">
        <v>2</v>
      </c>
      <c r="K269" s="1">
        <v>1</v>
      </c>
      <c r="L269" s="1">
        <v>2</v>
      </c>
      <c r="M269" s="1">
        <v>3</v>
      </c>
      <c r="N269" s="1">
        <v>4</v>
      </c>
      <c r="O269" s="1">
        <v>5</v>
      </c>
      <c r="P269" s="1">
        <v>6</v>
      </c>
      <c r="Q269" s="1">
        <v>7</v>
      </c>
      <c r="R269" s="1">
        <v>8</v>
      </c>
      <c r="S269" s="12">
        <v>9</v>
      </c>
      <c r="T269" s="12" t="s">
        <v>13</v>
      </c>
    </row>
    <row r="270" spans="2:20" x14ac:dyDescent="0.5">
      <c r="B270" s="17" t="s">
        <v>7</v>
      </c>
      <c r="C270" s="11">
        <v>9</v>
      </c>
      <c r="D270" s="1">
        <v>8</v>
      </c>
      <c r="E270" s="1">
        <v>7</v>
      </c>
      <c r="F270" s="1">
        <v>6</v>
      </c>
      <c r="G270" s="1">
        <v>5</v>
      </c>
      <c r="H270" s="1">
        <v>4</v>
      </c>
      <c r="I270" s="1">
        <v>3</v>
      </c>
      <c r="J270" s="33">
        <v>2</v>
      </c>
      <c r="K270" s="1">
        <v>1</v>
      </c>
      <c r="L270" s="1">
        <v>2</v>
      </c>
      <c r="M270" s="1">
        <v>3</v>
      </c>
      <c r="N270" s="1">
        <v>4</v>
      </c>
      <c r="O270" s="1">
        <v>5</v>
      </c>
      <c r="P270" s="1">
        <v>6</v>
      </c>
      <c r="Q270" s="1">
        <v>7</v>
      </c>
      <c r="R270" s="1">
        <v>8</v>
      </c>
      <c r="S270" s="12">
        <v>9</v>
      </c>
      <c r="T270" s="12" t="s">
        <v>14</v>
      </c>
    </row>
    <row r="271" spans="2:20" x14ac:dyDescent="0.5">
      <c r="B271" s="17" t="s">
        <v>7</v>
      </c>
      <c r="C271" s="11">
        <v>9</v>
      </c>
      <c r="D271" s="1">
        <v>8</v>
      </c>
      <c r="E271" s="1">
        <v>7</v>
      </c>
      <c r="F271" s="1">
        <v>6</v>
      </c>
      <c r="G271" s="1">
        <v>5</v>
      </c>
      <c r="H271" s="1">
        <v>4</v>
      </c>
      <c r="I271" s="1">
        <v>3</v>
      </c>
      <c r="J271" s="1">
        <v>2</v>
      </c>
      <c r="K271" s="1">
        <v>1</v>
      </c>
      <c r="L271" s="1">
        <v>2</v>
      </c>
      <c r="M271" s="33">
        <v>3</v>
      </c>
      <c r="N271" s="1">
        <v>4</v>
      </c>
      <c r="O271" s="1">
        <v>5</v>
      </c>
      <c r="P271" s="1">
        <v>6</v>
      </c>
      <c r="Q271" s="1">
        <v>7</v>
      </c>
      <c r="R271" s="1">
        <v>8</v>
      </c>
      <c r="S271" s="12">
        <v>9</v>
      </c>
      <c r="T271" s="12" t="s">
        <v>15</v>
      </c>
    </row>
    <row r="272" spans="2:20" x14ac:dyDescent="0.5">
      <c r="B272" s="17" t="s">
        <v>7</v>
      </c>
      <c r="C272" s="11">
        <v>9</v>
      </c>
      <c r="D272" s="1">
        <v>8</v>
      </c>
      <c r="E272" s="1">
        <v>7</v>
      </c>
      <c r="F272" s="1">
        <v>6</v>
      </c>
      <c r="G272" s="1">
        <v>5</v>
      </c>
      <c r="H272" s="1">
        <v>4</v>
      </c>
      <c r="I272" s="1">
        <v>3</v>
      </c>
      <c r="J272" s="1">
        <v>2</v>
      </c>
      <c r="K272" s="1">
        <v>1</v>
      </c>
      <c r="L272" s="1">
        <v>2</v>
      </c>
      <c r="M272" s="1">
        <v>3</v>
      </c>
      <c r="N272" s="33">
        <v>4</v>
      </c>
      <c r="O272" s="1">
        <v>5</v>
      </c>
      <c r="P272" s="1">
        <v>6</v>
      </c>
      <c r="Q272" s="1">
        <v>7</v>
      </c>
      <c r="R272" s="1">
        <v>8</v>
      </c>
      <c r="S272" s="12">
        <v>9</v>
      </c>
      <c r="T272" s="12" t="s">
        <v>16</v>
      </c>
    </row>
    <row r="273" spans="2:20" x14ac:dyDescent="0.5">
      <c r="B273" s="17" t="s">
        <v>7</v>
      </c>
      <c r="C273" s="11">
        <v>9</v>
      </c>
      <c r="D273" s="1">
        <v>8</v>
      </c>
      <c r="E273" s="1">
        <v>7</v>
      </c>
      <c r="F273" s="1">
        <v>6</v>
      </c>
      <c r="G273" s="1">
        <v>5</v>
      </c>
      <c r="H273" s="1">
        <v>4</v>
      </c>
      <c r="I273" s="1">
        <v>3</v>
      </c>
      <c r="J273" s="1">
        <v>2</v>
      </c>
      <c r="K273" s="1">
        <v>1</v>
      </c>
      <c r="L273" s="1">
        <v>2</v>
      </c>
      <c r="M273" s="1">
        <v>3</v>
      </c>
      <c r="N273" s="33">
        <v>4</v>
      </c>
      <c r="O273" s="1">
        <v>5</v>
      </c>
      <c r="P273" s="1">
        <v>6</v>
      </c>
      <c r="Q273" s="1">
        <v>7</v>
      </c>
      <c r="R273" s="1">
        <v>8</v>
      </c>
      <c r="S273" s="12">
        <v>9</v>
      </c>
      <c r="T273" s="12" t="s">
        <v>17</v>
      </c>
    </row>
    <row r="274" spans="2:20" x14ac:dyDescent="0.5">
      <c r="B274" s="19" t="s">
        <v>7</v>
      </c>
      <c r="C274" s="13">
        <v>9</v>
      </c>
      <c r="D274" s="14">
        <v>8</v>
      </c>
      <c r="E274" s="14">
        <v>7</v>
      </c>
      <c r="F274" s="14">
        <v>6</v>
      </c>
      <c r="G274" s="14">
        <v>5</v>
      </c>
      <c r="H274" s="14">
        <v>4</v>
      </c>
      <c r="I274" s="14">
        <v>3</v>
      </c>
      <c r="J274" s="14">
        <v>2</v>
      </c>
      <c r="K274" s="14">
        <v>1</v>
      </c>
      <c r="L274" s="14">
        <v>2</v>
      </c>
      <c r="M274" s="34">
        <v>3</v>
      </c>
      <c r="N274" s="14">
        <v>4</v>
      </c>
      <c r="O274" s="14">
        <v>5</v>
      </c>
      <c r="P274" s="14">
        <v>6</v>
      </c>
      <c r="Q274" s="14">
        <v>7</v>
      </c>
      <c r="R274" s="14">
        <v>8</v>
      </c>
      <c r="S274" s="15">
        <v>9</v>
      </c>
      <c r="T274" s="15" t="s">
        <v>18</v>
      </c>
    </row>
    <row r="275" spans="2:20" x14ac:dyDescent="0.5">
      <c r="B275" s="16" t="s">
        <v>8</v>
      </c>
      <c r="C275" s="11">
        <v>9</v>
      </c>
      <c r="D275" s="1">
        <v>8</v>
      </c>
      <c r="E275" s="1">
        <v>7</v>
      </c>
      <c r="F275" s="1">
        <v>6</v>
      </c>
      <c r="G275" s="1">
        <v>5</v>
      </c>
      <c r="H275" s="1">
        <v>4</v>
      </c>
      <c r="I275" s="1">
        <v>3</v>
      </c>
      <c r="J275" s="1">
        <v>2</v>
      </c>
      <c r="K275" s="33">
        <v>1</v>
      </c>
      <c r="L275" s="1">
        <v>2</v>
      </c>
      <c r="M275" s="1">
        <v>3</v>
      </c>
      <c r="N275" s="1">
        <v>4</v>
      </c>
      <c r="O275" s="1">
        <v>5</v>
      </c>
      <c r="P275" s="1">
        <v>6</v>
      </c>
      <c r="Q275" s="1">
        <v>7</v>
      </c>
      <c r="R275" s="1">
        <v>8</v>
      </c>
      <c r="S275" s="12">
        <v>9</v>
      </c>
      <c r="T275" s="12" t="s">
        <v>9</v>
      </c>
    </row>
    <row r="276" spans="2:20" x14ac:dyDescent="0.5">
      <c r="B276" s="17" t="s">
        <v>8</v>
      </c>
      <c r="C276" s="11">
        <v>9</v>
      </c>
      <c r="D276" s="1">
        <v>8</v>
      </c>
      <c r="E276" s="33">
        <v>7</v>
      </c>
      <c r="F276" s="1">
        <v>6</v>
      </c>
      <c r="G276" s="1">
        <v>5</v>
      </c>
      <c r="H276" s="1">
        <v>4</v>
      </c>
      <c r="I276" s="1">
        <v>3</v>
      </c>
      <c r="J276" s="1">
        <v>2</v>
      </c>
      <c r="K276" s="1">
        <v>1</v>
      </c>
      <c r="L276" s="1">
        <v>2</v>
      </c>
      <c r="M276" s="1">
        <v>3</v>
      </c>
      <c r="N276" s="1">
        <v>4</v>
      </c>
      <c r="O276" s="1">
        <v>5</v>
      </c>
      <c r="P276" s="1">
        <v>6</v>
      </c>
      <c r="Q276" s="1">
        <v>7</v>
      </c>
      <c r="R276" s="1">
        <v>8</v>
      </c>
      <c r="S276" s="12">
        <v>9</v>
      </c>
      <c r="T276" s="12" t="s">
        <v>10</v>
      </c>
    </row>
    <row r="277" spans="2:20" x14ac:dyDescent="0.5">
      <c r="B277" s="17" t="s">
        <v>8</v>
      </c>
      <c r="C277" s="11">
        <v>9</v>
      </c>
      <c r="D277" s="1">
        <v>8</v>
      </c>
      <c r="E277" s="1">
        <v>7</v>
      </c>
      <c r="F277" s="1">
        <v>6</v>
      </c>
      <c r="G277" s="1">
        <v>5</v>
      </c>
      <c r="H277" s="1">
        <v>4</v>
      </c>
      <c r="I277" s="33">
        <v>3</v>
      </c>
      <c r="J277" s="1">
        <v>2</v>
      </c>
      <c r="K277" s="1">
        <v>1</v>
      </c>
      <c r="L277" s="1">
        <v>2</v>
      </c>
      <c r="M277" s="1">
        <v>3</v>
      </c>
      <c r="N277" s="1">
        <v>4</v>
      </c>
      <c r="O277" s="1">
        <v>5</v>
      </c>
      <c r="P277" s="1">
        <v>6</v>
      </c>
      <c r="Q277" s="1">
        <v>7</v>
      </c>
      <c r="R277" s="1">
        <v>8</v>
      </c>
      <c r="S277" s="12">
        <v>9</v>
      </c>
      <c r="T277" s="12" t="s">
        <v>11</v>
      </c>
    </row>
    <row r="278" spans="2:20" x14ac:dyDescent="0.5">
      <c r="B278" s="17" t="s">
        <v>8</v>
      </c>
      <c r="C278" s="11">
        <v>9</v>
      </c>
      <c r="D278" s="1">
        <v>8</v>
      </c>
      <c r="E278" s="1">
        <v>7</v>
      </c>
      <c r="F278" s="1">
        <v>6</v>
      </c>
      <c r="G278" s="1">
        <v>5</v>
      </c>
      <c r="H278" s="1">
        <v>4</v>
      </c>
      <c r="I278" s="1">
        <v>3</v>
      </c>
      <c r="J278" s="33">
        <v>2</v>
      </c>
      <c r="K278" s="1">
        <v>1</v>
      </c>
      <c r="L278" s="1">
        <v>2</v>
      </c>
      <c r="M278" s="1">
        <v>3</v>
      </c>
      <c r="N278" s="1">
        <v>4</v>
      </c>
      <c r="O278" s="1">
        <v>5</v>
      </c>
      <c r="P278" s="1">
        <v>6</v>
      </c>
      <c r="Q278" s="1">
        <v>7</v>
      </c>
      <c r="R278" s="1">
        <v>8</v>
      </c>
      <c r="S278" s="12">
        <v>9</v>
      </c>
      <c r="T278" s="12" t="s">
        <v>12</v>
      </c>
    </row>
    <row r="279" spans="2:20" x14ac:dyDescent="0.5">
      <c r="B279" s="17" t="s">
        <v>8</v>
      </c>
      <c r="C279" s="11">
        <v>9</v>
      </c>
      <c r="D279" s="1">
        <v>8</v>
      </c>
      <c r="E279" s="1">
        <v>7</v>
      </c>
      <c r="F279" s="33">
        <v>6</v>
      </c>
      <c r="G279" s="1">
        <v>5</v>
      </c>
      <c r="H279" s="1">
        <v>4</v>
      </c>
      <c r="I279" s="1">
        <v>3</v>
      </c>
      <c r="J279" s="1">
        <v>2</v>
      </c>
      <c r="K279" s="1">
        <v>1</v>
      </c>
      <c r="L279" s="1">
        <v>2</v>
      </c>
      <c r="M279" s="1">
        <v>3</v>
      </c>
      <c r="N279" s="1">
        <v>4</v>
      </c>
      <c r="O279" s="1">
        <v>5</v>
      </c>
      <c r="P279" s="1">
        <v>6</v>
      </c>
      <c r="Q279" s="1">
        <v>7</v>
      </c>
      <c r="R279" s="1">
        <v>8</v>
      </c>
      <c r="S279" s="12">
        <v>9</v>
      </c>
      <c r="T279" s="12" t="s">
        <v>13</v>
      </c>
    </row>
    <row r="280" spans="2:20" x14ac:dyDescent="0.5">
      <c r="B280" s="17" t="s">
        <v>8</v>
      </c>
      <c r="C280" s="11">
        <v>9</v>
      </c>
      <c r="D280" s="1">
        <v>8</v>
      </c>
      <c r="E280" s="1">
        <v>7</v>
      </c>
      <c r="F280" s="1">
        <v>6</v>
      </c>
      <c r="G280" s="1">
        <v>5</v>
      </c>
      <c r="H280" s="33">
        <v>4</v>
      </c>
      <c r="I280" s="1">
        <v>3</v>
      </c>
      <c r="J280" s="1">
        <v>2</v>
      </c>
      <c r="K280" s="1">
        <v>1</v>
      </c>
      <c r="L280" s="1">
        <v>2</v>
      </c>
      <c r="M280" s="1">
        <v>3</v>
      </c>
      <c r="N280" s="1">
        <v>4</v>
      </c>
      <c r="O280" s="1">
        <v>5</v>
      </c>
      <c r="P280" s="1">
        <v>6</v>
      </c>
      <c r="Q280" s="1">
        <v>7</v>
      </c>
      <c r="R280" s="1">
        <v>8</v>
      </c>
      <c r="S280" s="12">
        <v>9</v>
      </c>
      <c r="T280" s="12" t="s">
        <v>14</v>
      </c>
    </row>
    <row r="281" spans="2:20" x14ac:dyDescent="0.5">
      <c r="B281" s="17" t="s">
        <v>8</v>
      </c>
      <c r="C281" s="11">
        <v>9</v>
      </c>
      <c r="D281" s="1">
        <v>8</v>
      </c>
      <c r="E281" s="1">
        <v>7</v>
      </c>
      <c r="F281" s="1">
        <v>6</v>
      </c>
      <c r="G281" s="1">
        <v>5</v>
      </c>
      <c r="H281" s="1">
        <v>4</v>
      </c>
      <c r="I281" s="33">
        <v>3</v>
      </c>
      <c r="J281" s="1">
        <v>2</v>
      </c>
      <c r="K281" s="1">
        <v>1</v>
      </c>
      <c r="L281" s="1">
        <v>2</v>
      </c>
      <c r="M281" s="1">
        <v>3</v>
      </c>
      <c r="N281" s="1">
        <v>4</v>
      </c>
      <c r="O281" s="1">
        <v>5</v>
      </c>
      <c r="P281" s="1">
        <v>6</v>
      </c>
      <c r="Q281" s="1">
        <v>7</v>
      </c>
      <c r="R281" s="1">
        <v>8</v>
      </c>
      <c r="S281" s="12">
        <v>9</v>
      </c>
      <c r="T281" s="12" t="s">
        <v>15</v>
      </c>
    </row>
    <row r="282" spans="2:20" x14ac:dyDescent="0.5">
      <c r="B282" s="17" t="s">
        <v>8</v>
      </c>
      <c r="C282" s="11">
        <v>9</v>
      </c>
      <c r="D282" s="1">
        <v>8</v>
      </c>
      <c r="E282" s="1">
        <v>7</v>
      </c>
      <c r="F282" s="1">
        <v>6</v>
      </c>
      <c r="G282" s="1">
        <v>5</v>
      </c>
      <c r="H282" s="1">
        <v>4</v>
      </c>
      <c r="I282" s="1">
        <v>3</v>
      </c>
      <c r="J282" s="1">
        <v>2</v>
      </c>
      <c r="K282" s="1">
        <v>1</v>
      </c>
      <c r="L282" s="1">
        <v>2</v>
      </c>
      <c r="M282" s="33">
        <v>3</v>
      </c>
      <c r="N282" s="1">
        <v>4</v>
      </c>
      <c r="O282" s="1">
        <v>5</v>
      </c>
      <c r="P282" s="1">
        <v>6</v>
      </c>
      <c r="Q282" s="1">
        <v>7</v>
      </c>
      <c r="R282" s="1">
        <v>8</v>
      </c>
      <c r="S282" s="12">
        <v>9</v>
      </c>
      <c r="T282" s="12" t="s">
        <v>16</v>
      </c>
    </row>
    <row r="283" spans="2:20" x14ac:dyDescent="0.5">
      <c r="B283" s="17" t="s">
        <v>8</v>
      </c>
      <c r="C283" s="11">
        <v>9</v>
      </c>
      <c r="D283" s="1">
        <v>8</v>
      </c>
      <c r="E283" s="1">
        <v>7</v>
      </c>
      <c r="F283" s="1">
        <v>6</v>
      </c>
      <c r="G283" s="1">
        <v>5</v>
      </c>
      <c r="H283" s="1">
        <v>4</v>
      </c>
      <c r="I283" s="1">
        <v>3</v>
      </c>
      <c r="J283" s="1">
        <v>2</v>
      </c>
      <c r="K283" s="1">
        <v>1</v>
      </c>
      <c r="L283" s="1">
        <v>2</v>
      </c>
      <c r="M283" s="33">
        <v>3</v>
      </c>
      <c r="N283" s="1">
        <v>4</v>
      </c>
      <c r="O283" s="1">
        <v>5</v>
      </c>
      <c r="P283" s="1">
        <v>6</v>
      </c>
      <c r="Q283" s="1">
        <v>7</v>
      </c>
      <c r="R283" s="1">
        <v>8</v>
      </c>
      <c r="S283" s="12">
        <v>9</v>
      </c>
      <c r="T283" s="12" t="s">
        <v>17</v>
      </c>
    </row>
    <row r="284" spans="2:20" x14ac:dyDescent="0.5">
      <c r="B284" s="19" t="s">
        <v>8</v>
      </c>
      <c r="C284" s="13">
        <v>9</v>
      </c>
      <c r="D284" s="14">
        <v>8</v>
      </c>
      <c r="E284" s="14">
        <v>7</v>
      </c>
      <c r="F284" s="14">
        <v>6</v>
      </c>
      <c r="G284" s="14">
        <v>5</v>
      </c>
      <c r="H284" s="14">
        <v>4</v>
      </c>
      <c r="I284" s="34">
        <v>3</v>
      </c>
      <c r="J284" s="14">
        <v>2</v>
      </c>
      <c r="K284" s="14">
        <v>1</v>
      </c>
      <c r="L284" s="14">
        <v>2</v>
      </c>
      <c r="M284" s="14">
        <v>3</v>
      </c>
      <c r="N284" s="14">
        <v>4</v>
      </c>
      <c r="O284" s="14">
        <v>5</v>
      </c>
      <c r="P284" s="14">
        <v>6</v>
      </c>
      <c r="Q284" s="14">
        <v>7</v>
      </c>
      <c r="R284" s="14">
        <v>8</v>
      </c>
      <c r="S284" s="15">
        <v>9</v>
      </c>
      <c r="T284" s="15" t="s">
        <v>18</v>
      </c>
    </row>
    <row r="285" spans="2:20" x14ac:dyDescent="0.5">
      <c r="B285" s="16" t="s">
        <v>9</v>
      </c>
      <c r="C285" s="11">
        <v>9</v>
      </c>
      <c r="D285" s="1">
        <v>8</v>
      </c>
      <c r="E285" s="33">
        <v>7</v>
      </c>
      <c r="F285" s="1">
        <v>6</v>
      </c>
      <c r="G285" s="1">
        <v>5</v>
      </c>
      <c r="H285" s="1">
        <v>4</v>
      </c>
      <c r="I285" s="1">
        <v>3</v>
      </c>
      <c r="J285" s="1">
        <v>2</v>
      </c>
      <c r="K285" s="1">
        <v>1</v>
      </c>
      <c r="L285" s="1">
        <v>2</v>
      </c>
      <c r="M285" s="1">
        <v>3</v>
      </c>
      <c r="N285" s="1">
        <v>4</v>
      </c>
      <c r="O285" s="1">
        <v>5</v>
      </c>
      <c r="P285" s="1">
        <v>6</v>
      </c>
      <c r="Q285" s="1">
        <v>7</v>
      </c>
      <c r="R285" s="1">
        <v>8</v>
      </c>
      <c r="S285" s="12">
        <v>9</v>
      </c>
      <c r="T285" s="12" t="s">
        <v>10</v>
      </c>
    </row>
    <row r="286" spans="2:20" x14ac:dyDescent="0.5">
      <c r="B286" s="17" t="s">
        <v>9</v>
      </c>
      <c r="C286" s="11">
        <v>9</v>
      </c>
      <c r="D286" s="1">
        <v>8</v>
      </c>
      <c r="E286" s="1">
        <v>7</v>
      </c>
      <c r="F286" s="1">
        <v>6</v>
      </c>
      <c r="G286" s="1">
        <v>5</v>
      </c>
      <c r="H286" s="1">
        <v>4</v>
      </c>
      <c r="I286" s="33">
        <v>3</v>
      </c>
      <c r="J286" s="1">
        <v>2</v>
      </c>
      <c r="K286" s="1">
        <v>1</v>
      </c>
      <c r="L286" s="1">
        <v>2</v>
      </c>
      <c r="M286" s="1">
        <v>3</v>
      </c>
      <c r="N286" s="1">
        <v>4</v>
      </c>
      <c r="O286" s="1">
        <v>5</v>
      </c>
      <c r="P286" s="1">
        <v>6</v>
      </c>
      <c r="Q286" s="1">
        <v>7</v>
      </c>
      <c r="R286" s="1">
        <v>8</v>
      </c>
      <c r="S286" s="12">
        <v>9</v>
      </c>
      <c r="T286" s="12" t="s">
        <v>11</v>
      </c>
    </row>
    <row r="287" spans="2:20" x14ac:dyDescent="0.5">
      <c r="B287" s="17" t="s">
        <v>9</v>
      </c>
      <c r="C287" s="11">
        <v>9</v>
      </c>
      <c r="D287" s="1">
        <v>8</v>
      </c>
      <c r="E287" s="1">
        <v>7</v>
      </c>
      <c r="F287" s="1">
        <v>6</v>
      </c>
      <c r="G287" s="1">
        <v>5</v>
      </c>
      <c r="H287" s="1">
        <v>4</v>
      </c>
      <c r="I287" s="1">
        <v>3</v>
      </c>
      <c r="J287" s="33">
        <v>2</v>
      </c>
      <c r="K287" s="1">
        <v>1</v>
      </c>
      <c r="L287" s="1">
        <v>2</v>
      </c>
      <c r="M287" s="1">
        <v>3</v>
      </c>
      <c r="N287" s="1">
        <v>4</v>
      </c>
      <c r="O287" s="1">
        <v>5</v>
      </c>
      <c r="P287" s="1">
        <v>6</v>
      </c>
      <c r="Q287" s="1">
        <v>7</v>
      </c>
      <c r="R287" s="1">
        <v>8</v>
      </c>
      <c r="S287" s="12">
        <v>9</v>
      </c>
      <c r="T287" s="12" t="s">
        <v>12</v>
      </c>
    </row>
    <row r="288" spans="2:20" x14ac:dyDescent="0.5">
      <c r="B288" s="17" t="s">
        <v>9</v>
      </c>
      <c r="C288" s="11">
        <v>9</v>
      </c>
      <c r="D288" s="1">
        <v>8</v>
      </c>
      <c r="E288" s="1">
        <v>7</v>
      </c>
      <c r="F288" s="33">
        <v>6</v>
      </c>
      <c r="G288" s="1">
        <v>5</v>
      </c>
      <c r="H288" s="1">
        <v>4</v>
      </c>
      <c r="I288" s="1">
        <v>3</v>
      </c>
      <c r="J288" s="1">
        <v>2</v>
      </c>
      <c r="K288" s="1">
        <v>1</v>
      </c>
      <c r="L288" s="1">
        <v>2</v>
      </c>
      <c r="M288" s="1">
        <v>3</v>
      </c>
      <c r="N288" s="1">
        <v>4</v>
      </c>
      <c r="O288" s="1">
        <v>5</v>
      </c>
      <c r="P288" s="1">
        <v>6</v>
      </c>
      <c r="Q288" s="1">
        <v>7</v>
      </c>
      <c r="R288" s="1">
        <v>8</v>
      </c>
      <c r="S288" s="12">
        <v>9</v>
      </c>
      <c r="T288" s="12" t="s">
        <v>13</v>
      </c>
    </row>
    <row r="289" spans="2:20" x14ac:dyDescent="0.5">
      <c r="B289" s="17" t="s">
        <v>9</v>
      </c>
      <c r="C289" s="11">
        <v>9</v>
      </c>
      <c r="D289" s="1">
        <v>8</v>
      </c>
      <c r="E289" s="1">
        <v>7</v>
      </c>
      <c r="F289" s="1">
        <v>6</v>
      </c>
      <c r="G289" s="1">
        <v>5</v>
      </c>
      <c r="H289" s="33">
        <v>4</v>
      </c>
      <c r="I289" s="1">
        <v>3</v>
      </c>
      <c r="J289" s="1">
        <v>2</v>
      </c>
      <c r="K289" s="1">
        <v>1</v>
      </c>
      <c r="L289" s="1">
        <v>2</v>
      </c>
      <c r="M289" s="1">
        <v>3</v>
      </c>
      <c r="N289" s="1">
        <v>4</v>
      </c>
      <c r="O289" s="1">
        <v>5</v>
      </c>
      <c r="P289" s="1">
        <v>6</v>
      </c>
      <c r="Q289" s="1">
        <v>7</v>
      </c>
      <c r="R289" s="1">
        <v>8</v>
      </c>
      <c r="S289" s="12">
        <v>9</v>
      </c>
      <c r="T289" s="12" t="s">
        <v>14</v>
      </c>
    </row>
    <row r="290" spans="2:20" x14ac:dyDescent="0.5">
      <c r="B290" s="17" t="s">
        <v>9</v>
      </c>
      <c r="C290" s="11">
        <v>9</v>
      </c>
      <c r="D290" s="1">
        <v>8</v>
      </c>
      <c r="E290" s="1">
        <v>7</v>
      </c>
      <c r="F290" s="1">
        <v>6</v>
      </c>
      <c r="G290" s="1">
        <v>5</v>
      </c>
      <c r="H290" s="1">
        <v>4</v>
      </c>
      <c r="I290" s="33">
        <v>3</v>
      </c>
      <c r="J290" s="1">
        <v>2</v>
      </c>
      <c r="K290" s="1">
        <v>1</v>
      </c>
      <c r="L290" s="1">
        <v>2</v>
      </c>
      <c r="M290" s="1">
        <v>3</v>
      </c>
      <c r="N290" s="1">
        <v>4</v>
      </c>
      <c r="O290" s="1">
        <v>5</v>
      </c>
      <c r="P290" s="1">
        <v>6</v>
      </c>
      <c r="Q290" s="1">
        <v>7</v>
      </c>
      <c r="R290" s="1">
        <v>8</v>
      </c>
      <c r="S290" s="12">
        <v>9</v>
      </c>
      <c r="T290" s="12" t="s">
        <v>15</v>
      </c>
    </row>
    <row r="291" spans="2:20" x14ac:dyDescent="0.5">
      <c r="B291" s="17" t="s">
        <v>9</v>
      </c>
      <c r="C291" s="11">
        <v>9</v>
      </c>
      <c r="D291" s="1">
        <v>8</v>
      </c>
      <c r="E291" s="1">
        <v>7</v>
      </c>
      <c r="F291" s="1">
        <v>6</v>
      </c>
      <c r="G291" s="1">
        <v>5</v>
      </c>
      <c r="H291" s="1">
        <v>4</v>
      </c>
      <c r="I291" s="1">
        <v>3</v>
      </c>
      <c r="J291" s="1">
        <v>2</v>
      </c>
      <c r="K291" s="1">
        <v>1</v>
      </c>
      <c r="L291" s="1">
        <v>2</v>
      </c>
      <c r="M291" s="33">
        <v>3</v>
      </c>
      <c r="N291" s="1">
        <v>4</v>
      </c>
      <c r="O291" s="1">
        <v>5</v>
      </c>
      <c r="P291" s="1">
        <v>6</v>
      </c>
      <c r="Q291" s="1">
        <v>7</v>
      </c>
      <c r="R291" s="1">
        <v>8</v>
      </c>
      <c r="S291" s="12">
        <v>9</v>
      </c>
      <c r="T291" s="12" t="s">
        <v>16</v>
      </c>
    </row>
    <row r="292" spans="2:20" x14ac:dyDescent="0.5">
      <c r="B292" s="17" t="s">
        <v>9</v>
      </c>
      <c r="C292" s="11">
        <v>9</v>
      </c>
      <c r="D292" s="1">
        <v>8</v>
      </c>
      <c r="E292" s="1">
        <v>7</v>
      </c>
      <c r="F292" s="1">
        <v>6</v>
      </c>
      <c r="G292" s="1">
        <v>5</v>
      </c>
      <c r="H292" s="1">
        <v>4</v>
      </c>
      <c r="I292" s="1">
        <v>3</v>
      </c>
      <c r="J292" s="1">
        <v>2</v>
      </c>
      <c r="K292" s="1">
        <v>1</v>
      </c>
      <c r="L292" s="1">
        <v>2</v>
      </c>
      <c r="M292" s="33">
        <v>3</v>
      </c>
      <c r="N292" s="1">
        <v>4</v>
      </c>
      <c r="O292" s="1">
        <v>5</v>
      </c>
      <c r="P292" s="1">
        <v>6</v>
      </c>
      <c r="Q292" s="1">
        <v>7</v>
      </c>
      <c r="R292" s="1">
        <v>8</v>
      </c>
      <c r="S292" s="12">
        <v>9</v>
      </c>
      <c r="T292" s="12" t="s">
        <v>17</v>
      </c>
    </row>
    <row r="293" spans="2:20" x14ac:dyDescent="0.5">
      <c r="B293" s="19" t="s">
        <v>9</v>
      </c>
      <c r="C293" s="13">
        <v>9</v>
      </c>
      <c r="D293" s="14">
        <v>8</v>
      </c>
      <c r="E293" s="14">
        <v>7</v>
      </c>
      <c r="F293" s="14">
        <v>6</v>
      </c>
      <c r="G293" s="14">
        <v>5</v>
      </c>
      <c r="H293" s="14">
        <v>4</v>
      </c>
      <c r="I293" s="34">
        <v>3</v>
      </c>
      <c r="J293" s="14">
        <v>2</v>
      </c>
      <c r="K293" s="14">
        <v>1</v>
      </c>
      <c r="L293" s="14">
        <v>2</v>
      </c>
      <c r="M293" s="14">
        <v>3</v>
      </c>
      <c r="N293" s="14">
        <v>4</v>
      </c>
      <c r="O293" s="14">
        <v>5</v>
      </c>
      <c r="P293" s="14">
        <v>6</v>
      </c>
      <c r="Q293" s="14">
        <v>7</v>
      </c>
      <c r="R293" s="14">
        <v>8</v>
      </c>
      <c r="S293" s="15">
        <v>9</v>
      </c>
      <c r="T293" s="15" t="s">
        <v>18</v>
      </c>
    </row>
    <row r="294" spans="2:20" x14ac:dyDescent="0.5">
      <c r="B294" s="16" t="s">
        <v>10</v>
      </c>
      <c r="C294" s="11">
        <v>9</v>
      </c>
      <c r="D294" s="1">
        <v>8</v>
      </c>
      <c r="E294" s="1">
        <v>7</v>
      </c>
      <c r="F294" s="1">
        <v>6</v>
      </c>
      <c r="G294" s="1">
        <v>5</v>
      </c>
      <c r="H294" s="1">
        <v>4</v>
      </c>
      <c r="I294" s="1">
        <v>3</v>
      </c>
      <c r="J294" s="1">
        <v>2</v>
      </c>
      <c r="K294" s="1">
        <v>1</v>
      </c>
      <c r="L294" s="1">
        <v>2</v>
      </c>
      <c r="M294" s="1">
        <v>3</v>
      </c>
      <c r="N294" s="33">
        <v>4</v>
      </c>
      <c r="O294" s="1">
        <v>5</v>
      </c>
      <c r="P294" s="1">
        <v>6</v>
      </c>
      <c r="Q294" s="1">
        <v>7</v>
      </c>
      <c r="R294" s="1">
        <v>8</v>
      </c>
      <c r="S294" s="12">
        <v>9</v>
      </c>
      <c r="T294" s="12" t="s">
        <v>11</v>
      </c>
    </row>
    <row r="295" spans="2:20" x14ac:dyDescent="0.5">
      <c r="B295" s="17" t="s">
        <v>10</v>
      </c>
      <c r="C295" s="11">
        <v>9</v>
      </c>
      <c r="D295" s="1">
        <v>8</v>
      </c>
      <c r="E295" s="1">
        <v>7</v>
      </c>
      <c r="F295" s="1">
        <v>6</v>
      </c>
      <c r="G295" s="1">
        <v>5</v>
      </c>
      <c r="H295" s="1">
        <v>4</v>
      </c>
      <c r="I295" s="1">
        <v>3</v>
      </c>
      <c r="J295" s="1">
        <v>2</v>
      </c>
      <c r="K295" s="1">
        <v>1</v>
      </c>
      <c r="L295" s="1">
        <v>2</v>
      </c>
      <c r="M295" s="1">
        <v>3</v>
      </c>
      <c r="N295" s="1">
        <v>4</v>
      </c>
      <c r="O295" s="33">
        <v>5</v>
      </c>
      <c r="P295" s="1">
        <v>6</v>
      </c>
      <c r="Q295" s="1">
        <v>7</v>
      </c>
      <c r="R295" s="1">
        <v>8</v>
      </c>
      <c r="S295" s="12">
        <v>9</v>
      </c>
      <c r="T295" s="12" t="s">
        <v>12</v>
      </c>
    </row>
    <row r="296" spans="2:20" x14ac:dyDescent="0.5">
      <c r="B296" s="17" t="s">
        <v>10</v>
      </c>
      <c r="C296" s="11">
        <v>9</v>
      </c>
      <c r="D296" s="1">
        <v>8</v>
      </c>
      <c r="E296" s="1">
        <v>7</v>
      </c>
      <c r="F296" s="1">
        <v>6</v>
      </c>
      <c r="G296" s="1">
        <v>5</v>
      </c>
      <c r="H296" s="1">
        <v>4</v>
      </c>
      <c r="I296" s="1">
        <v>3</v>
      </c>
      <c r="J296" s="1">
        <v>2</v>
      </c>
      <c r="K296" s="1">
        <v>1</v>
      </c>
      <c r="L296" s="1">
        <v>2</v>
      </c>
      <c r="M296" s="33">
        <v>3</v>
      </c>
      <c r="N296" s="1">
        <v>4</v>
      </c>
      <c r="O296" s="1">
        <v>5</v>
      </c>
      <c r="P296" s="1">
        <v>6</v>
      </c>
      <c r="Q296" s="1">
        <v>7</v>
      </c>
      <c r="R296" s="1">
        <v>8</v>
      </c>
      <c r="S296" s="12">
        <v>9</v>
      </c>
      <c r="T296" s="12" t="s">
        <v>13</v>
      </c>
    </row>
    <row r="297" spans="2:20" x14ac:dyDescent="0.5">
      <c r="B297" s="17" t="s">
        <v>10</v>
      </c>
      <c r="C297" s="11">
        <v>9</v>
      </c>
      <c r="D297" s="1">
        <v>8</v>
      </c>
      <c r="E297" s="1">
        <v>7</v>
      </c>
      <c r="F297" s="1">
        <v>6</v>
      </c>
      <c r="G297" s="1">
        <v>5</v>
      </c>
      <c r="H297" s="1">
        <v>4</v>
      </c>
      <c r="I297" s="1">
        <v>3</v>
      </c>
      <c r="J297" s="1">
        <v>2</v>
      </c>
      <c r="K297" s="1">
        <v>1</v>
      </c>
      <c r="L297" s="1">
        <v>2</v>
      </c>
      <c r="M297" s="1">
        <v>3</v>
      </c>
      <c r="N297" s="1">
        <v>4</v>
      </c>
      <c r="O297" s="33">
        <v>5</v>
      </c>
      <c r="P297" s="1">
        <v>6</v>
      </c>
      <c r="Q297" s="1">
        <v>7</v>
      </c>
      <c r="R297" s="1">
        <v>8</v>
      </c>
      <c r="S297" s="12">
        <v>9</v>
      </c>
      <c r="T297" s="12" t="s">
        <v>14</v>
      </c>
    </row>
    <row r="298" spans="2:20" x14ac:dyDescent="0.5">
      <c r="B298" s="17" t="s">
        <v>10</v>
      </c>
      <c r="C298" s="11">
        <v>9</v>
      </c>
      <c r="D298" s="1">
        <v>8</v>
      </c>
      <c r="E298" s="1">
        <v>7</v>
      </c>
      <c r="F298" s="1">
        <v>6</v>
      </c>
      <c r="G298" s="1">
        <v>5</v>
      </c>
      <c r="H298" s="1">
        <v>4</v>
      </c>
      <c r="I298" s="1">
        <v>3</v>
      </c>
      <c r="J298" s="1">
        <v>2</v>
      </c>
      <c r="K298" s="1">
        <v>1</v>
      </c>
      <c r="L298" s="1">
        <v>2</v>
      </c>
      <c r="M298" s="33">
        <v>3</v>
      </c>
      <c r="N298" s="1">
        <v>4</v>
      </c>
      <c r="O298" s="1">
        <v>5</v>
      </c>
      <c r="P298" s="1">
        <v>6</v>
      </c>
      <c r="Q298" s="1">
        <v>7</v>
      </c>
      <c r="R298" s="1">
        <v>8</v>
      </c>
      <c r="S298" s="12">
        <v>9</v>
      </c>
      <c r="T298" s="12" t="s">
        <v>15</v>
      </c>
    </row>
    <row r="299" spans="2:20" x14ac:dyDescent="0.5">
      <c r="B299" s="17" t="s">
        <v>10</v>
      </c>
      <c r="C299" s="11">
        <v>9</v>
      </c>
      <c r="D299" s="1">
        <v>8</v>
      </c>
      <c r="E299" s="1">
        <v>7</v>
      </c>
      <c r="F299" s="1">
        <v>6</v>
      </c>
      <c r="G299" s="1">
        <v>5</v>
      </c>
      <c r="H299" s="1">
        <v>4</v>
      </c>
      <c r="I299" s="1">
        <v>3</v>
      </c>
      <c r="J299" s="1">
        <v>2</v>
      </c>
      <c r="K299" s="1">
        <v>1</v>
      </c>
      <c r="L299" s="1">
        <v>2</v>
      </c>
      <c r="M299" s="1">
        <v>3</v>
      </c>
      <c r="N299" s="1">
        <v>4</v>
      </c>
      <c r="O299" s="33">
        <v>5</v>
      </c>
      <c r="P299" s="1">
        <v>6</v>
      </c>
      <c r="Q299" s="1">
        <v>7</v>
      </c>
      <c r="R299" s="1">
        <v>8</v>
      </c>
      <c r="S299" s="12">
        <v>9</v>
      </c>
      <c r="T299" s="12" t="s">
        <v>16</v>
      </c>
    </row>
    <row r="300" spans="2:20" x14ac:dyDescent="0.5">
      <c r="B300" s="17" t="s">
        <v>10</v>
      </c>
      <c r="C300" s="11">
        <v>9</v>
      </c>
      <c r="D300" s="1">
        <v>8</v>
      </c>
      <c r="E300" s="1">
        <v>7</v>
      </c>
      <c r="F300" s="1">
        <v>6</v>
      </c>
      <c r="G300" s="1">
        <v>5</v>
      </c>
      <c r="H300" s="1">
        <v>4</v>
      </c>
      <c r="I300" s="1">
        <v>3</v>
      </c>
      <c r="J300" s="1">
        <v>2</v>
      </c>
      <c r="K300" s="1">
        <v>1</v>
      </c>
      <c r="L300" s="1">
        <v>2</v>
      </c>
      <c r="M300" s="1">
        <v>3</v>
      </c>
      <c r="N300" s="1">
        <v>4</v>
      </c>
      <c r="O300" s="33">
        <v>5</v>
      </c>
      <c r="P300" s="1">
        <v>6</v>
      </c>
      <c r="Q300" s="1">
        <v>7</v>
      </c>
      <c r="R300" s="1">
        <v>8</v>
      </c>
      <c r="S300" s="12">
        <v>9</v>
      </c>
      <c r="T300" s="12" t="s">
        <v>17</v>
      </c>
    </row>
    <row r="301" spans="2:20" x14ac:dyDescent="0.5">
      <c r="B301" s="19" t="s">
        <v>10</v>
      </c>
      <c r="C301" s="13">
        <v>9</v>
      </c>
      <c r="D301" s="14">
        <v>8</v>
      </c>
      <c r="E301" s="14">
        <v>7</v>
      </c>
      <c r="F301" s="14">
        <v>6</v>
      </c>
      <c r="G301" s="14">
        <v>5</v>
      </c>
      <c r="H301" s="14">
        <v>4</v>
      </c>
      <c r="I301" s="14">
        <v>3</v>
      </c>
      <c r="J301" s="14">
        <v>2</v>
      </c>
      <c r="K301" s="14">
        <v>1</v>
      </c>
      <c r="L301" s="14">
        <v>2</v>
      </c>
      <c r="M301" s="34">
        <v>3</v>
      </c>
      <c r="N301" s="14">
        <v>4</v>
      </c>
      <c r="O301" s="14">
        <v>5</v>
      </c>
      <c r="P301" s="14">
        <v>6</v>
      </c>
      <c r="Q301" s="14">
        <v>7</v>
      </c>
      <c r="R301" s="14">
        <v>8</v>
      </c>
      <c r="S301" s="15">
        <v>9</v>
      </c>
      <c r="T301" s="15" t="s">
        <v>18</v>
      </c>
    </row>
    <row r="302" spans="2:20" x14ac:dyDescent="0.5">
      <c r="B302" s="16" t="s">
        <v>11</v>
      </c>
      <c r="C302" s="11">
        <v>9</v>
      </c>
      <c r="D302" s="1">
        <v>8</v>
      </c>
      <c r="E302" s="1">
        <v>7</v>
      </c>
      <c r="F302" s="1">
        <v>6</v>
      </c>
      <c r="G302" s="1">
        <v>5</v>
      </c>
      <c r="H302" s="1">
        <v>4</v>
      </c>
      <c r="I302" s="1">
        <v>3</v>
      </c>
      <c r="J302" s="1">
        <v>2</v>
      </c>
      <c r="K302" s="1">
        <v>1</v>
      </c>
      <c r="L302" s="33">
        <v>2</v>
      </c>
      <c r="M302" s="1">
        <v>3</v>
      </c>
      <c r="N302" s="1">
        <v>4</v>
      </c>
      <c r="O302" s="1">
        <v>5</v>
      </c>
      <c r="P302" s="1">
        <v>6</v>
      </c>
      <c r="Q302" s="1">
        <v>7</v>
      </c>
      <c r="R302" s="1">
        <v>8</v>
      </c>
      <c r="S302" s="12">
        <v>9</v>
      </c>
      <c r="T302" s="12" t="s">
        <v>12</v>
      </c>
    </row>
    <row r="303" spans="2:20" x14ac:dyDescent="0.5">
      <c r="B303" s="17" t="s">
        <v>11</v>
      </c>
      <c r="C303" s="11">
        <v>9</v>
      </c>
      <c r="D303" s="1">
        <v>8</v>
      </c>
      <c r="E303" s="1">
        <v>7</v>
      </c>
      <c r="F303" s="1">
        <v>6</v>
      </c>
      <c r="G303" s="1">
        <v>5</v>
      </c>
      <c r="H303" s="1">
        <v>4</v>
      </c>
      <c r="I303" s="33">
        <v>3</v>
      </c>
      <c r="J303" s="1">
        <v>2</v>
      </c>
      <c r="K303" s="1">
        <v>1</v>
      </c>
      <c r="L303" s="1">
        <v>2</v>
      </c>
      <c r="M303" s="1">
        <v>3</v>
      </c>
      <c r="N303" s="1">
        <v>4</v>
      </c>
      <c r="O303" s="1">
        <v>5</v>
      </c>
      <c r="P303" s="1">
        <v>6</v>
      </c>
      <c r="Q303" s="1">
        <v>7</v>
      </c>
      <c r="R303" s="1">
        <v>8</v>
      </c>
      <c r="S303" s="12">
        <v>9</v>
      </c>
      <c r="T303" s="12" t="s">
        <v>13</v>
      </c>
    </row>
    <row r="304" spans="2:20" x14ac:dyDescent="0.5">
      <c r="B304" s="17" t="s">
        <v>11</v>
      </c>
      <c r="C304" s="11">
        <v>9</v>
      </c>
      <c r="D304" s="1">
        <v>8</v>
      </c>
      <c r="E304" s="1">
        <v>7</v>
      </c>
      <c r="F304" s="1">
        <v>6</v>
      </c>
      <c r="G304" s="1">
        <v>5</v>
      </c>
      <c r="H304" s="1">
        <v>4</v>
      </c>
      <c r="I304" s="1">
        <v>3</v>
      </c>
      <c r="J304" s="1">
        <v>2</v>
      </c>
      <c r="K304" s="1">
        <v>1</v>
      </c>
      <c r="L304" s="1">
        <v>2</v>
      </c>
      <c r="M304" s="33">
        <v>3</v>
      </c>
      <c r="N304" s="1">
        <v>4</v>
      </c>
      <c r="O304" s="1">
        <v>5</v>
      </c>
      <c r="P304" s="1">
        <v>6</v>
      </c>
      <c r="Q304" s="1">
        <v>7</v>
      </c>
      <c r="R304" s="1">
        <v>8</v>
      </c>
      <c r="S304" s="12">
        <v>9</v>
      </c>
      <c r="T304" s="12" t="s">
        <v>14</v>
      </c>
    </row>
    <row r="305" spans="2:20" x14ac:dyDescent="0.5">
      <c r="B305" s="17" t="s">
        <v>11</v>
      </c>
      <c r="C305" s="11">
        <v>9</v>
      </c>
      <c r="D305" s="1">
        <v>8</v>
      </c>
      <c r="E305" s="1">
        <v>7</v>
      </c>
      <c r="F305" s="1">
        <v>6</v>
      </c>
      <c r="G305" s="1">
        <v>5</v>
      </c>
      <c r="H305" s="1">
        <v>4</v>
      </c>
      <c r="I305" s="1">
        <v>3</v>
      </c>
      <c r="J305" s="1">
        <v>2</v>
      </c>
      <c r="K305" s="1">
        <v>1</v>
      </c>
      <c r="L305" s="1">
        <v>2</v>
      </c>
      <c r="M305" s="33">
        <v>3</v>
      </c>
      <c r="N305" s="1">
        <v>4</v>
      </c>
      <c r="O305" s="1">
        <v>5</v>
      </c>
      <c r="P305" s="1">
        <v>6</v>
      </c>
      <c r="Q305" s="1">
        <v>7</v>
      </c>
      <c r="R305" s="1">
        <v>8</v>
      </c>
      <c r="S305" s="12">
        <v>9</v>
      </c>
      <c r="T305" s="12" t="s">
        <v>15</v>
      </c>
    </row>
    <row r="306" spans="2:20" x14ac:dyDescent="0.5">
      <c r="B306" s="17" t="s">
        <v>11</v>
      </c>
      <c r="C306" s="11">
        <v>9</v>
      </c>
      <c r="D306" s="1">
        <v>8</v>
      </c>
      <c r="E306" s="1">
        <v>7</v>
      </c>
      <c r="F306" s="1">
        <v>6</v>
      </c>
      <c r="G306" s="1">
        <v>5</v>
      </c>
      <c r="H306" s="1">
        <v>4</v>
      </c>
      <c r="I306" s="1">
        <v>3</v>
      </c>
      <c r="J306" s="1">
        <v>2</v>
      </c>
      <c r="K306" s="1">
        <v>1</v>
      </c>
      <c r="L306" s="33">
        <v>2</v>
      </c>
      <c r="M306" s="1">
        <v>3</v>
      </c>
      <c r="N306" s="1">
        <v>4</v>
      </c>
      <c r="O306" s="1">
        <v>5</v>
      </c>
      <c r="P306" s="1">
        <v>6</v>
      </c>
      <c r="Q306" s="1">
        <v>7</v>
      </c>
      <c r="R306" s="1">
        <v>8</v>
      </c>
      <c r="S306" s="12">
        <v>9</v>
      </c>
      <c r="T306" s="12" t="s">
        <v>16</v>
      </c>
    </row>
    <row r="307" spans="2:20" x14ac:dyDescent="0.5">
      <c r="B307" s="17" t="s">
        <v>11</v>
      </c>
      <c r="C307" s="11">
        <v>9</v>
      </c>
      <c r="D307" s="1">
        <v>8</v>
      </c>
      <c r="E307" s="1">
        <v>7</v>
      </c>
      <c r="F307" s="1">
        <v>6</v>
      </c>
      <c r="G307" s="1">
        <v>5</v>
      </c>
      <c r="H307" s="1">
        <v>4</v>
      </c>
      <c r="I307" s="1">
        <v>3</v>
      </c>
      <c r="J307" s="1">
        <v>2</v>
      </c>
      <c r="K307" s="1">
        <v>1</v>
      </c>
      <c r="L307" s="1">
        <v>2</v>
      </c>
      <c r="M307" s="33">
        <v>3</v>
      </c>
      <c r="N307" s="1">
        <v>4</v>
      </c>
      <c r="O307" s="1">
        <v>5</v>
      </c>
      <c r="P307" s="1">
        <v>6</v>
      </c>
      <c r="Q307" s="1">
        <v>7</v>
      </c>
      <c r="R307" s="1">
        <v>8</v>
      </c>
      <c r="S307" s="12">
        <v>9</v>
      </c>
      <c r="T307" s="12" t="s">
        <v>17</v>
      </c>
    </row>
    <row r="308" spans="2:20" x14ac:dyDescent="0.5">
      <c r="B308" s="19" t="s">
        <v>11</v>
      </c>
      <c r="C308" s="13">
        <v>9</v>
      </c>
      <c r="D308" s="14">
        <v>8</v>
      </c>
      <c r="E308" s="14">
        <v>7</v>
      </c>
      <c r="F308" s="14">
        <v>6</v>
      </c>
      <c r="G308" s="14">
        <v>5</v>
      </c>
      <c r="H308" s="14">
        <v>4</v>
      </c>
      <c r="I308" s="14">
        <v>3</v>
      </c>
      <c r="J308" s="14">
        <v>2</v>
      </c>
      <c r="K308" s="14">
        <v>1</v>
      </c>
      <c r="L308" s="14">
        <v>2</v>
      </c>
      <c r="M308" s="14">
        <v>3</v>
      </c>
      <c r="N308" s="34">
        <v>4</v>
      </c>
      <c r="O308" s="14">
        <v>5</v>
      </c>
      <c r="P308" s="14">
        <v>6</v>
      </c>
      <c r="Q308" s="14">
        <v>7</v>
      </c>
      <c r="R308" s="14">
        <v>8</v>
      </c>
      <c r="S308" s="15">
        <v>9</v>
      </c>
      <c r="T308" s="15" t="s">
        <v>18</v>
      </c>
    </row>
    <row r="309" spans="2:20" x14ac:dyDescent="0.5">
      <c r="B309" s="16" t="s">
        <v>12</v>
      </c>
      <c r="C309" s="11">
        <v>9</v>
      </c>
      <c r="D309" s="1">
        <v>8</v>
      </c>
      <c r="E309" s="1">
        <v>7</v>
      </c>
      <c r="F309" s="1">
        <v>6</v>
      </c>
      <c r="G309" s="1">
        <v>5</v>
      </c>
      <c r="H309" s="33">
        <v>4</v>
      </c>
      <c r="I309" s="1">
        <v>3</v>
      </c>
      <c r="J309" s="1">
        <v>2</v>
      </c>
      <c r="K309" s="1">
        <v>1</v>
      </c>
      <c r="L309" s="1">
        <v>2</v>
      </c>
      <c r="M309" s="1">
        <v>3</v>
      </c>
      <c r="N309" s="1">
        <v>4</v>
      </c>
      <c r="O309" s="1">
        <v>5</v>
      </c>
      <c r="P309" s="1">
        <v>6</v>
      </c>
      <c r="Q309" s="1">
        <v>7</v>
      </c>
      <c r="R309" s="1">
        <v>8</v>
      </c>
      <c r="S309" s="12">
        <v>9</v>
      </c>
      <c r="T309" s="12" t="s">
        <v>13</v>
      </c>
    </row>
    <row r="310" spans="2:20" x14ac:dyDescent="0.5">
      <c r="B310" s="17" t="s">
        <v>12</v>
      </c>
      <c r="C310" s="11">
        <v>9</v>
      </c>
      <c r="D310" s="1">
        <v>8</v>
      </c>
      <c r="E310" s="1">
        <v>7</v>
      </c>
      <c r="F310" s="1">
        <v>6</v>
      </c>
      <c r="G310" s="1">
        <v>5</v>
      </c>
      <c r="H310" s="1">
        <v>4</v>
      </c>
      <c r="I310" s="33">
        <v>3</v>
      </c>
      <c r="J310" s="1">
        <v>2</v>
      </c>
      <c r="K310" s="1">
        <v>1</v>
      </c>
      <c r="L310" s="1">
        <v>2</v>
      </c>
      <c r="M310" s="1">
        <v>3</v>
      </c>
      <c r="N310" s="1">
        <v>4</v>
      </c>
      <c r="O310" s="1">
        <v>5</v>
      </c>
      <c r="P310" s="1">
        <v>6</v>
      </c>
      <c r="Q310" s="1">
        <v>7</v>
      </c>
      <c r="R310" s="1">
        <v>8</v>
      </c>
      <c r="S310" s="12">
        <v>9</v>
      </c>
      <c r="T310" s="12" t="s">
        <v>14</v>
      </c>
    </row>
    <row r="311" spans="2:20" x14ac:dyDescent="0.5">
      <c r="B311" s="17" t="s">
        <v>12</v>
      </c>
      <c r="C311" s="11">
        <v>9</v>
      </c>
      <c r="D311" s="1">
        <v>8</v>
      </c>
      <c r="E311" s="1">
        <v>7</v>
      </c>
      <c r="F311" s="1">
        <v>6</v>
      </c>
      <c r="G311" s="1">
        <v>5</v>
      </c>
      <c r="H311" s="1">
        <v>4</v>
      </c>
      <c r="I311" s="33">
        <v>3</v>
      </c>
      <c r="J311" s="1">
        <v>2</v>
      </c>
      <c r="K311" s="1">
        <v>1</v>
      </c>
      <c r="L311" s="1">
        <v>2</v>
      </c>
      <c r="M311" s="1">
        <v>3</v>
      </c>
      <c r="N311" s="1">
        <v>4</v>
      </c>
      <c r="O311" s="1">
        <v>5</v>
      </c>
      <c r="P311" s="1">
        <v>6</v>
      </c>
      <c r="Q311" s="1">
        <v>7</v>
      </c>
      <c r="R311" s="1">
        <v>8</v>
      </c>
      <c r="S311" s="12">
        <v>9</v>
      </c>
      <c r="T311" s="12" t="s">
        <v>15</v>
      </c>
    </row>
    <row r="312" spans="2:20" x14ac:dyDescent="0.5">
      <c r="B312" s="17" t="s">
        <v>12</v>
      </c>
      <c r="C312" s="11">
        <v>9</v>
      </c>
      <c r="D312" s="1">
        <v>8</v>
      </c>
      <c r="E312" s="1">
        <v>7</v>
      </c>
      <c r="F312" s="1">
        <v>6</v>
      </c>
      <c r="G312" s="1">
        <v>5</v>
      </c>
      <c r="H312" s="1">
        <v>4</v>
      </c>
      <c r="I312" s="1">
        <v>3</v>
      </c>
      <c r="J312" s="1">
        <v>2</v>
      </c>
      <c r="K312" s="1">
        <v>1</v>
      </c>
      <c r="L312" s="33">
        <v>2</v>
      </c>
      <c r="M312" s="1">
        <v>3</v>
      </c>
      <c r="N312" s="1">
        <v>4</v>
      </c>
      <c r="O312" s="1">
        <v>5</v>
      </c>
      <c r="P312" s="1">
        <v>6</v>
      </c>
      <c r="Q312" s="1">
        <v>7</v>
      </c>
      <c r="R312" s="1">
        <v>8</v>
      </c>
      <c r="S312" s="12">
        <v>9</v>
      </c>
      <c r="T312" s="12" t="s">
        <v>16</v>
      </c>
    </row>
    <row r="313" spans="2:20" x14ac:dyDescent="0.5">
      <c r="B313" s="17" t="s">
        <v>12</v>
      </c>
      <c r="C313" s="11">
        <v>9</v>
      </c>
      <c r="D313" s="1">
        <v>8</v>
      </c>
      <c r="E313" s="1">
        <v>7</v>
      </c>
      <c r="F313" s="1">
        <v>6</v>
      </c>
      <c r="G313" s="1">
        <v>5</v>
      </c>
      <c r="H313" s="1">
        <v>4</v>
      </c>
      <c r="I313" s="1">
        <v>3</v>
      </c>
      <c r="J313" s="1">
        <v>2</v>
      </c>
      <c r="K313" s="1">
        <v>1</v>
      </c>
      <c r="L313" s="1">
        <v>2</v>
      </c>
      <c r="M313" s="33">
        <v>3</v>
      </c>
      <c r="N313" s="1">
        <v>4</v>
      </c>
      <c r="O313" s="1">
        <v>5</v>
      </c>
      <c r="P313" s="1">
        <v>6</v>
      </c>
      <c r="Q313" s="1">
        <v>7</v>
      </c>
      <c r="R313" s="1">
        <v>8</v>
      </c>
      <c r="S313" s="12">
        <v>9</v>
      </c>
      <c r="T313" s="12" t="s">
        <v>17</v>
      </c>
    </row>
    <row r="314" spans="2:20" x14ac:dyDescent="0.5">
      <c r="B314" s="19" t="s">
        <v>12</v>
      </c>
      <c r="C314" s="13">
        <v>9</v>
      </c>
      <c r="D314" s="14">
        <v>8</v>
      </c>
      <c r="E314" s="14">
        <v>7</v>
      </c>
      <c r="F314" s="14">
        <v>6</v>
      </c>
      <c r="G314" s="14">
        <v>5</v>
      </c>
      <c r="H314" s="14">
        <v>4</v>
      </c>
      <c r="I314" s="34">
        <v>3</v>
      </c>
      <c r="J314" s="14">
        <v>2</v>
      </c>
      <c r="K314" s="14">
        <v>1</v>
      </c>
      <c r="L314" s="14">
        <v>2</v>
      </c>
      <c r="M314" s="14">
        <v>3</v>
      </c>
      <c r="N314" s="14">
        <v>4</v>
      </c>
      <c r="O314" s="14">
        <v>5</v>
      </c>
      <c r="P314" s="14">
        <v>6</v>
      </c>
      <c r="Q314" s="14">
        <v>7</v>
      </c>
      <c r="R314" s="14">
        <v>8</v>
      </c>
      <c r="S314" s="15">
        <v>9</v>
      </c>
      <c r="T314" s="15" t="s">
        <v>18</v>
      </c>
    </row>
    <row r="315" spans="2:20" x14ac:dyDescent="0.5">
      <c r="B315" s="16" t="s">
        <v>13</v>
      </c>
      <c r="C315" s="11">
        <v>9</v>
      </c>
      <c r="D315" s="1">
        <v>8</v>
      </c>
      <c r="E315" s="1">
        <v>7</v>
      </c>
      <c r="F315" s="1">
        <v>6</v>
      </c>
      <c r="G315" s="1">
        <v>5</v>
      </c>
      <c r="H315" s="1">
        <v>4</v>
      </c>
      <c r="I315" s="1">
        <v>3</v>
      </c>
      <c r="J315" s="1">
        <v>2</v>
      </c>
      <c r="K315" s="1">
        <v>1</v>
      </c>
      <c r="L315" s="1">
        <v>2</v>
      </c>
      <c r="M315" s="1">
        <v>3</v>
      </c>
      <c r="N315" s="33">
        <v>4</v>
      </c>
      <c r="O315" s="1">
        <v>5</v>
      </c>
      <c r="P315" s="1">
        <v>6</v>
      </c>
      <c r="Q315" s="1">
        <v>7</v>
      </c>
      <c r="R315" s="1">
        <v>8</v>
      </c>
      <c r="S315" s="12">
        <v>9</v>
      </c>
      <c r="T315" s="7" t="s">
        <v>14</v>
      </c>
    </row>
    <row r="316" spans="2:20" x14ac:dyDescent="0.5">
      <c r="B316" s="17" t="s">
        <v>13</v>
      </c>
      <c r="C316" s="11">
        <v>9</v>
      </c>
      <c r="D316" s="1">
        <v>8</v>
      </c>
      <c r="E316" s="1">
        <v>7</v>
      </c>
      <c r="F316" s="1">
        <v>6</v>
      </c>
      <c r="G316" s="1">
        <v>5</v>
      </c>
      <c r="H316" s="1">
        <v>4</v>
      </c>
      <c r="I316" s="1">
        <v>3</v>
      </c>
      <c r="J316" s="1">
        <v>2</v>
      </c>
      <c r="K316" s="1">
        <v>1</v>
      </c>
      <c r="L316" s="1">
        <v>2</v>
      </c>
      <c r="M316" s="33">
        <v>3</v>
      </c>
      <c r="N316" s="1">
        <v>4</v>
      </c>
      <c r="O316" s="1">
        <v>5</v>
      </c>
      <c r="P316" s="1">
        <v>6</v>
      </c>
      <c r="Q316" s="1">
        <v>7</v>
      </c>
      <c r="R316" s="1">
        <v>8</v>
      </c>
      <c r="S316" s="12">
        <v>9</v>
      </c>
      <c r="T316" s="12" t="s">
        <v>15</v>
      </c>
    </row>
    <row r="317" spans="2:20" x14ac:dyDescent="0.5">
      <c r="B317" s="17" t="s">
        <v>13</v>
      </c>
      <c r="C317" s="11">
        <v>9</v>
      </c>
      <c r="D317" s="1">
        <v>8</v>
      </c>
      <c r="E317" s="1">
        <v>7</v>
      </c>
      <c r="F317" s="1">
        <v>6</v>
      </c>
      <c r="G317" s="1">
        <v>5</v>
      </c>
      <c r="H317" s="1">
        <v>4</v>
      </c>
      <c r="I317" s="1">
        <v>3</v>
      </c>
      <c r="J317" s="1">
        <v>2</v>
      </c>
      <c r="K317" s="1">
        <v>1</v>
      </c>
      <c r="L317" s="1">
        <v>2</v>
      </c>
      <c r="M317" s="1">
        <v>3</v>
      </c>
      <c r="N317" s="33">
        <v>4</v>
      </c>
      <c r="O317" s="1">
        <v>5</v>
      </c>
      <c r="P317" s="1">
        <v>6</v>
      </c>
      <c r="Q317" s="1">
        <v>7</v>
      </c>
      <c r="R317" s="1">
        <v>8</v>
      </c>
      <c r="S317" s="12">
        <v>9</v>
      </c>
      <c r="T317" s="12" t="s">
        <v>16</v>
      </c>
    </row>
    <row r="318" spans="2:20" x14ac:dyDescent="0.5">
      <c r="B318" s="17" t="s">
        <v>13</v>
      </c>
      <c r="C318" s="11">
        <v>9</v>
      </c>
      <c r="D318" s="1">
        <v>8</v>
      </c>
      <c r="E318" s="1">
        <v>7</v>
      </c>
      <c r="F318" s="1">
        <v>6</v>
      </c>
      <c r="G318" s="1">
        <v>5</v>
      </c>
      <c r="H318" s="1">
        <v>4</v>
      </c>
      <c r="I318" s="1">
        <v>3</v>
      </c>
      <c r="J318" s="1">
        <v>2</v>
      </c>
      <c r="K318" s="1">
        <v>1</v>
      </c>
      <c r="L318" s="1">
        <v>2</v>
      </c>
      <c r="M318" s="1">
        <v>3</v>
      </c>
      <c r="N318" s="1">
        <v>4</v>
      </c>
      <c r="O318" s="33">
        <v>5</v>
      </c>
      <c r="P318" s="1">
        <v>6</v>
      </c>
      <c r="Q318" s="1">
        <v>7</v>
      </c>
      <c r="R318" s="1">
        <v>8</v>
      </c>
      <c r="S318" s="12">
        <v>9</v>
      </c>
      <c r="T318" s="12" t="s">
        <v>17</v>
      </c>
    </row>
    <row r="319" spans="2:20" x14ac:dyDescent="0.5">
      <c r="B319" s="17" t="s">
        <v>13</v>
      </c>
      <c r="C319" s="11">
        <v>9</v>
      </c>
      <c r="D319" s="1">
        <v>8</v>
      </c>
      <c r="E319" s="1">
        <v>7</v>
      </c>
      <c r="F319" s="1">
        <v>6</v>
      </c>
      <c r="G319" s="1">
        <v>5</v>
      </c>
      <c r="H319" s="1">
        <v>4</v>
      </c>
      <c r="I319" s="1">
        <v>3</v>
      </c>
      <c r="J319" s="1">
        <v>2</v>
      </c>
      <c r="K319" s="1">
        <v>1</v>
      </c>
      <c r="L319" s="1">
        <v>2</v>
      </c>
      <c r="M319" s="33">
        <v>3</v>
      </c>
      <c r="N319" s="1">
        <v>4</v>
      </c>
      <c r="O319" s="1">
        <v>5</v>
      </c>
      <c r="P319" s="1">
        <v>6</v>
      </c>
      <c r="Q319" s="1">
        <v>7</v>
      </c>
      <c r="R319" s="1">
        <v>8</v>
      </c>
      <c r="S319" s="12">
        <v>9</v>
      </c>
      <c r="T319" s="15" t="s">
        <v>18</v>
      </c>
    </row>
    <row r="320" spans="2:20" x14ac:dyDescent="0.5">
      <c r="B320" s="4" t="s">
        <v>14</v>
      </c>
      <c r="C320" s="4">
        <v>9</v>
      </c>
      <c r="D320" s="5">
        <v>8</v>
      </c>
      <c r="E320" s="5">
        <v>7</v>
      </c>
      <c r="F320" s="5">
        <v>6</v>
      </c>
      <c r="G320" s="5">
        <v>5</v>
      </c>
      <c r="H320" s="5">
        <v>4</v>
      </c>
      <c r="I320" s="6">
        <v>3</v>
      </c>
      <c r="J320" s="5">
        <v>2</v>
      </c>
      <c r="K320" s="5">
        <v>1</v>
      </c>
      <c r="L320" s="5">
        <v>2</v>
      </c>
      <c r="M320" s="5">
        <v>3</v>
      </c>
      <c r="N320" s="5">
        <v>4</v>
      </c>
      <c r="O320" s="5">
        <v>5</v>
      </c>
      <c r="P320" s="5">
        <v>6</v>
      </c>
      <c r="Q320" s="5">
        <v>7</v>
      </c>
      <c r="R320" s="5">
        <v>8</v>
      </c>
      <c r="S320" s="7">
        <v>9</v>
      </c>
      <c r="T320" s="12" t="s">
        <v>15</v>
      </c>
    </row>
    <row r="321" spans="2:20" x14ac:dyDescent="0.5">
      <c r="B321" s="11" t="s">
        <v>14</v>
      </c>
      <c r="C321" s="11">
        <v>9</v>
      </c>
      <c r="D321" s="1">
        <v>8</v>
      </c>
      <c r="E321" s="1">
        <v>7</v>
      </c>
      <c r="F321" s="1">
        <v>6</v>
      </c>
      <c r="G321" s="1">
        <v>5</v>
      </c>
      <c r="H321" s="1">
        <v>4</v>
      </c>
      <c r="I321" s="1">
        <v>3</v>
      </c>
      <c r="J321" s="1">
        <v>2</v>
      </c>
      <c r="K321" s="1">
        <v>1</v>
      </c>
      <c r="L321" s="33">
        <v>2</v>
      </c>
      <c r="M321" s="1">
        <v>3</v>
      </c>
      <c r="N321" s="1">
        <v>4</v>
      </c>
      <c r="O321" s="1">
        <v>5</v>
      </c>
      <c r="P321" s="1">
        <v>6</v>
      </c>
      <c r="Q321" s="1">
        <v>7</v>
      </c>
      <c r="R321" s="1">
        <v>8</v>
      </c>
      <c r="S321" s="12">
        <v>9</v>
      </c>
      <c r="T321" s="12" t="s">
        <v>16</v>
      </c>
    </row>
    <row r="322" spans="2:20" x14ac:dyDescent="0.5">
      <c r="B322" s="11" t="s">
        <v>14</v>
      </c>
      <c r="C322" s="11">
        <v>9</v>
      </c>
      <c r="D322" s="1">
        <v>8</v>
      </c>
      <c r="E322" s="1">
        <v>7</v>
      </c>
      <c r="F322" s="1">
        <v>6</v>
      </c>
      <c r="G322" s="1">
        <v>5</v>
      </c>
      <c r="H322" s="1">
        <v>4</v>
      </c>
      <c r="I322" s="1">
        <v>3</v>
      </c>
      <c r="J322" s="1">
        <v>2</v>
      </c>
      <c r="K322" s="1">
        <v>1</v>
      </c>
      <c r="L322" s="33">
        <v>2</v>
      </c>
      <c r="M322" s="1">
        <v>3</v>
      </c>
      <c r="N322" s="1">
        <v>4</v>
      </c>
      <c r="O322" s="1">
        <v>5</v>
      </c>
      <c r="P322" s="1">
        <v>6</v>
      </c>
      <c r="Q322" s="1">
        <v>7</v>
      </c>
      <c r="R322" s="1">
        <v>8</v>
      </c>
      <c r="S322" s="12">
        <v>9</v>
      </c>
      <c r="T322" s="12" t="s">
        <v>17</v>
      </c>
    </row>
    <row r="323" spans="2:20" x14ac:dyDescent="0.5">
      <c r="B323" s="13" t="s">
        <v>14</v>
      </c>
      <c r="C323" s="13">
        <v>9</v>
      </c>
      <c r="D323" s="14">
        <v>8</v>
      </c>
      <c r="E323" s="14">
        <v>7</v>
      </c>
      <c r="F323" s="14">
        <v>6</v>
      </c>
      <c r="G323" s="14">
        <v>5</v>
      </c>
      <c r="H323" s="14">
        <v>4</v>
      </c>
      <c r="I323" s="34">
        <v>3</v>
      </c>
      <c r="J323" s="14">
        <v>2</v>
      </c>
      <c r="K323" s="14">
        <v>1</v>
      </c>
      <c r="L323" s="14">
        <v>2</v>
      </c>
      <c r="M323" s="14">
        <v>3</v>
      </c>
      <c r="N323" s="14">
        <v>4</v>
      </c>
      <c r="O323" s="14">
        <v>5</v>
      </c>
      <c r="P323" s="14">
        <v>6</v>
      </c>
      <c r="Q323" s="14">
        <v>7</v>
      </c>
      <c r="R323" s="14">
        <v>8</v>
      </c>
      <c r="S323" s="15">
        <v>9</v>
      </c>
      <c r="T323" s="15" t="s">
        <v>18</v>
      </c>
    </row>
    <row r="324" spans="2:20" x14ac:dyDescent="0.5">
      <c r="B324" s="16" t="s">
        <v>15</v>
      </c>
      <c r="C324" s="11">
        <v>9</v>
      </c>
      <c r="D324" s="1">
        <v>8</v>
      </c>
      <c r="E324" s="1">
        <v>7</v>
      </c>
      <c r="F324" s="1">
        <v>6</v>
      </c>
      <c r="G324" s="1">
        <v>5</v>
      </c>
      <c r="H324" s="1">
        <v>4</v>
      </c>
      <c r="I324" s="1">
        <v>3</v>
      </c>
      <c r="J324" s="1">
        <v>2</v>
      </c>
      <c r="K324" s="1">
        <v>1</v>
      </c>
      <c r="L324" s="1">
        <v>2</v>
      </c>
      <c r="M324" s="33">
        <v>3</v>
      </c>
      <c r="N324" s="1">
        <v>4</v>
      </c>
      <c r="O324" s="1">
        <v>5</v>
      </c>
      <c r="P324" s="1">
        <v>6</v>
      </c>
      <c r="Q324" s="1">
        <v>7</v>
      </c>
      <c r="R324" s="1">
        <v>8</v>
      </c>
      <c r="S324" s="12">
        <v>9</v>
      </c>
      <c r="T324" s="12" t="s">
        <v>16</v>
      </c>
    </row>
    <row r="325" spans="2:20" x14ac:dyDescent="0.5">
      <c r="B325" s="17" t="s">
        <v>15</v>
      </c>
      <c r="C325" s="11">
        <v>9</v>
      </c>
      <c r="D325" s="1">
        <v>8</v>
      </c>
      <c r="E325" s="1">
        <v>7</v>
      </c>
      <c r="F325" s="1">
        <v>6</v>
      </c>
      <c r="G325" s="1">
        <v>5</v>
      </c>
      <c r="H325" s="1">
        <v>4</v>
      </c>
      <c r="I325" s="1">
        <v>3</v>
      </c>
      <c r="J325" s="1">
        <v>2</v>
      </c>
      <c r="K325" s="1">
        <v>1</v>
      </c>
      <c r="L325" s="1">
        <v>2</v>
      </c>
      <c r="M325" s="33">
        <v>3</v>
      </c>
      <c r="N325" s="1">
        <v>4</v>
      </c>
      <c r="O325" s="1">
        <v>5</v>
      </c>
      <c r="P325" s="1">
        <v>6</v>
      </c>
      <c r="Q325" s="1">
        <v>7</v>
      </c>
      <c r="R325" s="1">
        <v>8</v>
      </c>
      <c r="S325" s="12">
        <v>9</v>
      </c>
      <c r="T325" s="12" t="s">
        <v>17</v>
      </c>
    </row>
    <row r="326" spans="2:20" x14ac:dyDescent="0.5">
      <c r="B326" s="19" t="s">
        <v>15</v>
      </c>
      <c r="C326" s="13">
        <v>9</v>
      </c>
      <c r="D326" s="14">
        <v>8</v>
      </c>
      <c r="E326" s="14">
        <v>7</v>
      </c>
      <c r="F326" s="14">
        <v>6</v>
      </c>
      <c r="G326" s="14">
        <v>5</v>
      </c>
      <c r="H326" s="14">
        <v>4</v>
      </c>
      <c r="I326" s="14">
        <v>3</v>
      </c>
      <c r="J326" s="14">
        <v>2</v>
      </c>
      <c r="K326" s="34">
        <v>1</v>
      </c>
      <c r="L326" s="14">
        <v>2</v>
      </c>
      <c r="M326" s="14">
        <v>3</v>
      </c>
      <c r="N326" s="14">
        <v>4</v>
      </c>
      <c r="O326" s="14">
        <v>5</v>
      </c>
      <c r="P326" s="14">
        <v>6</v>
      </c>
      <c r="Q326" s="14">
        <v>7</v>
      </c>
      <c r="R326" s="14">
        <v>8</v>
      </c>
      <c r="S326" s="15">
        <v>9</v>
      </c>
      <c r="T326" s="15" t="s">
        <v>18</v>
      </c>
    </row>
    <row r="327" spans="2:20" x14ac:dyDescent="0.5">
      <c r="B327" s="16" t="s">
        <v>16</v>
      </c>
      <c r="C327" s="11">
        <v>9</v>
      </c>
      <c r="D327" s="1">
        <v>8</v>
      </c>
      <c r="E327" s="1">
        <v>7</v>
      </c>
      <c r="F327" s="1">
        <v>6</v>
      </c>
      <c r="G327" s="1">
        <v>5</v>
      </c>
      <c r="H327" s="1">
        <v>4</v>
      </c>
      <c r="I327" s="1">
        <v>3</v>
      </c>
      <c r="J327" s="1">
        <v>2</v>
      </c>
      <c r="K327" s="33">
        <v>1</v>
      </c>
      <c r="L327" s="1">
        <v>2</v>
      </c>
      <c r="M327" s="1">
        <v>3</v>
      </c>
      <c r="N327" s="1">
        <v>4</v>
      </c>
      <c r="O327" s="1">
        <v>5</v>
      </c>
      <c r="P327" s="1">
        <v>6</v>
      </c>
      <c r="Q327" s="1">
        <v>7</v>
      </c>
      <c r="R327" s="1">
        <v>8</v>
      </c>
      <c r="S327" s="12">
        <v>9</v>
      </c>
      <c r="T327" s="7" t="s">
        <v>17</v>
      </c>
    </row>
    <row r="328" spans="2:20" x14ac:dyDescent="0.5">
      <c r="B328" s="19" t="s">
        <v>16</v>
      </c>
      <c r="C328" s="13">
        <v>9</v>
      </c>
      <c r="D328" s="14">
        <v>8</v>
      </c>
      <c r="E328" s="14">
        <v>7</v>
      </c>
      <c r="F328" s="14">
        <v>6</v>
      </c>
      <c r="G328" s="14">
        <v>5</v>
      </c>
      <c r="H328" s="34">
        <v>4</v>
      </c>
      <c r="I328" s="14">
        <v>3</v>
      </c>
      <c r="J328" s="14">
        <v>2</v>
      </c>
      <c r="K328" s="14">
        <v>1</v>
      </c>
      <c r="L328" s="14">
        <v>2</v>
      </c>
      <c r="M328" s="14">
        <v>3</v>
      </c>
      <c r="N328" s="14">
        <v>4</v>
      </c>
      <c r="O328" s="14">
        <v>5</v>
      </c>
      <c r="P328" s="14">
        <v>6</v>
      </c>
      <c r="Q328" s="14">
        <v>7</v>
      </c>
      <c r="R328" s="14">
        <v>8</v>
      </c>
      <c r="S328" s="15">
        <v>9</v>
      </c>
      <c r="T328" s="15" t="s">
        <v>18</v>
      </c>
    </row>
    <row r="329" spans="2:20" x14ac:dyDescent="0.5">
      <c r="B329" s="3" t="s">
        <v>17</v>
      </c>
      <c r="C329" s="13">
        <v>9</v>
      </c>
      <c r="D329" s="14">
        <v>8</v>
      </c>
      <c r="E329" s="14">
        <v>7</v>
      </c>
      <c r="F329" s="14">
        <v>6</v>
      </c>
      <c r="G329" s="14">
        <v>5</v>
      </c>
      <c r="H329" s="34">
        <v>4</v>
      </c>
      <c r="I329" s="14">
        <v>3</v>
      </c>
      <c r="J329" s="14">
        <v>2</v>
      </c>
      <c r="K329" s="14">
        <v>1</v>
      </c>
      <c r="L329" s="14">
        <v>2</v>
      </c>
      <c r="M329" s="14">
        <v>3</v>
      </c>
      <c r="N329" s="14">
        <v>4</v>
      </c>
      <c r="O329" s="14">
        <v>5</v>
      </c>
      <c r="P329" s="14">
        <v>6</v>
      </c>
      <c r="Q329" s="14">
        <v>7</v>
      </c>
      <c r="R329" s="14">
        <v>8</v>
      </c>
      <c r="S329" s="15">
        <v>9</v>
      </c>
      <c r="T329" s="15" t="s">
        <v>18</v>
      </c>
    </row>
  </sheetData>
  <mergeCells count="15"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  <mergeCell ref="B111:T111"/>
    <mergeCell ref="B1:T1"/>
    <mergeCell ref="B2:T2"/>
    <mergeCell ref="B3:B4"/>
    <mergeCell ref="C3:S3"/>
    <mergeCell ref="T3:T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CB9D-89CF-4803-89FB-50BA70E5E428}">
  <dimension ref="A1:R124"/>
  <sheetViews>
    <sheetView topLeftCell="A23" zoomScale="52" zoomScaleNormal="90" workbookViewId="0">
      <selection activeCell="P52" sqref="P52"/>
    </sheetView>
  </sheetViews>
  <sheetFormatPr defaultRowHeight="15.75" x14ac:dyDescent="0.5"/>
  <cols>
    <col min="1" max="1" width="36.8125" bestFit="1" customWidth="1"/>
    <col min="2" max="2" width="10.625" customWidth="1"/>
  </cols>
  <sheetData>
    <row r="1" spans="1:16" x14ac:dyDescent="0.5">
      <c r="A1" s="63" t="s">
        <v>21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16" x14ac:dyDescent="0.5">
      <c r="A2" s="2" t="s">
        <v>4</v>
      </c>
      <c r="B2" s="3">
        <v>1</v>
      </c>
      <c r="C2" s="3">
        <f>GEOMEAN('NORMALISASI JUMLAH SISWA'!X6,'NORMALISASI JUMLAH SISWA'!X116,'NORMALISASI JUMLAH SISWA'!X226)</f>
        <v>2.032792713629707</v>
      </c>
      <c r="D2" s="3">
        <f>GEOMEAN('NORMALISASI JUMLAH SISWA'!Y6,'NORMALISASI JUMLAH SISWA'!Y116,'NORMALISASI JUMLAH SISWA'!Y226)</f>
        <v>1.5536162529769293</v>
      </c>
      <c r="E2" s="3">
        <f>GEOMEAN('NORMALISASI JUMLAH SISWA'!Z6,'NORMALISASI JUMLAH SISWA'!Z116,'NORMALISASI JUMLAH SISWA'!Z226)</f>
        <v>0.73680629972807732</v>
      </c>
      <c r="F2" s="3">
        <f>GEOMEAN('NORMALISASI JUMLAH SISWA'!AA6,'NORMALISASI JUMLAH SISWA'!AA116,'NORMALISASI JUMLAH SISWA'!AA226)</f>
        <v>0.2283355701981471</v>
      </c>
      <c r="G2" s="3">
        <f>GEOMEAN('NORMALISASI JUMLAH SISWA'!AB6,'NORMALISASI JUMLAH SISWA'!AB116,'NORMALISASI JUMLAH SISWA'!AB226)</f>
        <v>1</v>
      </c>
      <c r="H2" s="3">
        <f>GEOMEAN('NORMALISASI JUMLAH SISWA'!AC6,'NORMALISASI JUMLAH SISWA'!AC116,'NORMALISASI JUMLAH SISWA'!AC226)</f>
        <v>2.5198420997897464</v>
      </c>
      <c r="I2" s="3">
        <f>GEOMEAN('NORMALISASI JUMLAH SISWA'!AD6,'NORMALISASI JUMLAH SISWA'!AD116,'NORMALISASI JUMLAH SISWA'!AD226)</f>
        <v>1.2599210498948732</v>
      </c>
      <c r="J2" s="3">
        <f>GEOMEAN('NORMALISASI JUMLAH SISWA'!AE6,'NORMALISASI JUMLAH SISWA'!AE116,'NORMALISASI JUMLAH SISWA'!AE226)</f>
        <v>0.1771097615304352</v>
      </c>
      <c r="K2" s="3">
        <f>GEOMEAN('NORMALISASI JUMLAH SISWA'!AF6,'NORMALISASI JUMLAH SISWA'!AF116,'NORMALISASI JUMLAH SISWA'!AF226)</f>
        <v>1.4422495703074083</v>
      </c>
      <c r="L2" s="3">
        <f>GEOMEAN('NORMALISASI JUMLAH SISWA'!AG6,'NORMALISASI JUMLAH SISWA'!AG116,'NORMALISASI JUMLAH SISWA'!AG226)</f>
        <v>0.3968502629920499</v>
      </c>
      <c r="M2" s="3">
        <f>GEOMEAN('NORMALISASI JUMLAH SISWA'!AH6,'NORMALISASI JUMLAH SISWA'!AH116,'NORMALISASI JUMLAH SISWA'!AH226)</f>
        <v>1.4422495703074083</v>
      </c>
      <c r="N2" s="3">
        <f>GEOMEAN('NORMALISASI JUMLAH SISWA'!AI6,'NORMALISASI JUMLAH SISWA'!AI116,'NORMALISASI JUMLAH SISWA'!AI226)</f>
        <v>1.4422495703074083</v>
      </c>
      <c r="O2" s="3">
        <f>GEOMEAN('NORMALISASI JUMLAH SISWA'!AJ6,'NORMALISASI JUMLAH SISWA'!AJ116,'NORMALISASI JUMLAH SISWA'!AJ226)</f>
        <v>1.5874010519681994</v>
      </c>
      <c r="P2" s="3">
        <f>GEOMEAN('NORMALISASI JUMLAH SISWA'!AK6,'NORMALISASI JUMLAH SISWA'!AK116,'NORMALISASI JUMLAH SISWA'!AK226)</f>
        <v>0.46415888336127792</v>
      </c>
    </row>
    <row r="3" spans="1:16" x14ac:dyDescent="0.5">
      <c r="A3" s="2" t="s">
        <v>5</v>
      </c>
      <c r="B3" s="3">
        <f>1/C2</f>
        <v>0.49193407340309847</v>
      </c>
      <c r="C3" s="3">
        <v>1</v>
      </c>
      <c r="D3" s="3">
        <f>GEOMEAN('NORMALISASI JUMLAH SISWA'!Y7,'NORMALISASI JUMLAH SISWA'!Y117,'NORMALISASI JUMLAH SISWA'!Y227)</f>
        <v>0.6586337560083495</v>
      </c>
      <c r="E3" s="3">
        <f>GEOMEAN('NORMALISASI JUMLAH SISWA'!Z7,'NORMALISASI JUMLAH SISWA'!Z117,'NORMALISASI JUMLAH SISWA'!Z227)</f>
        <v>0.60570686427737985</v>
      </c>
      <c r="F3" s="3">
        <f>GEOMEAN('NORMALISASI JUMLAH SISWA'!AA7,'NORMALISASI JUMLAH SISWA'!AA117,'NORMALISASI JUMLAH SISWA'!AA227)</f>
        <v>0.48074985676913612</v>
      </c>
      <c r="G3" s="3">
        <f>GEOMEAN('NORMALISASI JUMLAH SISWA'!AB7,'NORMALISASI JUMLAH SISWA'!AB117,'NORMALISASI JUMLAH SISWA'!AB227)</f>
        <v>0.66666666666666663</v>
      </c>
      <c r="H3" s="3">
        <f>GEOMEAN('NORMALISASI JUMLAH SISWA'!AC7,'NORMALISASI JUMLAH SISWA'!AC117,'NORMALISASI JUMLAH SISWA'!AC227)</f>
        <v>0.81096026607645333</v>
      </c>
      <c r="I3" s="3">
        <f>GEOMEAN('NORMALISASI JUMLAH SISWA'!AD7,'NORMALISASI JUMLAH SISWA'!AD117,'NORMALISASI JUMLAH SISWA'!AD227)</f>
        <v>0.25131581370971795</v>
      </c>
      <c r="J3" s="3">
        <f>GEOMEAN('NORMALISASI JUMLAH SISWA'!AE7,'NORMALISASI JUMLAH SISWA'!AE117,'NORMALISASI JUMLAH SISWA'!AE227)</f>
        <v>0.12565790685485898</v>
      </c>
      <c r="K3" s="3">
        <f>GEOMEAN('NORMALISASI JUMLAH SISWA'!AF7,'NORMALISASI JUMLAH SISWA'!AF117,'NORMALISASI JUMLAH SISWA'!AF227)</f>
        <v>0.33333333333333331</v>
      </c>
      <c r="L3" s="3">
        <f>GEOMEAN('NORMALISASI JUMLAH SISWA'!AG7,'NORMALISASI JUMLAH SISWA'!AG117,'NORMALISASI JUMLAH SISWA'!AG227)</f>
        <v>0.14620088691064331</v>
      </c>
      <c r="M3" s="3">
        <f>GEOMEAN('NORMALISASI JUMLAH SISWA'!AH7,'NORMALISASI JUMLAH SISWA'!AH117,'NORMALISASI JUMLAH SISWA'!AH227)</f>
        <v>0.25</v>
      </c>
      <c r="N3" s="3">
        <f>GEOMEAN('NORMALISASI JUMLAH SISWA'!AI7,'NORMALISASI JUMLAH SISWA'!AI117,'NORMALISASI JUMLAH SISWA'!AI227)</f>
        <v>0.28114422176724974</v>
      </c>
      <c r="O3" s="3">
        <f>GEOMEAN('NORMALISASI JUMLAH SISWA'!AJ7,'NORMALISASI JUMLAH SISWA'!AJ117,'NORMALISASI JUMLAH SISWA'!AJ227)</f>
        <v>0.58480354764257325</v>
      </c>
      <c r="P3" s="3">
        <f>GEOMEAN('NORMALISASI JUMLAH SISWA'!AK7,'NORMALISASI JUMLAH SISWA'!AK117,'NORMALISASI JUMLAH SISWA'!AK227)</f>
        <v>0.15831904193216609</v>
      </c>
    </row>
    <row r="4" spans="1:16" x14ac:dyDescent="0.5">
      <c r="A4" s="2" t="s">
        <v>6</v>
      </c>
      <c r="B4" s="3">
        <f>1/D2</f>
        <v>0.64365958973708659</v>
      </c>
      <c r="C4" s="3">
        <f>1/D3</f>
        <v>1.5182944859378313</v>
      </c>
      <c r="D4" s="3">
        <v>1</v>
      </c>
      <c r="E4" s="3">
        <f>GEOMEAN('NORMALISASI JUMLAH SISWA'!Z8,'NORMALISASI JUMLAH SISWA'!Z118,'NORMALISASI JUMLAH SISWA'!Z228)</f>
        <v>0.55032120814910446</v>
      </c>
      <c r="F4" s="3">
        <f>GEOMEAN('NORMALISASI JUMLAH SISWA'!AA8,'NORMALISASI JUMLAH SISWA'!AA118,'NORMALISASI JUMLAH SISWA'!AA228)</f>
        <v>0.16666666666666666</v>
      </c>
      <c r="G4" s="3">
        <f>GEOMEAN('NORMALISASI JUMLAH SISWA'!AB8,'NORMALISASI JUMLAH SISWA'!AB118,'NORMALISASI JUMLAH SISWA'!AB228)</f>
        <v>0.25</v>
      </c>
      <c r="H4" s="3">
        <f>GEOMEAN('NORMALISASI JUMLAH SISWA'!AC8,'NORMALISASI JUMLAH SISWA'!AC118,'NORMALISASI JUMLAH SISWA'!AC228)</f>
        <v>1.6509636244473134</v>
      </c>
      <c r="I4" s="3">
        <f>GEOMEAN('NORMALISASI JUMLAH SISWA'!AD8,'NORMALISASI JUMLAH SISWA'!AD118,'NORMALISASI JUMLAH SISWA'!AD228)</f>
        <v>1.1006424162982089</v>
      </c>
      <c r="J4" s="3">
        <f>GEOMEAN('NORMALISASI JUMLAH SISWA'!AE8,'NORMALISASI JUMLAH SISWA'!AE118,'NORMALISASI JUMLAH SISWA'!AE228)</f>
        <v>0.52913368398939986</v>
      </c>
      <c r="K4" s="3">
        <f>GEOMEAN('NORMALISASI JUMLAH SISWA'!AF8,'NORMALISASI JUMLAH SISWA'!AF118,'NORMALISASI JUMLAH SISWA'!AF228)</f>
        <v>1.6509636244473134</v>
      </c>
      <c r="L4" s="3">
        <f>GEOMEAN('NORMALISASI JUMLAH SISWA'!AG8,'NORMALISASI JUMLAH SISWA'!AG118,'NORMALISASI JUMLAH SISWA'!AG228)</f>
        <v>0.28114422176724974</v>
      </c>
      <c r="M4" s="3">
        <f>GEOMEAN('NORMALISASI JUMLAH SISWA'!AH8,'NORMALISASI JUMLAH SISWA'!AH118,'NORMALISASI JUMLAH SISWA'!AH228)</f>
        <v>0.25</v>
      </c>
      <c r="N4" s="3">
        <f>GEOMEAN('NORMALISASI JUMLAH SISWA'!AI8,'NORMALISASI JUMLAH SISWA'!AI118,'NORMALISASI JUMLAH SISWA'!AI228)</f>
        <v>0.28114422176724974</v>
      </c>
      <c r="O4" s="3">
        <f>GEOMEAN('NORMALISASI JUMLAH SISWA'!AJ8,'NORMALISASI JUMLAH SISWA'!AJ118,'NORMALISASI JUMLAH SISWA'!AJ228)</f>
        <v>0.36840314986403866</v>
      </c>
      <c r="P4" s="3">
        <f>GEOMEAN('NORMALISASI JUMLAH SISWA'!AK8,'NORMALISASI JUMLAH SISWA'!AK118,'NORMALISASI JUMLAH SISWA'!AK228)</f>
        <v>0.25</v>
      </c>
    </row>
    <row r="5" spans="1:16" x14ac:dyDescent="0.5">
      <c r="A5" s="2" t="s">
        <v>7</v>
      </c>
      <c r="B5" s="3">
        <f>1/E2</f>
        <v>1.3572088082974534</v>
      </c>
      <c r="C5" s="3">
        <f>1/E3</f>
        <v>1.6509636244473134</v>
      </c>
      <c r="D5" s="3">
        <f>1/E4</f>
        <v>1.8171205928321397</v>
      </c>
      <c r="E5" s="3">
        <v>1</v>
      </c>
      <c r="F5" s="3">
        <f>GEOMEAN('NORMALISASI JUMLAH SISWA'!AA9,'NORMALISASI JUMLAH SISWA'!AA119,'NORMALISASI JUMLAH SISWA'!AA229)</f>
        <v>0.24264275032025864</v>
      </c>
      <c r="G5" s="3">
        <f>GEOMEAN('NORMALISASI JUMLAH SISWA'!AB9,'NORMALISASI JUMLAH SISWA'!AB119,'NORMALISASI JUMLAH SISWA'!AB229)</f>
        <v>1.2599210498948732</v>
      </c>
      <c r="H5" s="3">
        <f>GEOMEAN('NORMALISASI JUMLAH SISWA'!AC9,'NORMALISASI JUMLAH SISWA'!AC119,'NORMALISASI JUMLAH SISWA'!AC229)</f>
        <v>2.5198420997897464</v>
      </c>
      <c r="I5" s="3">
        <f>GEOMEAN('NORMALISASI JUMLAH SISWA'!AD9,'NORMALISASI JUMLAH SISWA'!AD119,'NORMALISASI JUMLAH SISWA'!AD229)</f>
        <v>2.2894284851066637</v>
      </c>
      <c r="J5" s="3">
        <f>GEOMEAN('NORMALISASI JUMLAH SISWA'!AE9,'NORMALISASI JUMLAH SISWA'!AE119,'NORMALISASI JUMLAH SISWA'!AE229)</f>
        <v>0.43679023236814946</v>
      </c>
      <c r="K5" s="3">
        <f>GEOMEAN('NORMALISASI JUMLAH SISWA'!AF9,'NORMALISASI JUMLAH SISWA'!AF119,'NORMALISASI JUMLAH SISWA'!AF229)</f>
        <v>2.7144176165949068</v>
      </c>
      <c r="L5" s="3">
        <f>GEOMEAN('NORMALISASI JUMLAH SISWA'!AG9,'NORMALISASI JUMLAH SISWA'!AG119,'NORMALISASI JUMLAH SISWA'!AG229)</f>
        <v>0.79370052598409979</v>
      </c>
      <c r="M5" s="3">
        <f>GEOMEAN('NORMALISASI JUMLAH SISWA'!AH9,'NORMALISASI JUMLAH SISWA'!AH119,'NORMALISASI JUMLAH SISWA'!AH229)</f>
        <v>0.87358046473629891</v>
      </c>
      <c r="N5" s="3">
        <f>GEOMEAN('NORMALISASI JUMLAH SISWA'!AI9,'NORMALISASI JUMLAH SISWA'!AI119,'NORMALISASI JUMLAH SISWA'!AI229)</f>
        <v>1.1447142425533319</v>
      </c>
      <c r="O5" s="3">
        <f>GEOMEAN('NORMALISASI JUMLAH SISWA'!AJ9,'NORMALISASI JUMLAH SISWA'!AJ119,'NORMALISASI JUMLAH SISWA'!AJ229)</f>
        <v>1.5874010519681994</v>
      </c>
      <c r="P5" s="3">
        <f>GEOMEAN('NORMALISASI JUMLAH SISWA'!AK9,'NORMALISASI JUMLAH SISWA'!AK119,'NORMALISASI JUMLAH SISWA'!AK229)</f>
        <v>0.33333333333333331</v>
      </c>
    </row>
    <row r="6" spans="1:16" x14ac:dyDescent="0.5">
      <c r="A6" s="2" t="s">
        <v>8</v>
      </c>
      <c r="B6" s="3">
        <f>1/F2</f>
        <v>4.3795191398878899</v>
      </c>
      <c r="C6" s="3">
        <f>1/F3</f>
        <v>2.0800838230519041</v>
      </c>
      <c r="D6" s="3">
        <f>1/F4</f>
        <v>6</v>
      </c>
      <c r="E6" s="3">
        <f>1/F5</f>
        <v>4.121285299808557</v>
      </c>
      <c r="F6" s="3">
        <v>1</v>
      </c>
      <c r="G6" s="3">
        <f>GEOMEAN('NORMALISASI JUMLAH SISWA'!AB10,'NORMALISASI JUMLAH SISWA'!AB120,'NORMALISASI JUMLAH SISWA'!AB230)</f>
        <v>4.3267487109222253</v>
      </c>
      <c r="H6" s="3">
        <f>GEOMEAN('NORMALISASI JUMLAH SISWA'!AC10,'NORMALISASI JUMLAH SISWA'!AC120,'NORMALISASI JUMLAH SISWA'!AC230)</f>
        <v>7.9581144157927843</v>
      </c>
      <c r="I6" s="3">
        <f>GEOMEAN('NORMALISASI JUMLAH SISWA'!AD10,'NORMALISASI JUMLAH SISWA'!AD120,'NORMALISASI JUMLAH SISWA'!AD230)</f>
        <v>6</v>
      </c>
      <c r="J6" s="3">
        <f>GEOMEAN('NORMALISASI JUMLAH SISWA'!AE10,'NORMALISASI JUMLAH SISWA'!AE120,'NORMALISASI JUMLAH SISWA'!AE230)</f>
        <v>1.1006424162982089</v>
      </c>
      <c r="K6" s="3">
        <f>GEOMEAN('NORMALISASI JUMLAH SISWA'!AF10,'NORMALISASI JUMLAH SISWA'!AF120,'NORMALISASI JUMLAH SISWA'!AF230)</f>
        <v>7.23042679252569</v>
      </c>
      <c r="L6" s="3">
        <f>GEOMEAN('NORMALISASI JUMLAH SISWA'!AG10,'NORMALISASI JUMLAH SISWA'!AG120,'NORMALISASI JUMLAH SISWA'!AG230)</f>
        <v>5.2414827884177928</v>
      </c>
      <c r="M6" s="3">
        <f>GEOMEAN('NORMALISASI JUMLAH SISWA'!AH10,'NORMALISASI JUMLAH SISWA'!AH120,'NORMALISASI JUMLAH SISWA'!AH230)</f>
        <v>13.878195027548225</v>
      </c>
      <c r="N6" s="3">
        <f>GEOMEAN('NORMALISASI JUMLAH SISWA'!AI10,'NORMALISASI JUMLAH SISWA'!AI120,'NORMALISASI JUMLAH SISWA'!AI230)</f>
        <v>2.8844991406148166</v>
      </c>
      <c r="O6" s="3">
        <f>GEOMEAN('NORMALISASI JUMLAH SISWA'!AJ10,'NORMALISASI JUMLAH SISWA'!AJ120,'NORMALISASI JUMLAH SISWA'!AJ230)</f>
        <v>2.7589241763811208</v>
      </c>
      <c r="P6" s="3">
        <f>GEOMEAN('NORMALISASI JUMLAH SISWA'!AK10,'NORMALISASI JUMLAH SISWA'!AK120,'NORMALISASI JUMLAH SISWA'!AK230)</f>
        <v>2.2894284851066637</v>
      </c>
    </row>
    <row r="7" spans="1:16" x14ac:dyDescent="0.5">
      <c r="A7" s="2" t="s">
        <v>9</v>
      </c>
      <c r="B7" s="3">
        <f>1/G2</f>
        <v>1</v>
      </c>
      <c r="C7" s="3">
        <f>1/G3</f>
        <v>1.5</v>
      </c>
      <c r="D7" s="3">
        <f>1/G4</f>
        <v>4</v>
      </c>
      <c r="E7" s="3">
        <f>1/G5</f>
        <v>0.79370052598409968</v>
      </c>
      <c r="F7" s="3">
        <f>1/G6</f>
        <v>0.23112042478354489</v>
      </c>
      <c r="G7" s="3">
        <v>1</v>
      </c>
      <c r="H7" s="3">
        <f>GEOMEAN('NORMALISASI JUMLAH SISWA'!AC11,'NORMALISASI JUMLAH SISWA'!AC121,'NORMALISASI JUMLAH SISWA'!AC231)</f>
        <v>2.4101422641752301</v>
      </c>
      <c r="I7" s="3">
        <f>GEOMEAN('NORMALISASI JUMLAH SISWA'!AD11,'NORMALISASI JUMLAH SISWA'!AD121,'NORMALISASI JUMLAH SISWA'!AD231)</f>
        <v>1.4422495703074083</v>
      </c>
      <c r="J7" s="3">
        <f>GEOMEAN('NORMALISASI JUMLAH SISWA'!AE11,'NORMALISASI JUMLAH SISWA'!AE121,'NORMALISASI JUMLAH SISWA'!AE231)</f>
        <v>0.32931687800417475</v>
      </c>
      <c r="K7" s="3">
        <f>GEOMEAN('NORMALISASI JUMLAH SISWA'!AF11,'NORMALISASI JUMLAH SISWA'!AF121,'NORMALISASI JUMLAH SISWA'!AF231)</f>
        <v>1.8171205928321397</v>
      </c>
      <c r="L7" s="3">
        <f>GEOMEAN('NORMALISASI JUMLAH SISWA'!AG11,'NORMALISASI JUMLAH SISWA'!AG121,'NORMALISASI JUMLAH SISWA'!AG231)</f>
        <v>0.6299605249474366</v>
      </c>
      <c r="M7" s="3">
        <f>GEOMEAN('NORMALISASI JUMLAH SISWA'!AH11,'NORMALISASI JUMLAH SISWA'!AH121,'NORMALISASI JUMLAH SISWA'!AH231)</f>
        <v>0.90856029641606983</v>
      </c>
      <c r="N7" s="3">
        <f>GEOMEAN('NORMALISASI JUMLAH SISWA'!AI11,'NORMALISASI JUMLAH SISWA'!AI121,'NORMALISASI JUMLAH SISWA'!AI231)</f>
        <v>0.69336127435063466</v>
      </c>
      <c r="O7" s="3">
        <f>GEOMEAN('NORMALISASI JUMLAH SISWA'!AJ11,'NORMALISASI JUMLAH SISWA'!AJ121,'NORMALISASI JUMLAH SISWA'!AJ231)</f>
        <v>0.69336127435063466</v>
      </c>
      <c r="P7" s="3">
        <f>GEOMEAN('NORMALISASI JUMLAH SISWA'!AK11,'NORMALISASI JUMLAH SISWA'!AK121,'NORMALISASI JUMLAH SISWA'!AK231)</f>
        <v>0.39413202519730295</v>
      </c>
    </row>
    <row r="8" spans="1:16" x14ac:dyDescent="0.5">
      <c r="A8" s="2" t="s">
        <v>10</v>
      </c>
      <c r="B8" s="3">
        <f>1/H2</f>
        <v>0.39685026299204984</v>
      </c>
      <c r="C8" s="3">
        <f>1/H3</f>
        <v>1.2331060371652351</v>
      </c>
      <c r="D8" s="3">
        <f>1/H4</f>
        <v>0.60570686427737985</v>
      </c>
      <c r="E8" s="3">
        <f>1/H5</f>
        <v>0.39685026299204984</v>
      </c>
      <c r="F8" s="3">
        <f>1/H6</f>
        <v>0.12565790685485895</v>
      </c>
      <c r="G8" s="3">
        <f>1/H7</f>
        <v>0.41491326668312167</v>
      </c>
      <c r="H8" s="3">
        <v>1</v>
      </c>
      <c r="I8" s="3">
        <f>GEOMEAN('NORMALISASI JUMLAH SISWA'!AD12,'NORMALISASI JUMLAH SISWA'!AD122,'NORMALISASI JUMLAH SISWA'!AD232)</f>
        <v>0.6299605249474366</v>
      </c>
      <c r="J8" s="3">
        <f>GEOMEAN('NORMALISASI JUMLAH SISWA'!AE12,'NORMALISASI JUMLAH SISWA'!AE122,'NORMALISASI JUMLAH SISWA'!AE232)</f>
        <v>0.20274006651911333</v>
      </c>
      <c r="K8" s="3">
        <f>GEOMEAN('NORMALISASI JUMLAH SISWA'!AF12,'NORMALISASI JUMLAH SISWA'!AF122,'NORMALISASI JUMLAH SISWA'!AF232)</f>
        <v>0.69336127435063466</v>
      </c>
      <c r="L8" s="3">
        <f>GEOMEAN('NORMALISASI JUMLAH SISWA'!AG12,'NORMALISASI JUMLAH SISWA'!AG122,'NORMALISASI JUMLAH SISWA'!AG232)</f>
        <v>0.21544346900318839</v>
      </c>
      <c r="M8" s="3">
        <f>GEOMEAN('NORMALISASI JUMLAH SISWA'!AH12,'NORMALISASI JUMLAH SISWA'!AH122,'NORMALISASI JUMLAH SISWA'!AH232)</f>
        <v>0.43679023236814946</v>
      </c>
      <c r="N8" s="3">
        <f>GEOMEAN('NORMALISASI JUMLAH SISWA'!AI12,'NORMALISASI JUMLAH SISWA'!AI122,'NORMALISASI JUMLAH SISWA'!AI232)</f>
        <v>0.58480354764257325</v>
      </c>
      <c r="O8" s="3">
        <f>GEOMEAN('NORMALISASI JUMLAH SISWA'!AJ12,'NORMALISASI JUMLAH SISWA'!AJ122,'NORMALISASI JUMLAH SISWA'!AJ232)</f>
        <v>0.92831776672255584</v>
      </c>
      <c r="P8" s="3">
        <f>GEOMEAN('NORMALISASI JUMLAH SISWA'!AK12,'NORMALISASI JUMLAH SISWA'!AK122,'NORMALISASI JUMLAH SISWA'!AK232)</f>
        <v>0.18947891466173294</v>
      </c>
    </row>
    <row r="9" spans="1:16" x14ac:dyDescent="0.5">
      <c r="A9" s="2" t="s">
        <v>11</v>
      </c>
      <c r="B9" s="3">
        <f>1/I2</f>
        <v>0.79370052598409968</v>
      </c>
      <c r="C9" s="3">
        <f>1/I3</f>
        <v>3.9790572078963917</v>
      </c>
      <c r="D9" s="3">
        <f>1/I4</f>
        <v>0.90856029641606983</v>
      </c>
      <c r="E9" s="3">
        <f>1/I5</f>
        <v>0.43679023236814946</v>
      </c>
      <c r="F9" s="3">
        <f>1/I6</f>
        <v>0.16666666666666666</v>
      </c>
      <c r="G9" s="3">
        <f>1/I7</f>
        <v>0.69336127435063477</v>
      </c>
      <c r="H9" s="3">
        <f>1/I8</f>
        <v>1.5874010519681994</v>
      </c>
      <c r="I9" s="3">
        <v>1</v>
      </c>
      <c r="J9" s="3">
        <f>GEOMEAN('NORMALISASI JUMLAH SISWA'!AE13,'NORMALISASI JUMLAH SISWA'!AE123,'NORMALISASI JUMLAH SISWA'!AE233)</f>
        <v>0.27516060407455223</v>
      </c>
      <c r="K9" s="3">
        <f>GEOMEAN('NORMALISASI JUMLAH SISWA'!AF13,'NORMALISASI JUMLAH SISWA'!AF123,'NORMALISASI JUMLAH SISWA'!AF233)</f>
        <v>1</v>
      </c>
      <c r="L9" s="3">
        <f>GEOMEAN('NORMALISASI JUMLAH SISWA'!AG13,'NORMALISASI JUMLAH SISWA'!AG123,'NORMALISASI JUMLAH SISWA'!AG233)</f>
        <v>0.2554364774645177</v>
      </c>
      <c r="M9" s="3">
        <f>GEOMEAN('NORMALISASI JUMLAH SISWA'!AH13,'NORMALISASI JUMLAH SISWA'!AH123,'NORMALISASI JUMLAH SISWA'!AH233)</f>
        <v>0.43679023236814946</v>
      </c>
      <c r="N9" s="3">
        <f>GEOMEAN('NORMALISASI JUMLAH SISWA'!AI13,'NORMALISASI JUMLAH SISWA'!AI123,'NORMALISASI JUMLAH SISWA'!AI233)</f>
        <v>0.79370052598409979</v>
      </c>
      <c r="O9" s="3">
        <f>GEOMEAN('NORMALISASI JUMLAH SISWA'!AJ13,'NORMALISASI JUMLAH SISWA'!AJ123,'NORMALISASI JUMLAH SISWA'!AJ233)</f>
        <v>1.1006424162982089</v>
      </c>
      <c r="P9" s="3">
        <f>GEOMEAN('NORMALISASI JUMLAH SISWA'!AK13,'NORMALISASI JUMLAH SISWA'!AK123,'NORMALISASI JUMLAH SISWA'!AK233)</f>
        <v>0.17215301886965928</v>
      </c>
    </row>
    <row r="10" spans="1:16" x14ac:dyDescent="0.5">
      <c r="A10" s="2" t="s">
        <v>12</v>
      </c>
      <c r="B10" s="3">
        <f>1/J2</f>
        <v>5.6462161732861702</v>
      </c>
      <c r="C10" s="3">
        <f>1/J3</f>
        <v>7.9581144157927834</v>
      </c>
      <c r="D10" s="3">
        <f>1/J4</f>
        <v>1.8898815748423097</v>
      </c>
      <c r="E10" s="3">
        <f>1/J5</f>
        <v>2.2894284851066637</v>
      </c>
      <c r="F10" s="3">
        <f>1/J6</f>
        <v>0.90856029641606983</v>
      </c>
      <c r="G10" s="3">
        <f>1/J7</f>
        <v>3.0365889718756627</v>
      </c>
      <c r="H10" s="3">
        <f>1/J8</f>
        <v>4.9324241486609406</v>
      </c>
      <c r="I10" s="3">
        <f>1/J9</f>
        <v>3.6342411856642793</v>
      </c>
      <c r="J10" s="3">
        <v>1</v>
      </c>
      <c r="K10" s="3">
        <f>GEOMEAN('NORMALISASI JUMLAH SISWA'!AF14,'NORMALISASI JUMLAH SISWA'!AF124,'NORMALISASI JUMLAH SISWA'!AF234)</f>
        <v>6.0731779437513254</v>
      </c>
      <c r="L10" s="3">
        <f>GEOMEAN('NORMALISASI JUMLAH SISWA'!AG14,'NORMALISASI JUMLAH SISWA'!AG124,'NORMALISASI JUMLAH SISWA'!AG234)</f>
        <v>3.3019272488946267</v>
      </c>
      <c r="M10" s="3">
        <f>GEOMEAN('NORMALISASI JUMLAH SISWA'!AH14,'NORMALISASI JUMLAH SISWA'!AH124,'NORMALISASI JUMLAH SISWA'!AH234)</f>
        <v>5.0132979349645845</v>
      </c>
      <c r="N10" s="3">
        <f>GEOMEAN('NORMALISASI JUMLAH SISWA'!AI14,'NORMALISASI JUMLAH SISWA'!AI124,'NORMALISASI JUMLAH SISWA'!AI234)</f>
        <v>2.9043928667818522</v>
      </c>
      <c r="O10" s="3">
        <f>GEOMEAN('NORMALISASI JUMLAH SISWA'!AJ14,'NORMALISASI JUMLAH SISWA'!AJ124,'NORMALISASI JUMLAH SISWA'!AJ234)</f>
        <v>0.87358046473629891</v>
      </c>
      <c r="P10" s="3">
        <f>GEOMEAN('NORMALISASI JUMLAH SISWA'!AK14,'NORMALISASI JUMLAH SISWA'!AK124,'NORMALISASI JUMLAH SISWA'!AK234)</f>
        <v>1.1447142425533319</v>
      </c>
    </row>
    <row r="11" spans="1:16" x14ac:dyDescent="0.5">
      <c r="A11" s="2" t="s">
        <v>13</v>
      </c>
      <c r="B11" s="3">
        <f>1/K2</f>
        <v>0.69336127435063477</v>
      </c>
      <c r="C11" s="3">
        <f>1/K3</f>
        <v>3</v>
      </c>
      <c r="D11" s="3">
        <f>1/K4</f>
        <v>0.60570686427737985</v>
      </c>
      <c r="E11" s="3">
        <f>1/K5</f>
        <v>0.36840314986403866</v>
      </c>
      <c r="F11" s="3">
        <f>1/K6</f>
        <v>0.13830442222770725</v>
      </c>
      <c r="G11" s="3">
        <f>1/K7</f>
        <v>0.55032120814910446</v>
      </c>
      <c r="H11" s="3">
        <f>1/K8</f>
        <v>1.4422495703074085</v>
      </c>
      <c r="I11" s="3">
        <f>1/K9</f>
        <v>1</v>
      </c>
      <c r="J11" s="3">
        <f>1/K10</f>
        <v>0.16465843900208738</v>
      </c>
      <c r="K11" s="3">
        <v>1</v>
      </c>
      <c r="L11" s="3">
        <f>GEOMEAN('NORMALISASI JUMLAH SISWA'!AG15,'NORMALISASI JUMLAH SISWA'!AG125,'NORMALISASI JUMLAH SISWA'!AG235)</f>
        <v>0.27516060407455223</v>
      </c>
      <c r="M11" s="3">
        <f>GEOMEAN('NORMALISASI JUMLAH SISWA'!AH15,'NORMALISASI JUMLAH SISWA'!AH125,'NORMALISASI JUMLAH SISWA'!AH235)</f>
        <v>0.55032120814910446</v>
      </c>
      <c r="N11" s="3">
        <f>GEOMEAN('NORMALISASI JUMLAH SISWA'!AI15,'NORMALISASI JUMLAH SISWA'!AI125,'NORMALISASI JUMLAH SISWA'!AI235)</f>
        <v>0.5</v>
      </c>
      <c r="O11" s="3">
        <f>GEOMEAN('NORMALISASI JUMLAH SISWA'!AJ15,'NORMALISASI JUMLAH SISWA'!AJ125,'NORMALISASI JUMLAH SISWA'!AJ235)</f>
        <v>0.28114422176724974</v>
      </c>
      <c r="P11" s="3">
        <f>GEOMEAN('NORMALISASI JUMLAH SISWA'!AK15,'NORMALISASI JUMLAH SISWA'!AK125,'NORMALISASI JUMLAH SISWA'!AK235)</f>
        <v>0.19946949352952514</v>
      </c>
    </row>
    <row r="12" spans="1:16" x14ac:dyDescent="0.5">
      <c r="A12" s="2" t="s">
        <v>14</v>
      </c>
      <c r="B12" s="3">
        <f>1/L2</f>
        <v>2.5198420997897459</v>
      </c>
      <c r="C12" s="3">
        <f>1/L3</f>
        <v>6.8399037867067873</v>
      </c>
      <c r="D12" s="3">
        <f>1/L4</f>
        <v>3.556893304490063</v>
      </c>
      <c r="E12" s="3">
        <f>1/L5</f>
        <v>1.259921049894873</v>
      </c>
      <c r="F12" s="3">
        <f>1/L6</f>
        <v>0.19078570709222201</v>
      </c>
      <c r="G12" s="3">
        <f>1/L7</f>
        <v>1.5874010519681994</v>
      </c>
      <c r="H12" s="3">
        <f>1/L8</f>
        <v>4.6415888336127784</v>
      </c>
      <c r="I12" s="3">
        <f>1/L9</f>
        <v>3.9148676411688639</v>
      </c>
      <c r="J12" s="3">
        <f>1/L10</f>
        <v>0.30285343213868993</v>
      </c>
      <c r="K12" s="3">
        <f>1/L11</f>
        <v>3.6342411856642793</v>
      </c>
      <c r="L12" s="3">
        <v>1</v>
      </c>
      <c r="M12" s="3">
        <f>GEOMEAN('NORMALISASI JUMLAH SISWA'!AH16,'NORMALISASI JUMLAH SISWA'!AH126,'NORMALISASI JUMLAH SISWA'!AH236)</f>
        <v>2.6207413942088964</v>
      </c>
      <c r="N12" s="3">
        <f>GEOMEAN('NORMALISASI JUMLAH SISWA'!AI16,'NORMALISASI JUMLAH SISWA'!AI126,'NORMALISASI JUMLAH SISWA'!AI236)</f>
        <v>1.4422495703074083</v>
      </c>
      <c r="O12" s="3">
        <f>GEOMEAN('NORMALISASI JUMLAH SISWA'!AJ16,'NORMALISASI JUMLAH SISWA'!AJ126,'NORMALISASI JUMLAH SISWA'!AJ236)</f>
        <v>0.69336127435063466</v>
      </c>
      <c r="P12" s="3">
        <f>GEOMEAN('NORMALISASI JUMLAH SISWA'!AK16,'NORMALISASI JUMLAH SISWA'!AK126,'NORMALISASI JUMLAH SISWA'!AK236)</f>
        <v>0.69336127435063466</v>
      </c>
    </row>
    <row r="13" spans="1:16" x14ac:dyDescent="0.5">
      <c r="A13" s="2" t="s">
        <v>15</v>
      </c>
      <c r="B13" s="3">
        <f>1/M2</f>
        <v>0.69336127435063477</v>
      </c>
      <c r="C13" s="3">
        <f>1/M3</f>
        <v>4</v>
      </c>
      <c r="D13" s="3">
        <f>1/M4</f>
        <v>4</v>
      </c>
      <c r="E13" s="3">
        <f>1/M5</f>
        <v>1.1447142425533319</v>
      </c>
      <c r="F13" s="3">
        <f>1/M6</f>
        <v>7.2055479694225322E-2</v>
      </c>
      <c r="G13" s="3">
        <f>1/M7</f>
        <v>1.1006424162982089</v>
      </c>
      <c r="H13" s="3">
        <f>1/M8</f>
        <v>2.2894284851066637</v>
      </c>
      <c r="I13" s="3">
        <f>1/M9</f>
        <v>2.2894284851066637</v>
      </c>
      <c r="J13" s="3">
        <f>1/M10</f>
        <v>0.19946949352952514</v>
      </c>
      <c r="K13" s="3">
        <f>1/M11</f>
        <v>1.8171205928321397</v>
      </c>
      <c r="L13" s="3">
        <f>1/M12</f>
        <v>0.38157141418444401</v>
      </c>
      <c r="M13" s="3">
        <v>1</v>
      </c>
      <c r="N13" s="3">
        <f>GEOMEAN('NORMALISASI JUMLAH SISWA'!AI17,'NORMALISASI JUMLAH SISWA'!AI127,'NORMALISASI JUMLAH SISWA'!AI237)</f>
        <v>0.20998684164914552</v>
      </c>
      <c r="O13" s="3">
        <f>GEOMEAN('NORMALISASI JUMLAH SISWA'!AJ17,'NORMALISASI JUMLAH SISWA'!AJ127,'NORMALISASI JUMLAH SISWA'!AJ237)</f>
        <v>0.22314431669405652</v>
      </c>
      <c r="P13" s="3">
        <f>GEOMEAN('NORMALISASI JUMLAH SISWA'!AK17,'NORMALISASI JUMLAH SISWA'!AK127,'NORMALISASI JUMLAH SISWA'!AK237)</f>
        <v>1.5874010519681994</v>
      </c>
    </row>
    <row r="14" spans="1:16" x14ac:dyDescent="0.5">
      <c r="A14" s="2" t="s">
        <v>16</v>
      </c>
      <c r="B14" s="3">
        <f>1/N2</f>
        <v>0.69336127435063477</v>
      </c>
      <c r="C14" s="3">
        <f>1/N3</f>
        <v>3.556893304490063</v>
      </c>
      <c r="D14" s="3">
        <f>1/N4</f>
        <v>3.556893304490063</v>
      </c>
      <c r="E14" s="3">
        <f>1/N5</f>
        <v>0.87358046473629891</v>
      </c>
      <c r="F14" s="3">
        <f>1/N6</f>
        <v>0.34668063717531739</v>
      </c>
      <c r="G14" s="3">
        <f>1/N7</f>
        <v>1.4422495703074085</v>
      </c>
      <c r="H14" s="3">
        <f>1/N8</f>
        <v>1.7099759466766968</v>
      </c>
      <c r="I14" s="3">
        <f>1/N9</f>
        <v>1.259921049894873</v>
      </c>
      <c r="J14" s="3">
        <f>1/N10</f>
        <v>0.34430603773931856</v>
      </c>
      <c r="K14" s="3">
        <f>1/N11</f>
        <v>2</v>
      </c>
      <c r="L14" s="3">
        <f>1/N12</f>
        <v>0.69336127435063477</v>
      </c>
      <c r="M14" s="3">
        <f>1/N13</f>
        <v>4.762203155904599</v>
      </c>
      <c r="N14" s="3">
        <v>1</v>
      </c>
      <c r="O14" s="3">
        <f>GEOMEAN('NORMALISASI JUMLAH SISWA'!AJ18,'NORMALISASI JUMLAH SISWA'!AJ128,'NORMALISASI JUMLAH SISWA'!AJ238)</f>
        <v>0.30285343213868993</v>
      </c>
      <c r="P14" s="3">
        <f>GEOMEAN('NORMALISASI JUMLAH SISWA'!AK18,'NORMALISASI JUMLAH SISWA'!AK128,'NORMALISASI JUMLAH SISWA'!AK238)</f>
        <v>0.43379842455366607</v>
      </c>
    </row>
    <row r="15" spans="1:16" x14ac:dyDescent="0.5">
      <c r="A15" s="2" t="s">
        <v>17</v>
      </c>
      <c r="B15" s="3">
        <f>1/O2</f>
        <v>0.6299605249474366</v>
      </c>
      <c r="C15" s="3">
        <f>1/O3</f>
        <v>1.7099759466766968</v>
      </c>
      <c r="D15" s="3">
        <f>1/O4</f>
        <v>2.7144176165949068</v>
      </c>
      <c r="E15" s="3">
        <f>1/O5</f>
        <v>0.6299605249474366</v>
      </c>
      <c r="F15" s="3">
        <f>1/O6</f>
        <v>0.36246012433429736</v>
      </c>
      <c r="G15" s="3">
        <f>1/O7</f>
        <v>1.4422495703074085</v>
      </c>
      <c r="H15" s="3">
        <f>1/O8</f>
        <v>1.0772173450159417</v>
      </c>
      <c r="I15" s="3">
        <f>1/O9</f>
        <v>0.90856029641606983</v>
      </c>
      <c r="J15" s="3">
        <f>1/O10</f>
        <v>1.1447142425533319</v>
      </c>
      <c r="K15" s="3">
        <f>1/O11</f>
        <v>3.556893304490063</v>
      </c>
      <c r="L15" s="3">
        <f>1/O12</f>
        <v>1.4422495703074085</v>
      </c>
      <c r="M15" s="3">
        <f>1/O13</f>
        <v>4.4814047465571649</v>
      </c>
      <c r="N15" s="3">
        <f>1/O14</f>
        <v>3.3019272488946267</v>
      </c>
      <c r="O15" s="3">
        <v>1</v>
      </c>
      <c r="P15" s="3">
        <f>GEOMEAN('NORMALISASI JUMLAH SISWA'!AK19,'NORMALISASI JUMLAH SISWA'!AK129,'NORMALISASI JUMLAH SISWA'!AK239)</f>
        <v>2.5198420997897464</v>
      </c>
    </row>
    <row r="16" spans="1:16" x14ac:dyDescent="0.5">
      <c r="A16" s="2" t="s">
        <v>18</v>
      </c>
      <c r="B16" s="3">
        <f>1/P2</f>
        <v>2.1544346900318834</v>
      </c>
      <c r="C16" s="3">
        <f>1/P3</f>
        <v>6.3163595976563789</v>
      </c>
      <c r="D16" s="3">
        <f>1/P4</f>
        <v>4</v>
      </c>
      <c r="E16" s="3">
        <f>1/P5</f>
        <v>3</v>
      </c>
      <c r="F16" s="3">
        <f>1/P6</f>
        <v>0.43679023236814946</v>
      </c>
      <c r="G16" s="3">
        <f>1/P7</f>
        <v>2.5372208703400818</v>
      </c>
      <c r="H16" s="3">
        <f>1/P8</f>
        <v>5.2776320879040766</v>
      </c>
      <c r="I16" s="3">
        <f>1/P9</f>
        <v>5.8087857335637043</v>
      </c>
      <c r="J16" s="3">
        <f>1/P10</f>
        <v>0.87358046473629891</v>
      </c>
      <c r="K16" s="3">
        <f>1/P11</f>
        <v>5.0132979349645845</v>
      </c>
      <c r="L16" s="3">
        <f>1/P12</f>
        <v>1.4422495703074085</v>
      </c>
      <c r="M16" s="3">
        <f>1/P13</f>
        <v>0.6299605249474366</v>
      </c>
      <c r="N16" s="3">
        <f>1/P14</f>
        <v>2.3052181460292234</v>
      </c>
      <c r="O16" s="3">
        <f>1/P15</f>
        <v>0.39685026299204984</v>
      </c>
      <c r="P16" s="3">
        <v>1</v>
      </c>
    </row>
    <row r="17" spans="1:17" x14ac:dyDescent="0.5">
      <c r="A17" s="75" t="s">
        <v>67</v>
      </c>
      <c r="B17">
        <f>SUM(B2:B16)</f>
        <v>23.093409711408821</v>
      </c>
      <c r="C17">
        <f t="shared" ref="C17:P17" si="0">SUM(C2:C16)</f>
        <v>48.375544943451089</v>
      </c>
      <c r="D17">
        <f t="shared" si="0"/>
        <v>36.867430427205591</v>
      </c>
      <c r="E17">
        <f t="shared" si="0"/>
        <v>18.207468610410061</v>
      </c>
      <c r="F17">
        <f t="shared" si="0"/>
        <v>5.0974767415672684</v>
      </c>
      <c r="G17">
        <f t="shared" si="0"/>
        <v>21.308284627763594</v>
      </c>
      <c r="H17">
        <f t="shared" si="0"/>
        <v>41.82778223932398</v>
      </c>
      <c r="I17">
        <f t="shared" si="0"/>
        <v>32.789322252078769</v>
      </c>
      <c r="J17">
        <f t="shared" si="0"/>
        <v>7.2061336593381444</v>
      </c>
      <c r="K17">
        <f t="shared" si="0"/>
        <v>39.976603766093817</v>
      </c>
      <c r="L17">
        <f t="shared" si="0"/>
        <v>16.496738839606053</v>
      </c>
      <c r="M17">
        <f t="shared" si="0"/>
        <v>37.534094788476089</v>
      </c>
      <c r="N17">
        <f t="shared" si="0"/>
        <v>19.769391418649622</v>
      </c>
      <c r="O17">
        <f t="shared" si="0"/>
        <v>13.380188407874511</v>
      </c>
      <c r="P17">
        <f t="shared" si="0"/>
        <v>11.829590289207241</v>
      </c>
    </row>
    <row r="20" spans="1:17" x14ac:dyDescent="0.5">
      <c r="A20" s="63" t="s">
        <v>21</v>
      </c>
      <c r="B20" s="2" t="s">
        <v>4</v>
      </c>
      <c r="C20" s="2" t="s">
        <v>5</v>
      </c>
      <c r="D20" s="2" t="s">
        <v>6</v>
      </c>
      <c r="E20" s="2" t="s">
        <v>7</v>
      </c>
      <c r="F20" s="2" t="s">
        <v>8</v>
      </c>
      <c r="G20" s="2" t="s">
        <v>9</v>
      </c>
      <c r="H20" s="2" t="s">
        <v>10</v>
      </c>
      <c r="I20" s="2" t="s">
        <v>11</v>
      </c>
      <c r="J20" s="2" t="s">
        <v>12</v>
      </c>
      <c r="K20" s="2" t="s">
        <v>13</v>
      </c>
      <c r="L20" s="2" t="s">
        <v>14</v>
      </c>
      <c r="M20" s="2" t="s">
        <v>15</v>
      </c>
      <c r="N20" s="2" t="s">
        <v>16</v>
      </c>
      <c r="O20" s="2" t="s">
        <v>17</v>
      </c>
      <c r="P20" s="2" t="s">
        <v>18</v>
      </c>
      <c r="Q20" s="75" t="s">
        <v>68</v>
      </c>
    </row>
    <row r="21" spans="1:17" x14ac:dyDescent="0.5">
      <c r="A21" s="2" t="s">
        <v>4</v>
      </c>
      <c r="B21" s="3">
        <f t="shared" ref="B21:B35" si="1">B2/$B$17</f>
        <v>4.3302397198884436E-2</v>
      </c>
      <c r="C21" s="3">
        <f t="shared" ref="C21:C35" si="2">C2/$C$17</f>
        <v>4.2021081437035042E-2</v>
      </c>
      <c r="D21" s="3">
        <f t="shared" ref="D21:D35" si="3">D2/$D$17</f>
        <v>4.2140616662843661E-2</v>
      </c>
      <c r="E21" s="3">
        <f t="shared" ref="E21:E35" si="4">E2/$E$17</f>
        <v>4.0467256349233011E-2</v>
      </c>
      <c r="F21" s="3">
        <f t="shared" ref="F21:F35" si="5">F2/$F$17</f>
        <v>4.4793842478218569E-2</v>
      </c>
      <c r="G21" s="3">
        <f t="shared" ref="G21:G35" si="6">G2/$G$17</f>
        <v>4.6930103359753866E-2</v>
      </c>
      <c r="H21" s="3">
        <f t="shared" ref="H21:H35" si="7">H2/$H$17</f>
        <v>6.0243263326085254E-2</v>
      </c>
      <c r="I21" s="3">
        <f t="shared" ref="I21:I35" si="8">I2/$I$17</f>
        <v>3.8424735961567397E-2</v>
      </c>
      <c r="J21" s="3">
        <f t="shared" ref="J21:J35" si="9">J2/$J$17</f>
        <v>2.4577640369038346E-2</v>
      </c>
      <c r="K21" s="3">
        <f t="shared" ref="K21:K35" si="10">K2/$K$17</f>
        <v>3.6077341105465621E-2</v>
      </c>
      <c r="L21" s="3">
        <f t="shared" ref="L21:L35" si="11">L2/$L$17</f>
        <v>2.4056285721107216E-2</v>
      </c>
      <c r="M21" s="3">
        <f t="shared" ref="M21:M35" si="12">M2/$M$17</f>
        <v>3.8425052700357523E-2</v>
      </c>
      <c r="N21" s="3">
        <f t="shared" ref="N21:N35" si="13">N2/$N$17</f>
        <v>7.2953665581574248E-2</v>
      </c>
      <c r="O21" s="3">
        <f t="shared" ref="O21:O35" si="14">O2/$O$17</f>
        <v>0.11863816887914536</v>
      </c>
      <c r="P21" s="3">
        <f t="shared" ref="P21:P35" si="15">P2/$P$17</f>
        <v>3.9237105598217935E-2</v>
      </c>
      <c r="Q21">
        <f>AVERAGE(B21:P21)</f>
        <v>4.7485903781901838E-2</v>
      </c>
    </row>
    <row r="22" spans="1:17" x14ac:dyDescent="0.5">
      <c r="A22" s="2" t="s">
        <v>5</v>
      </c>
      <c r="B22" s="3">
        <f t="shared" si="1"/>
        <v>2.1301924642166143E-2</v>
      </c>
      <c r="C22" s="3">
        <f t="shared" si="2"/>
        <v>2.0671601760123975E-2</v>
      </c>
      <c r="D22" s="3">
        <f t="shared" si="3"/>
        <v>1.7864921649715076E-2</v>
      </c>
      <c r="E22" s="3">
        <f t="shared" si="4"/>
        <v>3.3266945407834946E-2</v>
      </c>
      <c r="F22" s="3">
        <f t="shared" si="5"/>
        <v>9.4311338951067969E-2</v>
      </c>
      <c r="G22" s="3">
        <f t="shared" si="6"/>
        <v>3.1286735573169244E-2</v>
      </c>
      <c r="H22" s="3">
        <f t="shared" si="7"/>
        <v>1.9388077078445649E-2</v>
      </c>
      <c r="I22" s="3">
        <f t="shared" si="8"/>
        <v>7.6645626212595809E-3</v>
      </c>
      <c r="J22" s="3">
        <f t="shared" si="9"/>
        <v>1.7437631994519538E-2</v>
      </c>
      <c r="K22" s="3">
        <f t="shared" si="10"/>
        <v>8.3382104013560599E-3</v>
      </c>
      <c r="L22" s="3">
        <f t="shared" si="11"/>
        <v>8.8624114336851943E-3</v>
      </c>
      <c r="M22" s="3">
        <f t="shared" si="12"/>
        <v>6.6606108768275472E-3</v>
      </c>
      <c r="N22" s="3">
        <f t="shared" si="13"/>
        <v>1.4221187481878171E-2</v>
      </c>
      <c r="O22" s="3">
        <f t="shared" si="14"/>
        <v>4.3706675109178923E-2</v>
      </c>
      <c r="P22" s="3">
        <f t="shared" si="15"/>
        <v>1.3383307288047744E-2</v>
      </c>
      <c r="Q22">
        <f t="shared" ref="Q22:Q35" si="16">AVERAGE(B22:P22)</f>
        <v>2.3891076151285055E-2</v>
      </c>
    </row>
    <row r="23" spans="1:17" x14ac:dyDescent="0.5">
      <c r="A23" s="2" t="s">
        <v>6</v>
      </c>
      <c r="B23" s="3">
        <f t="shared" si="1"/>
        <v>2.7872003215666324E-2</v>
      </c>
      <c r="C23" s="3">
        <f t="shared" si="2"/>
        <v>3.1385578967899001E-2</v>
      </c>
      <c r="D23" s="3">
        <f t="shared" si="3"/>
        <v>2.7124212032473786E-2</v>
      </c>
      <c r="E23" s="3">
        <f t="shared" si="4"/>
        <v>3.0225025780599733E-2</v>
      </c>
      <c r="F23" s="3">
        <f t="shared" si="5"/>
        <v>3.2695915080413564E-2</v>
      </c>
      <c r="G23" s="3">
        <f t="shared" si="6"/>
        <v>1.1732525839938467E-2</v>
      </c>
      <c r="H23" s="3">
        <f t="shared" si="7"/>
        <v>3.9470503480224586E-2</v>
      </c>
      <c r="I23" s="3">
        <f t="shared" si="8"/>
        <v>3.3567098698675621E-2</v>
      </c>
      <c r="J23" s="3">
        <f t="shared" si="9"/>
        <v>7.3428236139322284E-2</v>
      </c>
      <c r="K23" s="3">
        <f t="shared" si="10"/>
        <v>4.1298246196881272E-2</v>
      </c>
      <c r="L23" s="3">
        <f t="shared" si="11"/>
        <v>1.7042412109493244E-2</v>
      </c>
      <c r="M23" s="3">
        <f t="shared" si="12"/>
        <v>6.6606108768275472E-3</v>
      </c>
      <c r="N23" s="3">
        <f t="shared" si="13"/>
        <v>1.4221187481878171E-2</v>
      </c>
      <c r="O23" s="3">
        <f t="shared" si="14"/>
        <v>2.7533479995485412E-2</v>
      </c>
      <c r="P23" s="3">
        <f t="shared" si="15"/>
        <v>2.1133445359311234E-2</v>
      </c>
      <c r="Q23">
        <f t="shared" si="16"/>
        <v>2.9026032083672684E-2</v>
      </c>
    </row>
    <row r="24" spans="1:17" x14ac:dyDescent="0.5">
      <c r="A24" s="2" t="s">
        <v>7</v>
      </c>
      <c r="B24" s="3">
        <f t="shared" si="1"/>
        <v>5.8770394898720928E-2</v>
      </c>
      <c r="C24" s="3">
        <f t="shared" si="2"/>
        <v>3.4128062565025742E-2</v>
      </c>
      <c r="D24" s="3">
        <f t="shared" si="3"/>
        <v>4.9287964248553418E-2</v>
      </c>
      <c r="E24" s="3">
        <f t="shared" si="4"/>
        <v>5.4922516764810088E-2</v>
      </c>
      <c r="F24" s="3">
        <f t="shared" si="5"/>
        <v>4.760056055609501E-2</v>
      </c>
      <c r="G24" s="3">
        <f t="shared" si="6"/>
        <v>5.9128225096696012E-2</v>
      </c>
      <c r="H24" s="3">
        <f t="shared" si="7"/>
        <v>6.0243263326085254E-2</v>
      </c>
      <c r="I24" s="3">
        <f t="shared" si="8"/>
        <v>6.982237898990179E-2</v>
      </c>
      <c r="J24" s="3">
        <f t="shared" si="9"/>
        <v>6.0613673436674356E-2</v>
      </c>
      <c r="K24" s="3">
        <f t="shared" si="10"/>
        <v>6.7900155612947335E-2</v>
      </c>
      <c r="L24" s="3">
        <f t="shared" si="11"/>
        <v>4.8112571442214432E-2</v>
      </c>
      <c r="M24" s="3">
        <f t="shared" si="12"/>
        <v>2.3274318180826623E-2</v>
      </c>
      <c r="N24" s="3">
        <f t="shared" si="13"/>
        <v>5.7903362744563598E-2</v>
      </c>
      <c r="O24" s="3">
        <f t="shared" si="14"/>
        <v>0.11863816887914536</v>
      </c>
      <c r="P24" s="3">
        <f t="shared" si="15"/>
        <v>2.8177927145748311E-2</v>
      </c>
      <c r="Q24">
        <f t="shared" si="16"/>
        <v>5.5901569592533888E-2</v>
      </c>
    </row>
    <row r="25" spans="1:17" x14ac:dyDescent="0.5">
      <c r="A25" s="2" t="s">
        <v>8</v>
      </c>
      <c r="B25" s="3">
        <f t="shared" si="1"/>
        <v>0.18964367733554213</v>
      </c>
      <c r="C25" s="3">
        <f t="shared" si="2"/>
        <v>4.2998664417805151E-2</v>
      </c>
      <c r="D25" s="3">
        <f t="shared" si="3"/>
        <v>0.16274527219484269</v>
      </c>
      <c r="E25" s="3">
        <f t="shared" si="4"/>
        <v>0.22635136097130085</v>
      </c>
      <c r="F25" s="3">
        <f t="shared" si="5"/>
        <v>0.1961754904824814</v>
      </c>
      <c r="G25" s="3">
        <f t="shared" si="6"/>
        <v>0.20305476421526186</v>
      </c>
      <c r="H25" s="3">
        <f t="shared" si="7"/>
        <v>0.19025905725192957</v>
      </c>
      <c r="I25" s="3">
        <f t="shared" si="8"/>
        <v>0.18298639886097717</v>
      </c>
      <c r="J25" s="3">
        <f t="shared" si="9"/>
        <v>0.15273688614863948</v>
      </c>
      <c r="K25" s="3">
        <f t="shared" si="10"/>
        <v>0.18086645966304374</v>
      </c>
      <c r="L25" s="3">
        <f t="shared" si="11"/>
        <v>0.31772842131887452</v>
      </c>
      <c r="M25" s="3">
        <f t="shared" si="12"/>
        <v>0.36974902700488677</v>
      </c>
      <c r="N25" s="3">
        <f t="shared" si="13"/>
        <v>0.1459073311631485</v>
      </c>
      <c r="O25" s="3">
        <f t="shared" si="14"/>
        <v>0.20619471806222386</v>
      </c>
      <c r="P25" s="3">
        <f t="shared" si="15"/>
        <v>0.19353404717620948</v>
      </c>
      <c r="Q25">
        <f t="shared" si="16"/>
        <v>0.19739543841781118</v>
      </c>
    </row>
    <row r="26" spans="1:17" x14ac:dyDescent="0.5">
      <c r="A26" s="2" t="s">
        <v>9</v>
      </c>
      <c r="B26" s="3">
        <f t="shared" si="1"/>
        <v>4.3302397198884436E-2</v>
      </c>
      <c r="C26" s="3">
        <f t="shared" si="2"/>
        <v>3.1007402640185963E-2</v>
      </c>
      <c r="D26" s="3">
        <f t="shared" si="3"/>
        <v>0.10849684812989514</v>
      </c>
      <c r="E26" s="3">
        <f t="shared" si="4"/>
        <v>4.3592030444600298E-2</v>
      </c>
      <c r="F26" s="3">
        <f t="shared" si="5"/>
        <v>4.5340162692431372E-2</v>
      </c>
      <c r="G26" s="3">
        <f t="shared" si="6"/>
        <v>4.6930103359753866E-2</v>
      </c>
      <c r="H26" s="3">
        <f t="shared" si="7"/>
        <v>5.7620608484218377E-2</v>
      </c>
      <c r="I26" s="3">
        <f t="shared" si="8"/>
        <v>4.3985342521557391E-2</v>
      </c>
      <c r="J26" s="3">
        <f t="shared" si="9"/>
        <v>4.5699523985018788E-2</v>
      </c>
      <c r="K26" s="3">
        <f t="shared" si="10"/>
        <v>4.5454601483013717E-2</v>
      </c>
      <c r="L26" s="3">
        <f t="shared" si="11"/>
        <v>3.8186973260133164E-2</v>
      </c>
      <c r="M26" s="3">
        <f t="shared" si="12"/>
        <v>2.420626637025014E-2</v>
      </c>
      <c r="N26" s="3">
        <f t="shared" si="13"/>
        <v>3.5072464279125276E-2</v>
      </c>
      <c r="O26" s="3">
        <f t="shared" si="14"/>
        <v>5.1819993352453658E-2</v>
      </c>
      <c r="P26" s="3">
        <f t="shared" si="15"/>
        <v>3.3317470475447523E-2</v>
      </c>
      <c r="Q26">
        <f t="shared" si="16"/>
        <v>4.6268812578464609E-2</v>
      </c>
    </row>
    <row r="27" spans="1:17" x14ac:dyDescent="0.5">
      <c r="A27" s="2" t="s">
        <v>10</v>
      </c>
      <c r="B27" s="3">
        <f t="shared" si="1"/>
        <v>1.718456771656349E-2</v>
      </c>
      <c r="C27" s="3">
        <f t="shared" si="2"/>
        <v>2.5490276928284376E-2</v>
      </c>
      <c r="D27" s="3">
        <f t="shared" si="3"/>
        <v>1.6429321416184473E-2</v>
      </c>
      <c r="E27" s="3">
        <f t="shared" si="4"/>
        <v>2.1796015222300149E-2</v>
      </c>
      <c r="F27" s="3">
        <f t="shared" si="5"/>
        <v>2.4651001510253918E-2</v>
      </c>
      <c r="G27" s="3">
        <f t="shared" si="6"/>
        <v>1.9471922490772023E-2</v>
      </c>
      <c r="H27" s="3">
        <f t="shared" si="7"/>
        <v>2.3907554894456246E-2</v>
      </c>
      <c r="I27" s="3">
        <f t="shared" si="8"/>
        <v>1.9212367980783698E-2</v>
      </c>
      <c r="J27" s="3">
        <f t="shared" si="9"/>
        <v>2.8134374978791919E-2</v>
      </c>
      <c r="K27" s="3">
        <f t="shared" si="10"/>
        <v>1.7344176569063865E-2</v>
      </c>
      <c r="L27" s="3">
        <f t="shared" si="11"/>
        <v>1.3059761150242787E-2</v>
      </c>
      <c r="M27" s="3">
        <f t="shared" si="12"/>
        <v>1.1637159090413312E-2</v>
      </c>
      <c r="N27" s="3">
        <f t="shared" si="13"/>
        <v>2.958126202564303E-2</v>
      </c>
      <c r="O27" s="3">
        <f t="shared" si="14"/>
        <v>6.9380022046342943E-2</v>
      </c>
      <c r="P27" s="3">
        <f t="shared" si="15"/>
        <v>1.6017369158981318E-2</v>
      </c>
      <c r="Q27">
        <f t="shared" si="16"/>
        <v>2.355314354527184E-2</v>
      </c>
    </row>
    <row r="28" spans="1:17" x14ac:dyDescent="0.5">
      <c r="A28" s="2" t="s">
        <v>11</v>
      </c>
      <c r="B28" s="3">
        <f t="shared" si="1"/>
        <v>3.4369135433126981E-2</v>
      </c>
      <c r="C28" s="3">
        <f t="shared" si="2"/>
        <v>8.2253485982385036E-2</v>
      </c>
      <c r="D28" s="3">
        <f t="shared" si="3"/>
        <v>2.4643982124276709E-2</v>
      </c>
      <c r="E28" s="3">
        <f t="shared" si="4"/>
        <v>2.3989618859944984E-2</v>
      </c>
      <c r="F28" s="3">
        <f t="shared" si="5"/>
        <v>3.2695915080413564E-2</v>
      </c>
      <c r="G28" s="3">
        <f t="shared" si="6"/>
        <v>3.2539516270925953E-2</v>
      </c>
      <c r="H28" s="3">
        <f t="shared" si="7"/>
        <v>3.7950877789447314E-2</v>
      </c>
      <c r="I28" s="3">
        <f t="shared" si="8"/>
        <v>3.0497733143496197E-2</v>
      </c>
      <c r="J28" s="3">
        <f t="shared" si="9"/>
        <v>3.8184221537159869E-2</v>
      </c>
      <c r="K28" s="3">
        <f t="shared" si="10"/>
        <v>2.5014631204068181E-2</v>
      </c>
      <c r="L28" s="3">
        <f t="shared" si="11"/>
        <v>1.5484058997846E-2</v>
      </c>
      <c r="M28" s="3">
        <f t="shared" si="12"/>
        <v>1.1637159090413312E-2</v>
      </c>
      <c r="N28" s="3">
        <f t="shared" si="13"/>
        <v>4.0147949381757683E-2</v>
      </c>
      <c r="O28" s="3">
        <f t="shared" si="14"/>
        <v>8.2259111960670039E-2</v>
      </c>
      <c r="P28" s="3">
        <f t="shared" si="15"/>
        <v>1.4552745670889681E-2</v>
      </c>
      <c r="Q28">
        <f t="shared" si="16"/>
        <v>3.5081342835121432E-2</v>
      </c>
    </row>
    <row r="29" spans="1:17" x14ac:dyDescent="0.5">
      <c r="A29" s="2" t="s">
        <v>12</v>
      </c>
      <c r="B29" s="3">
        <f t="shared" si="1"/>
        <v>0.24449469540640306</v>
      </c>
      <c r="C29" s="3">
        <f t="shared" si="2"/>
        <v>0.16450697196477007</v>
      </c>
      <c r="D29" s="3">
        <f t="shared" si="3"/>
        <v>5.1261548552288282E-2</v>
      </c>
      <c r="E29" s="3">
        <f t="shared" si="4"/>
        <v>0.12574117435510451</v>
      </c>
      <c r="F29" s="3">
        <f t="shared" si="5"/>
        <v>0.17823726178233121</v>
      </c>
      <c r="G29" s="3">
        <f t="shared" si="6"/>
        <v>0.1425074343112136</v>
      </c>
      <c r="H29" s="3">
        <f t="shared" si="7"/>
        <v>0.11792220109685304</v>
      </c>
      <c r="I29" s="3">
        <f t="shared" si="8"/>
        <v>0.11083611785949241</v>
      </c>
      <c r="J29" s="3">
        <f t="shared" si="9"/>
        <v>0.1387706705528754</v>
      </c>
      <c r="K29" s="3">
        <f t="shared" si="10"/>
        <v>0.15191830649962054</v>
      </c>
      <c r="L29" s="3">
        <f t="shared" si="11"/>
        <v>0.20015636308475851</v>
      </c>
      <c r="M29" s="3">
        <f t="shared" si="12"/>
        <v>0.13356650701760878</v>
      </c>
      <c r="N29" s="3">
        <f t="shared" si="13"/>
        <v>0.14691362041837913</v>
      </c>
      <c r="O29" s="3">
        <f t="shared" si="14"/>
        <v>6.5289100430168764E-2</v>
      </c>
      <c r="P29" s="3">
        <f t="shared" si="15"/>
        <v>9.6767023588104739E-2</v>
      </c>
      <c r="Q29">
        <f t="shared" si="16"/>
        <v>0.13792593312799814</v>
      </c>
    </row>
    <row r="30" spans="1:17" x14ac:dyDescent="0.5">
      <c r="A30" s="2" t="s">
        <v>13</v>
      </c>
      <c r="B30" s="3">
        <f t="shared" si="1"/>
        <v>3.0024205304255872E-2</v>
      </c>
      <c r="C30" s="3">
        <f t="shared" si="2"/>
        <v>6.2014805280371926E-2</v>
      </c>
      <c r="D30" s="3">
        <f t="shared" si="3"/>
        <v>1.6429321416184473E-2</v>
      </c>
      <c r="E30" s="3">
        <f t="shared" si="4"/>
        <v>2.0233628174616505E-2</v>
      </c>
      <c r="F30" s="3">
        <f t="shared" si="5"/>
        <v>2.7131937866416673E-2</v>
      </c>
      <c r="G30" s="3">
        <f t="shared" si="6"/>
        <v>2.5826631179502096E-2</v>
      </c>
      <c r="H30" s="3">
        <f t="shared" si="7"/>
        <v>3.4480660773630302E-2</v>
      </c>
      <c r="I30" s="3">
        <f t="shared" si="8"/>
        <v>3.0497733143496197E-2</v>
      </c>
      <c r="J30" s="3">
        <f t="shared" si="9"/>
        <v>2.2849761992509394E-2</v>
      </c>
      <c r="K30" s="3">
        <f t="shared" si="10"/>
        <v>2.5014631204068181E-2</v>
      </c>
      <c r="L30" s="3">
        <f t="shared" si="11"/>
        <v>1.6679696923729875E-2</v>
      </c>
      <c r="M30" s="3">
        <f t="shared" si="12"/>
        <v>1.4661901698987206E-2</v>
      </c>
      <c r="N30" s="3">
        <f t="shared" si="13"/>
        <v>2.5291623268095181E-2</v>
      </c>
      <c r="O30" s="3">
        <f t="shared" si="14"/>
        <v>2.1011977798592932E-2</v>
      </c>
      <c r="P30" s="3">
        <f t="shared" si="15"/>
        <v>1.6861910569422822E-2</v>
      </c>
      <c r="Q30">
        <f t="shared" si="16"/>
        <v>2.5934028439591975E-2</v>
      </c>
    </row>
    <row r="31" spans="1:17" x14ac:dyDescent="0.5">
      <c r="A31" s="2" t="s">
        <v>14</v>
      </c>
      <c r="B31" s="3">
        <f t="shared" si="1"/>
        <v>0.10911520348356657</v>
      </c>
      <c r="C31" s="3">
        <f t="shared" si="2"/>
        <v>0.14139176715636667</v>
      </c>
      <c r="D31" s="3">
        <f t="shared" si="3"/>
        <v>9.6477928167874802E-2</v>
      </c>
      <c r="E31" s="3">
        <f t="shared" si="4"/>
        <v>6.9198034985188284E-2</v>
      </c>
      <c r="F31" s="3">
        <f t="shared" si="5"/>
        <v>3.7427479665863683E-2</v>
      </c>
      <c r="G31" s="3">
        <f t="shared" si="6"/>
        <v>7.4496895442249619E-2</v>
      </c>
      <c r="H31" s="3">
        <f t="shared" si="7"/>
        <v>0.11096903983709264</v>
      </c>
      <c r="I31" s="3">
        <f t="shared" si="8"/>
        <v>0.11939458861247643</v>
      </c>
      <c r="J31" s="3">
        <f t="shared" si="9"/>
        <v>4.2027173857125739E-2</v>
      </c>
      <c r="K31" s="3">
        <f t="shared" si="10"/>
        <v>9.0909202966027433E-2</v>
      </c>
      <c r="L31" s="3">
        <f t="shared" si="11"/>
        <v>6.0618041524616889E-2</v>
      </c>
      <c r="M31" s="3">
        <f t="shared" si="12"/>
        <v>6.9822954542479859E-2</v>
      </c>
      <c r="N31" s="3">
        <f t="shared" si="13"/>
        <v>7.2953665581574248E-2</v>
      </c>
      <c r="O31" s="3">
        <f t="shared" si="14"/>
        <v>5.1819993352453658E-2</v>
      </c>
      <c r="P31" s="3">
        <f t="shared" si="15"/>
        <v>5.8612450423006175E-2</v>
      </c>
      <c r="Q31">
        <f t="shared" si="16"/>
        <v>8.0348961306530853E-2</v>
      </c>
    </row>
    <row r="32" spans="1:17" x14ac:dyDescent="0.5">
      <c r="A32" s="2" t="s">
        <v>15</v>
      </c>
      <c r="B32" s="3">
        <f t="shared" si="1"/>
        <v>3.0024205304255872E-2</v>
      </c>
      <c r="C32" s="3">
        <f t="shared" si="2"/>
        <v>8.2686407040495902E-2</v>
      </c>
      <c r="D32" s="3">
        <f t="shared" si="3"/>
        <v>0.10849684812989514</v>
      </c>
      <c r="E32" s="3">
        <f t="shared" si="4"/>
        <v>6.2870587177552256E-2</v>
      </c>
      <c r="F32" s="3">
        <f t="shared" si="5"/>
        <v>1.4135519070965132E-2</v>
      </c>
      <c r="G32" s="3">
        <f t="shared" si="6"/>
        <v>5.1653262359004193E-2</v>
      </c>
      <c r="H32" s="3">
        <f t="shared" si="7"/>
        <v>5.4734637184619364E-2</v>
      </c>
      <c r="I32" s="3">
        <f t="shared" si="8"/>
        <v>6.982237898990179E-2</v>
      </c>
      <c r="J32" s="3">
        <f t="shared" si="9"/>
        <v>2.7680515371934642E-2</v>
      </c>
      <c r="K32" s="3">
        <f t="shared" si="10"/>
        <v>4.5454601483013717E-2</v>
      </c>
      <c r="L32" s="3">
        <f t="shared" si="11"/>
        <v>2.3130111829639418E-2</v>
      </c>
      <c r="M32" s="3">
        <f t="shared" si="12"/>
        <v>2.6642443507310189E-2</v>
      </c>
      <c r="N32" s="3">
        <f t="shared" si="13"/>
        <v>1.0621816180494695E-2</v>
      </c>
      <c r="O32" s="3">
        <f t="shared" si="14"/>
        <v>1.6677217830709436E-2</v>
      </c>
      <c r="P32" s="3">
        <f t="shared" si="15"/>
        <v>0.13418901358033244</v>
      </c>
      <c r="Q32">
        <f t="shared" si="16"/>
        <v>5.0587971002674939E-2</v>
      </c>
    </row>
    <row r="33" spans="1:17" x14ac:dyDescent="0.5">
      <c r="A33" s="2" t="s">
        <v>16</v>
      </c>
      <c r="B33" s="3">
        <f t="shared" si="1"/>
        <v>3.0024205304255872E-2</v>
      </c>
      <c r="C33" s="3">
        <f t="shared" si="2"/>
        <v>7.3526681893669968E-2</v>
      </c>
      <c r="D33" s="3">
        <f t="shared" si="3"/>
        <v>9.6477928167874802E-2</v>
      </c>
      <c r="E33" s="3">
        <f t="shared" si="4"/>
        <v>4.7979237719889968E-2</v>
      </c>
      <c r="F33" s="3">
        <f t="shared" si="5"/>
        <v>6.8010244038647069E-2</v>
      </c>
      <c r="G33" s="3">
        <f t="shared" si="6"/>
        <v>6.7684921405087292E-2</v>
      </c>
      <c r="H33" s="3">
        <f t="shared" si="7"/>
        <v>4.0881343813372911E-2</v>
      </c>
      <c r="I33" s="3">
        <f t="shared" si="8"/>
        <v>3.842473596156739E-2</v>
      </c>
      <c r="J33" s="3">
        <f t="shared" si="9"/>
        <v>4.7779579732488857E-2</v>
      </c>
      <c r="K33" s="3">
        <f t="shared" si="10"/>
        <v>5.0029262408136363E-2</v>
      </c>
      <c r="L33" s="3">
        <f t="shared" si="11"/>
        <v>4.2030202520148066E-2</v>
      </c>
      <c r="M33" s="3">
        <f t="shared" si="12"/>
        <v>0.12687672855152257</v>
      </c>
      <c r="N33" s="3">
        <f t="shared" si="13"/>
        <v>5.0583246536190361E-2</v>
      </c>
      <c r="O33" s="3">
        <f t="shared" si="14"/>
        <v>2.2634466937734191E-2</v>
      </c>
      <c r="P33" s="3">
        <f t="shared" si="15"/>
        <v>3.6670621209040792E-2</v>
      </c>
      <c r="Q33">
        <f t="shared" si="16"/>
        <v>5.597422707997509E-2</v>
      </c>
    </row>
    <row r="34" spans="1:17" x14ac:dyDescent="0.5">
      <c r="A34" s="2" t="s">
        <v>17</v>
      </c>
      <c r="B34" s="3">
        <f t="shared" si="1"/>
        <v>2.7278800870891649E-2</v>
      </c>
      <c r="C34" s="3">
        <f t="shared" si="2"/>
        <v>3.5347941789091668E-2</v>
      </c>
      <c r="D34" s="3">
        <f t="shared" si="3"/>
        <v>7.3626438977202377E-2</v>
      </c>
      <c r="E34" s="3">
        <f t="shared" si="4"/>
        <v>3.4599017492594149E-2</v>
      </c>
      <c r="F34" s="3">
        <f t="shared" si="5"/>
        <v>7.1105792671621981E-2</v>
      </c>
      <c r="G34" s="3">
        <f t="shared" si="6"/>
        <v>6.7684921405087292E-2</v>
      </c>
      <c r="H34" s="3">
        <f t="shared" si="7"/>
        <v>2.5753632809229036E-2</v>
      </c>
      <c r="I34" s="3">
        <f t="shared" si="8"/>
        <v>2.7709029464873101E-2</v>
      </c>
      <c r="J34" s="3">
        <f t="shared" si="9"/>
        <v>0.15885276303055271</v>
      </c>
      <c r="K34" s="3">
        <f t="shared" si="10"/>
        <v>8.8974374244038326E-2</v>
      </c>
      <c r="L34" s="3">
        <f t="shared" si="11"/>
        <v>8.7426344341755363E-2</v>
      </c>
      <c r="M34" s="3">
        <f t="shared" si="12"/>
        <v>0.119395572793541</v>
      </c>
      <c r="N34" s="3">
        <f t="shared" si="13"/>
        <v>0.16702220007540169</v>
      </c>
      <c r="O34" s="3">
        <f t="shared" si="14"/>
        <v>7.473736314590905E-2</v>
      </c>
      <c r="P34" s="3">
        <f t="shared" si="15"/>
        <v>0.21301178131999476</v>
      </c>
      <c r="Q34">
        <f t="shared" si="16"/>
        <v>8.4835064962118942E-2</v>
      </c>
    </row>
    <row r="35" spans="1:17" x14ac:dyDescent="0.5">
      <c r="A35" s="2" t="s">
        <v>18</v>
      </c>
      <c r="B35" s="3">
        <f t="shared" si="1"/>
        <v>9.3292186686816089E-2</v>
      </c>
      <c r="C35" s="3">
        <f t="shared" si="2"/>
        <v>0.13056927017648956</v>
      </c>
      <c r="D35" s="3">
        <f t="shared" si="3"/>
        <v>0.10849684812989514</v>
      </c>
      <c r="E35" s="3">
        <f t="shared" si="4"/>
        <v>0.16476755029443027</v>
      </c>
      <c r="F35" s="3">
        <f t="shared" si="5"/>
        <v>8.5687538072778749E-2</v>
      </c>
      <c r="G35" s="3">
        <f t="shared" si="6"/>
        <v>0.11907203769158471</v>
      </c>
      <c r="H35" s="3">
        <f t="shared" si="7"/>
        <v>0.12617527885431043</v>
      </c>
      <c r="I35" s="3">
        <f t="shared" si="8"/>
        <v>0.17715479718997365</v>
      </c>
      <c r="J35" s="3">
        <f t="shared" si="9"/>
        <v>0.12122734687334871</v>
      </c>
      <c r="K35" s="3">
        <f t="shared" si="10"/>
        <v>0.12540579895925569</v>
      </c>
      <c r="L35" s="3">
        <f t="shared" si="11"/>
        <v>8.7426344341755363E-2</v>
      </c>
      <c r="M35" s="3">
        <f t="shared" si="12"/>
        <v>1.6783687697747549E-2</v>
      </c>
      <c r="N35" s="3">
        <f t="shared" si="13"/>
        <v>0.11660541780029589</v>
      </c>
      <c r="O35" s="3">
        <f t="shared" si="14"/>
        <v>2.9659542219786339E-2</v>
      </c>
      <c r="P35" s="3">
        <f t="shared" si="15"/>
        <v>8.4533781437244937E-2</v>
      </c>
      <c r="Q35">
        <f t="shared" si="16"/>
        <v>0.10579049509504754</v>
      </c>
    </row>
    <row r="36" spans="1:17" x14ac:dyDescent="0.5">
      <c r="A36" s="75" t="s">
        <v>67</v>
      </c>
      <c r="B36">
        <f>SUM(B21:B35)</f>
        <v>0.99999999999999978</v>
      </c>
      <c r="C36">
        <f t="shared" ref="C36:Q36" si="17">SUM(C21:C35)</f>
        <v>1</v>
      </c>
      <c r="D36">
        <f t="shared" si="17"/>
        <v>0.99999999999999989</v>
      </c>
      <c r="E36">
        <f t="shared" si="17"/>
        <v>1</v>
      </c>
      <c r="F36">
        <f t="shared" si="17"/>
        <v>0.99999999999999978</v>
      </c>
      <c r="G36">
        <f t="shared" si="17"/>
        <v>1.0000000000000002</v>
      </c>
      <c r="H36">
        <f t="shared" si="17"/>
        <v>1</v>
      </c>
      <c r="I36">
        <f t="shared" si="17"/>
        <v>0.99999999999999978</v>
      </c>
      <c r="J36">
        <f t="shared" si="17"/>
        <v>1</v>
      </c>
      <c r="K36">
        <f t="shared" si="17"/>
        <v>1</v>
      </c>
      <c r="L36">
        <f t="shared" si="17"/>
        <v>1</v>
      </c>
      <c r="M36">
        <f t="shared" si="17"/>
        <v>0.99999999999999978</v>
      </c>
      <c r="N36">
        <f t="shared" si="17"/>
        <v>1</v>
      </c>
      <c r="O36">
        <f t="shared" si="17"/>
        <v>1</v>
      </c>
      <c r="P36">
        <f t="shared" si="17"/>
        <v>0.99999999999999978</v>
      </c>
      <c r="Q36">
        <f t="shared" si="17"/>
        <v>1.0000000000000002</v>
      </c>
    </row>
    <row r="39" spans="1:17" x14ac:dyDescent="0.5">
      <c r="A39" s="70" t="s">
        <v>69</v>
      </c>
      <c r="B39" s="70" t="s">
        <v>70</v>
      </c>
      <c r="C39" s="70" t="s">
        <v>71</v>
      </c>
    </row>
    <row r="40" spans="1:17" x14ac:dyDescent="0.5">
      <c r="A40" s="70" t="s">
        <v>72</v>
      </c>
      <c r="B40" s="70">
        <f>MMULT(B17:P17,Q21:Q35)</f>
        <v>17.215973838694342</v>
      </c>
      <c r="C40" s="78" t="str">
        <f>IF(B44&lt;=0.1,"Konsistensi Baik/Acceptable","Konsistensi Buruk")</f>
        <v>Konsistensi Baik/Acceptable</v>
      </c>
    </row>
    <row r="41" spans="1:17" x14ac:dyDescent="0.5">
      <c r="A41" s="70" t="s">
        <v>90</v>
      </c>
      <c r="B41" s="70">
        <v>15</v>
      </c>
      <c r="C41" s="78"/>
    </row>
    <row r="42" spans="1:17" x14ac:dyDescent="0.5">
      <c r="A42" s="70" t="s">
        <v>73</v>
      </c>
      <c r="B42" s="70">
        <f>(B40-B41)/(B41-1)</f>
        <v>0.15828384562102446</v>
      </c>
      <c r="C42" s="78"/>
    </row>
    <row r="43" spans="1:17" x14ac:dyDescent="0.5">
      <c r="A43" s="70" t="s">
        <v>74</v>
      </c>
      <c r="B43" s="70">
        <f>INDEX(B49:P49, MATCH(B41, B48:P48, 0))</f>
        <v>1.59</v>
      </c>
      <c r="C43" s="78"/>
    </row>
    <row r="44" spans="1:17" x14ac:dyDescent="0.5">
      <c r="A44" s="70" t="s">
        <v>75</v>
      </c>
      <c r="B44" s="71">
        <f>B42/B43</f>
        <v>9.9549588440895884E-2</v>
      </c>
      <c r="C44" s="78"/>
    </row>
    <row r="47" spans="1:17" x14ac:dyDescent="0.5">
      <c r="A47" s="79" t="s">
        <v>76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</row>
    <row r="48" spans="1:17" x14ac:dyDescent="0.5">
      <c r="A48" s="69" t="s">
        <v>77</v>
      </c>
      <c r="B48" s="69">
        <v>1</v>
      </c>
      <c r="C48" s="69">
        <v>2</v>
      </c>
      <c r="D48" s="69">
        <v>3</v>
      </c>
      <c r="E48" s="69">
        <v>4</v>
      </c>
      <c r="F48" s="69">
        <v>5</v>
      </c>
      <c r="G48" s="69">
        <v>6</v>
      </c>
      <c r="H48" s="69">
        <v>7</v>
      </c>
      <c r="I48" s="69">
        <v>8</v>
      </c>
      <c r="J48" s="69">
        <v>9</v>
      </c>
      <c r="K48" s="69">
        <v>10</v>
      </c>
      <c r="L48" s="69">
        <v>11</v>
      </c>
      <c r="M48" s="69">
        <v>12</v>
      </c>
      <c r="N48" s="69">
        <v>13</v>
      </c>
      <c r="O48" s="69">
        <v>14</v>
      </c>
      <c r="P48" s="69">
        <v>15</v>
      </c>
    </row>
    <row r="49" spans="1:18" x14ac:dyDescent="0.5">
      <c r="A49" s="69" t="s">
        <v>74</v>
      </c>
      <c r="B49" s="69">
        <v>0</v>
      </c>
      <c r="C49" s="69">
        <v>0</v>
      </c>
      <c r="D49" s="69">
        <v>0.57999999999999996</v>
      </c>
      <c r="E49" s="69">
        <v>0.9</v>
      </c>
      <c r="F49" s="69">
        <v>1.1200000000000001</v>
      </c>
      <c r="G49" s="69">
        <v>1.24</v>
      </c>
      <c r="H49" s="69">
        <v>1.32</v>
      </c>
      <c r="I49" s="69">
        <v>1.41</v>
      </c>
      <c r="J49" s="69">
        <v>1.45</v>
      </c>
      <c r="K49" s="69">
        <v>1.49</v>
      </c>
      <c r="L49" s="69">
        <v>1.51</v>
      </c>
      <c r="M49" s="69">
        <v>1.48</v>
      </c>
      <c r="N49" s="69">
        <v>1.56</v>
      </c>
      <c r="O49" s="69">
        <v>1.57</v>
      </c>
      <c r="P49" s="69">
        <v>1.59</v>
      </c>
    </row>
    <row r="52" spans="1:18" x14ac:dyDescent="0.5">
      <c r="A52" s="72" t="s">
        <v>78</v>
      </c>
    </row>
    <row r="53" spans="1:18" x14ac:dyDescent="0.5">
      <c r="A53" s="63" t="s">
        <v>21</v>
      </c>
      <c r="B53" s="2" t="s">
        <v>4</v>
      </c>
      <c r="C53" s="2" t="s">
        <v>5</v>
      </c>
      <c r="D53" s="2" t="s">
        <v>6</v>
      </c>
      <c r="E53" s="2" t="s">
        <v>7</v>
      </c>
      <c r="F53" s="2" t="s">
        <v>8</v>
      </c>
      <c r="G53" s="2" t="s">
        <v>9</v>
      </c>
      <c r="H53" s="2" t="s">
        <v>10</v>
      </c>
      <c r="I53" s="2" t="s">
        <v>11</v>
      </c>
      <c r="J53" s="2" t="s">
        <v>12</v>
      </c>
      <c r="K53" s="2" t="s">
        <v>13</v>
      </c>
      <c r="L53" s="2" t="s">
        <v>14</v>
      </c>
      <c r="M53" s="2" t="s">
        <v>15</v>
      </c>
      <c r="N53" s="2" t="s">
        <v>16</v>
      </c>
      <c r="O53" s="2" t="s">
        <v>17</v>
      </c>
      <c r="P53" s="2" t="s">
        <v>18</v>
      </c>
      <c r="Q53" s="75" t="s">
        <v>80</v>
      </c>
      <c r="R53" s="75" t="s">
        <v>81</v>
      </c>
    </row>
    <row r="54" spans="1:18" x14ac:dyDescent="0.5">
      <c r="A54" s="2" t="s">
        <v>4</v>
      </c>
      <c r="B54" s="3">
        <f t="array" ref="B54:P68">MMULT(B2:P16,B2:P16)</f>
        <v>15</v>
      </c>
      <c r="C54" s="3">
        <v>42.732124612788525</v>
      </c>
      <c r="D54" s="3">
        <v>33.510259644630061</v>
      </c>
      <c r="E54" s="3">
        <v>13.585105578162842</v>
      </c>
      <c r="F54" s="3">
        <v>4.4475274286039381</v>
      </c>
      <c r="G54" s="3">
        <v>16.675021554035968</v>
      </c>
      <c r="H54" s="3">
        <v>32.060515753693842</v>
      </c>
      <c r="I54" s="3">
        <v>23.724242700294919</v>
      </c>
      <c r="J54" s="3">
        <v>6.5562695499327397</v>
      </c>
      <c r="K54" s="3">
        <v>30.598518975704234</v>
      </c>
      <c r="L54" s="3">
        <v>10.294817661917653</v>
      </c>
      <c r="M54" s="3">
        <v>27.149290745177314</v>
      </c>
      <c r="N54" s="3">
        <v>16.984039529165777</v>
      </c>
      <c r="O54" s="3">
        <v>12.932991216689055</v>
      </c>
      <c r="P54" s="3">
        <v>11.176059405425921</v>
      </c>
      <c r="Q54">
        <f>SUM(B54:P54)</f>
        <v>297.42678435622281</v>
      </c>
      <c r="R54">
        <f>Q54/$Q$69</f>
        <v>4.5977567125229407E-2</v>
      </c>
    </row>
    <row r="55" spans="1:18" x14ac:dyDescent="0.5">
      <c r="A55" s="2" t="s">
        <v>5</v>
      </c>
      <c r="B55" s="3">
        <v>7.9100752267091483</v>
      </c>
      <c r="C55" s="3">
        <v>15</v>
      </c>
      <c r="D55" s="3">
        <v>14.632971303896007</v>
      </c>
      <c r="E55" s="3">
        <v>6.8482054187643868</v>
      </c>
      <c r="F55" s="3">
        <v>2.2132018588403612</v>
      </c>
      <c r="G55" s="3">
        <v>8.0667383615240613</v>
      </c>
      <c r="H55" s="3">
        <v>15.604515126409373</v>
      </c>
      <c r="I55" s="3">
        <v>11.330853244174694</v>
      </c>
      <c r="J55" s="3">
        <v>2.9873268920169593</v>
      </c>
      <c r="K55" s="3">
        <v>14.793549812965889</v>
      </c>
      <c r="L55" s="3">
        <v>6.2010030469464086</v>
      </c>
      <c r="M55" s="3">
        <v>14.900820465689513</v>
      </c>
      <c r="N55" s="3">
        <v>7.7639180002931241</v>
      </c>
      <c r="O55" s="3">
        <v>6.4812947361280298</v>
      </c>
      <c r="P55" s="3">
        <v>4.7759811710153395</v>
      </c>
      <c r="Q55">
        <f t="shared" ref="Q55:Q68" si="18">SUM(B55:P55)</f>
        <v>139.51045466537329</v>
      </c>
      <c r="R55">
        <f t="shared" ref="R55:R68" si="19">Q55/$Q$69</f>
        <v>2.1566152180719941E-2</v>
      </c>
    </row>
    <row r="56" spans="1:18" x14ac:dyDescent="0.5">
      <c r="A56" s="2" t="s">
        <v>6</v>
      </c>
      <c r="B56" s="3">
        <v>11.269525833300044</v>
      </c>
      <c r="C56" s="3">
        <v>27.686435905094154</v>
      </c>
      <c r="D56" s="3">
        <v>15</v>
      </c>
      <c r="E56" s="3">
        <v>8.2034910225440356</v>
      </c>
      <c r="F56" s="3">
        <v>2.9133660267490491</v>
      </c>
      <c r="G56" s="3">
        <v>9.8263771907067508</v>
      </c>
      <c r="H56" s="3">
        <v>20.283230210330931</v>
      </c>
      <c r="I56" s="3">
        <v>14.442436887446606</v>
      </c>
      <c r="J56" s="3">
        <v>3.6505349902841013</v>
      </c>
      <c r="K56" s="3">
        <v>17.950385400275881</v>
      </c>
      <c r="L56" s="3">
        <v>6.52805542626799</v>
      </c>
      <c r="M56" s="3">
        <v>13.4760795228513</v>
      </c>
      <c r="N56" s="3">
        <v>9.6536021702146844</v>
      </c>
      <c r="O56" s="3">
        <v>8.2587086702770183</v>
      </c>
      <c r="P56" s="3">
        <v>4.7820679867418781</v>
      </c>
      <c r="Q56">
        <f t="shared" si="18"/>
        <v>173.92429724308445</v>
      </c>
      <c r="R56">
        <f t="shared" si="19"/>
        <v>2.6885998409695546E-2</v>
      </c>
    </row>
    <row r="57" spans="1:18" x14ac:dyDescent="0.5">
      <c r="A57" s="2" t="s">
        <v>7</v>
      </c>
      <c r="B57" s="3">
        <v>19.301726603635689</v>
      </c>
      <c r="C57" s="3">
        <v>52.865307685314264</v>
      </c>
      <c r="D57" s="3">
        <v>35.432995682200648</v>
      </c>
      <c r="E57" s="3">
        <v>15</v>
      </c>
      <c r="F57" s="3">
        <v>4.9855972806049582</v>
      </c>
      <c r="G57" s="3">
        <v>18.942451796792202</v>
      </c>
      <c r="H57" s="3">
        <v>38.580265212918718</v>
      </c>
      <c r="I57" s="3">
        <v>27.793936556614721</v>
      </c>
      <c r="J57" s="3">
        <v>7.469746844635992</v>
      </c>
      <c r="K57" s="3">
        <v>35.748367772431976</v>
      </c>
      <c r="L57" s="3">
        <v>12.157812984633763</v>
      </c>
      <c r="M57" s="3">
        <v>29.723196078500933</v>
      </c>
      <c r="N57" s="3">
        <v>20.049973331612602</v>
      </c>
      <c r="O57" s="3">
        <v>15.735162858590552</v>
      </c>
      <c r="P57" s="3">
        <v>11.411026248809462</v>
      </c>
      <c r="Q57">
        <f t="shared" si="18"/>
        <v>345.19756693729641</v>
      </c>
      <c r="R57">
        <f t="shared" si="19"/>
        <v>5.336218908353791E-2</v>
      </c>
    </row>
    <row r="58" spans="1:18" x14ac:dyDescent="0.5">
      <c r="A58" s="2" t="s">
        <v>8</v>
      </c>
      <c r="B58" s="3">
        <v>74.213348705896564</v>
      </c>
      <c r="C58" s="3">
        <v>220.40708650420871</v>
      </c>
      <c r="D58" s="3">
        <v>162.76383919145772</v>
      </c>
      <c r="E58" s="3">
        <v>64.044457100479832</v>
      </c>
      <c r="F58" s="3">
        <v>15</v>
      </c>
      <c r="G58" s="3">
        <v>73.438859927239264</v>
      </c>
      <c r="H58" s="3">
        <v>160.82805159364858</v>
      </c>
      <c r="I58" s="3">
        <v>128.29636101990872</v>
      </c>
      <c r="J58" s="3">
        <v>24.600080960912976</v>
      </c>
      <c r="K58" s="3">
        <v>139.9546663145112</v>
      </c>
      <c r="L58" s="3">
        <v>43.656120919740154</v>
      </c>
      <c r="M58" s="3">
        <v>100.49707791811382</v>
      </c>
      <c r="N58" s="3">
        <v>63.163932459817268</v>
      </c>
      <c r="O58" s="3">
        <v>50.937921781145548</v>
      </c>
      <c r="P58" s="3">
        <v>50.630869220496379</v>
      </c>
      <c r="Q58">
        <f t="shared" si="18"/>
        <v>1372.4326736175767</v>
      </c>
      <c r="R58">
        <f t="shared" si="19"/>
        <v>0.21215680192586522</v>
      </c>
    </row>
    <row r="59" spans="1:18" x14ac:dyDescent="0.5">
      <c r="A59" s="2" t="s">
        <v>9</v>
      </c>
      <c r="B59" s="3">
        <v>16.60648167817568</v>
      </c>
      <c r="C59" s="3">
        <v>43.7643822503126</v>
      </c>
      <c r="D59" s="3">
        <v>29.663517524546037</v>
      </c>
      <c r="E59" s="3">
        <v>13.455007807147142</v>
      </c>
      <c r="F59" s="3">
        <v>4.2141999378139063</v>
      </c>
      <c r="G59" s="3">
        <v>15</v>
      </c>
      <c r="H59" s="3">
        <v>34.550921987149422</v>
      </c>
      <c r="I59" s="3">
        <v>24.999304129920407</v>
      </c>
      <c r="J59" s="3">
        <v>6.6752644060657111</v>
      </c>
      <c r="K59" s="3">
        <v>30.888456138020725</v>
      </c>
      <c r="L59" s="3">
        <v>9.7129239548057758</v>
      </c>
      <c r="M59" s="3">
        <v>21.177327513277845</v>
      </c>
      <c r="N59" s="3">
        <v>14.667026963610887</v>
      </c>
      <c r="O59" s="3">
        <v>12.851771519857124</v>
      </c>
      <c r="P59" s="3">
        <v>8.6549743860332722</v>
      </c>
      <c r="Q59">
        <f t="shared" si="18"/>
        <v>286.88156019673647</v>
      </c>
      <c r="R59">
        <f t="shared" si="19"/>
        <v>4.4347439049532346E-2</v>
      </c>
    </row>
    <row r="60" spans="1:18" x14ac:dyDescent="0.5">
      <c r="A60" s="2" t="s">
        <v>10</v>
      </c>
      <c r="B60" s="3">
        <v>7.6637242631244265</v>
      </c>
      <c r="C60" s="3">
        <v>20.016738819018794</v>
      </c>
      <c r="D60" s="3">
        <v>15.021654765093899</v>
      </c>
      <c r="E60" s="3">
        <v>6.4438363596780439</v>
      </c>
      <c r="F60" s="3">
        <v>2.3075326786327146</v>
      </c>
      <c r="G60" s="3">
        <v>8.1636577554141461</v>
      </c>
      <c r="H60" s="3">
        <v>15</v>
      </c>
      <c r="I60" s="3">
        <v>10.951884602524382</v>
      </c>
      <c r="J60" s="3">
        <v>3.2689155629856153</v>
      </c>
      <c r="K60" s="3">
        <v>14.969199773497481</v>
      </c>
      <c r="L60" s="3">
        <v>5.3793643860085236</v>
      </c>
      <c r="M60" s="3">
        <v>13.675435282419453</v>
      </c>
      <c r="N60" s="3">
        <v>8.703349756668441</v>
      </c>
      <c r="O60" s="3">
        <v>6.2597486002617773</v>
      </c>
      <c r="P60" s="3">
        <v>5.4077850559653973</v>
      </c>
      <c r="Q60">
        <f t="shared" si="18"/>
        <v>143.2328276612931</v>
      </c>
      <c r="R60">
        <f t="shared" si="19"/>
        <v>2.2141573303788891E-2</v>
      </c>
    </row>
    <row r="61" spans="1:18" x14ac:dyDescent="0.5">
      <c r="A61" s="2" t="s">
        <v>11</v>
      </c>
      <c r="B61" s="3">
        <v>11.583761094439188</v>
      </c>
      <c r="C61" s="3">
        <v>29.49292825074447</v>
      </c>
      <c r="D61" s="3">
        <v>21.480385733553373</v>
      </c>
      <c r="E61" s="3">
        <v>9.959063967942333</v>
      </c>
      <c r="F61" s="3">
        <v>4.262430252588473</v>
      </c>
      <c r="G61" s="3">
        <v>12.431354084038388</v>
      </c>
      <c r="H61" s="3">
        <v>22.436243212882445</v>
      </c>
      <c r="I61" s="3">
        <v>15</v>
      </c>
      <c r="J61" s="3">
        <v>4.6087656773798829</v>
      </c>
      <c r="K61" s="3">
        <v>20.480773016458613</v>
      </c>
      <c r="L61" s="3">
        <v>7.3984753561114989</v>
      </c>
      <c r="M61" s="3">
        <v>18.677977952347451</v>
      </c>
      <c r="N61" s="3">
        <v>12.286447489900342</v>
      </c>
      <c r="O61" s="3">
        <v>10.335223624442932</v>
      </c>
      <c r="P61" s="3">
        <v>7.1737047837011687</v>
      </c>
      <c r="Q61">
        <f t="shared" si="18"/>
        <v>207.60753449653058</v>
      </c>
      <c r="R61">
        <f t="shared" si="19"/>
        <v>3.2092904388817213E-2</v>
      </c>
    </row>
    <row r="62" spans="1:18" x14ac:dyDescent="0.5">
      <c r="A62" s="2" t="s">
        <v>12</v>
      </c>
      <c r="B62" s="3">
        <v>52.426147191119036</v>
      </c>
      <c r="C62" s="3">
        <v>140.94323064577716</v>
      </c>
      <c r="D62" s="3">
        <v>98.597809824654817</v>
      </c>
      <c r="E62" s="3">
        <v>42.956788271263612</v>
      </c>
      <c r="F62" s="3">
        <v>13.384709458744837</v>
      </c>
      <c r="G62" s="3">
        <v>51.333958714468636</v>
      </c>
      <c r="H62" s="3">
        <v>107.26496922202791</v>
      </c>
      <c r="I62" s="3">
        <v>78.221728193851561</v>
      </c>
      <c r="J62" s="3">
        <v>15</v>
      </c>
      <c r="K62" s="3">
        <v>87.182803134110671</v>
      </c>
      <c r="L62" s="3">
        <v>29.531309516894915</v>
      </c>
      <c r="M62" s="3">
        <v>72.204781971355189</v>
      </c>
      <c r="N62" s="3">
        <v>44.21151393292525</v>
      </c>
      <c r="O62" s="3">
        <v>39.334784423138757</v>
      </c>
      <c r="P62" s="3">
        <v>27.163003413216604</v>
      </c>
      <c r="Q62">
        <f t="shared" si="18"/>
        <v>899.75753791354907</v>
      </c>
      <c r="R62">
        <f t="shared" si="19"/>
        <v>0.1390885581653091</v>
      </c>
    </row>
    <row r="63" spans="1:18" x14ac:dyDescent="0.5">
      <c r="A63" s="2" t="s">
        <v>13</v>
      </c>
      <c r="B63" s="3">
        <v>9.2326437454251007</v>
      </c>
      <c r="C63" s="3">
        <v>24.720836948166795</v>
      </c>
      <c r="D63" s="3">
        <v>16.577871566425944</v>
      </c>
      <c r="E63" s="3">
        <v>7.9799861062356063</v>
      </c>
      <c r="F63" s="3">
        <v>3.1467288582724287</v>
      </c>
      <c r="G63" s="3">
        <v>9.4749677024239887</v>
      </c>
      <c r="H63" s="3">
        <v>18.567091209056478</v>
      </c>
      <c r="I63" s="3">
        <v>12.64933401980711</v>
      </c>
      <c r="J63" s="3">
        <v>3.0728636965967104</v>
      </c>
      <c r="K63" s="3">
        <v>15</v>
      </c>
      <c r="L63" s="3">
        <v>5.1580604353535637</v>
      </c>
      <c r="M63" s="3">
        <v>12.123352561479573</v>
      </c>
      <c r="N63" s="3">
        <v>8.2318653093213072</v>
      </c>
      <c r="O63" s="3">
        <v>8.1159559016770224</v>
      </c>
      <c r="P63" s="3">
        <v>4.6271111625215227</v>
      </c>
      <c r="Q63">
        <f t="shared" si="18"/>
        <v>158.67866922276315</v>
      </c>
      <c r="R63">
        <f t="shared" si="19"/>
        <v>2.4529260810599304E-2</v>
      </c>
    </row>
    <row r="64" spans="1:18" x14ac:dyDescent="0.5">
      <c r="A64" s="2" t="s">
        <v>14</v>
      </c>
      <c r="B64" s="3">
        <v>28.753599779764937</v>
      </c>
      <c r="C64" s="3">
        <v>84.852534386374543</v>
      </c>
      <c r="D64" s="3">
        <v>54.727780755522126</v>
      </c>
      <c r="E64" s="3">
        <v>24.884105484198855</v>
      </c>
      <c r="F64" s="3">
        <v>8.7671613607012606</v>
      </c>
      <c r="G64" s="3">
        <v>28.840395705755917</v>
      </c>
      <c r="H64" s="3">
        <v>61.393100445033276</v>
      </c>
      <c r="I64" s="3">
        <v>43.090592418178652</v>
      </c>
      <c r="J64" s="3">
        <v>10.112023995032224</v>
      </c>
      <c r="K64" s="3">
        <v>49.300295459651885</v>
      </c>
      <c r="L64" s="3">
        <v>15</v>
      </c>
      <c r="M64" s="3">
        <v>34.333555776429108</v>
      </c>
      <c r="N64" s="3">
        <v>25.491427696118073</v>
      </c>
      <c r="O64" s="3">
        <v>25.524904857974207</v>
      </c>
      <c r="P64" s="3">
        <v>15.168864041841744</v>
      </c>
      <c r="Q64">
        <f t="shared" si="18"/>
        <v>510.24034216257678</v>
      </c>
      <c r="R64">
        <f t="shared" si="19"/>
        <v>7.8875241961002179E-2</v>
      </c>
    </row>
    <row r="65" spans="1:18" x14ac:dyDescent="0.5">
      <c r="A65" s="2" t="s">
        <v>15</v>
      </c>
      <c r="B65" s="3">
        <v>18.678394504476504</v>
      </c>
      <c r="C65" s="3">
        <v>51.909981995848533</v>
      </c>
      <c r="D65" s="3">
        <v>32.630581915615885</v>
      </c>
      <c r="E65" s="3">
        <v>17.196585296880659</v>
      </c>
      <c r="F65" s="3">
        <v>5.4458746666378453</v>
      </c>
      <c r="G65" s="3">
        <v>17.716327635579706</v>
      </c>
      <c r="H65" s="3">
        <v>40.271457606298554</v>
      </c>
      <c r="I65" s="3">
        <v>30.667017165948351</v>
      </c>
      <c r="J65" s="3">
        <v>7.3060164665894147</v>
      </c>
      <c r="K65" s="3">
        <v>33.846407833076213</v>
      </c>
      <c r="L65" s="3">
        <v>9.7208177371651274</v>
      </c>
      <c r="M65" s="3">
        <v>15</v>
      </c>
      <c r="N65" s="3">
        <v>15.54080273362465</v>
      </c>
      <c r="O65" s="3">
        <v>14.42722431446472</v>
      </c>
      <c r="P65" s="3">
        <v>8.4469171638887133</v>
      </c>
      <c r="Q65">
        <f t="shared" si="18"/>
        <v>318.80440703609491</v>
      </c>
      <c r="R65">
        <f t="shared" si="19"/>
        <v>4.9282215978119721E-2</v>
      </c>
    </row>
    <row r="66" spans="1:18" x14ac:dyDescent="0.5">
      <c r="A66" s="2" t="s">
        <v>16</v>
      </c>
      <c r="B66" s="3">
        <v>20.755900734980727</v>
      </c>
      <c r="C66" s="3">
        <v>61.161548954497064</v>
      </c>
      <c r="D66" s="3">
        <v>48.085035971299945</v>
      </c>
      <c r="E66" s="3">
        <v>19.514505637696629</v>
      </c>
      <c r="F66" s="3">
        <v>5.4887410548004283</v>
      </c>
      <c r="G66" s="3">
        <v>21.047776717931029</v>
      </c>
      <c r="H66" s="3">
        <v>45.679600595630433</v>
      </c>
      <c r="I66" s="3">
        <v>35.103013792188385</v>
      </c>
      <c r="J66" s="3">
        <v>7.286754617004779</v>
      </c>
      <c r="K66" s="3">
        <v>38.518486726280869</v>
      </c>
      <c r="L66" s="3">
        <v>11.857930329602571</v>
      </c>
      <c r="M66" s="3">
        <v>26.759246432438633</v>
      </c>
      <c r="N66" s="3">
        <v>15</v>
      </c>
      <c r="O66" s="3">
        <v>13.992744458304607</v>
      </c>
      <c r="P66" s="3">
        <v>14.432498264049347</v>
      </c>
      <c r="Q66">
        <f t="shared" si="18"/>
        <v>384.68378428670542</v>
      </c>
      <c r="R66">
        <f t="shared" si="19"/>
        <v>5.9466145768654347E-2</v>
      </c>
    </row>
    <row r="67" spans="1:18" x14ac:dyDescent="0.5">
      <c r="A67" s="2" t="s">
        <v>17</v>
      </c>
      <c r="B67" s="3">
        <v>32.27078833401503</v>
      </c>
      <c r="C67" s="3">
        <v>92.954462541746651</v>
      </c>
      <c r="D67" s="3">
        <v>67.297560240550183</v>
      </c>
      <c r="E67" s="3">
        <v>29.038671722653067</v>
      </c>
      <c r="F67" s="3">
        <v>7.2916155690213023</v>
      </c>
      <c r="G67" s="3">
        <v>32.58284694905727</v>
      </c>
      <c r="H67" s="3">
        <v>65.675484334821661</v>
      </c>
      <c r="I67" s="3">
        <v>54.824390113300531</v>
      </c>
      <c r="J67" s="3">
        <v>10.92413885539985</v>
      </c>
      <c r="K67" s="3">
        <v>61.254026077859777</v>
      </c>
      <c r="L67" s="3">
        <v>20.312315329371522</v>
      </c>
      <c r="M67" s="3">
        <v>47.523660594062974</v>
      </c>
      <c r="N67" s="3">
        <v>26.807085610064767</v>
      </c>
      <c r="O67" s="3">
        <v>15</v>
      </c>
      <c r="P67" s="3">
        <v>19.816203472027624</v>
      </c>
      <c r="Q67">
        <f t="shared" si="18"/>
        <v>583.57324974395215</v>
      </c>
      <c r="R67">
        <f t="shared" si="19"/>
        <v>9.0211371920208352E-2</v>
      </c>
    </row>
    <row r="68" spans="1:18" x14ac:dyDescent="0.5">
      <c r="A68" s="2" t="s">
        <v>18</v>
      </c>
      <c r="B68" s="3">
        <v>39.545215900056107</v>
      </c>
      <c r="C68" s="3">
        <v>105.62872637094132</v>
      </c>
      <c r="D68" s="3">
        <v>63.816603991417523</v>
      </c>
      <c r="E68" s="3">
        <v>30.709083173355502</v>
      </c>
      <c r="F68" s="3">
        <v>10.765040553457707</v>
      </c>
      <c r="G68" s="3">
        <v>36.618249945228861</v>
      </c>
      <c r="H68" s="3">
        <v>78.126996160204243</v>
      </c>
      <c r="I68" s="3">
        <v>55.336513282863969</v>
      </c>
      <c r="J68" s="3">
        <v>12.969884912890667</v>
      </c>
      <c r="K68" s="3">
        <v>64.93669343402874</v>
      </c>
      <c r="L68" s="3">
        <v>21.352249831813968</v>
      </c>
      <c r="M68" s="3">
        <v>46.451072291071114</v>
      </c>
      <c r="N68" s="3">
        <v>33.33475020128251</v>
      </c>
      <c r="O68" s="3">
        <v>32.411613015642907</v>
      </c>
      <c r="P68" s="3">
        <v>15</v>
      </c>
      <c r="Q68">
        <f t="shared" si="18"/>
        <v>647.00269306425525</v>
      </c>
      <c r="R68">
        <f t="shared" si="19"/>
        <v>0.10001657992892062</v>
      </c>
    </row>
    <row r="69" spans="1:18" x14ac:dyDescent="0.5">
      <c r="A69" s="115" t="s">
        <v>67</v>
      </c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>
        <f>SUM(Q54:Q68)</f>
        <v>6468.9543826040099</v>
      </c>
      <c r="R69">
        <f>SUM(R54:R68)</f>
        <v>1.0000000000000002</v>
      </c>
    </row>
    <row r="72" spans="1:18" x14ac:dyDescent="0.5">
      <c r="A72" s="72" t="s">
        <v>82</v>
      </c>
    </row>
    <row r="73" spans="1:18" x14ac:dyDescent="0.5">
      <c r="A73" s="63" t="s">
        <v>21</v>
      </c>
      <c r="B73" s="2" t="s">
        <v>4</v>
      </c>
      <c r="C73" s="2" t="s">
        <v>5</v>
      </c>
      <c r="D73" s="2" t="s">
        <v>6</v>
      </c>
      <c r="E73" s="2" t="s">
        <v>7</v>
      </c>
      <c r="F73" s="2" t="s">
        <v>8</v>
      </c>
      <c r="G73" s="2" t="s">
        <v>9</v>
      </c>
      <c r="H73" s="2" t="s">
        <v>10</v>
      </c>
      <c r="I73" s="2" t="s">
        <v>11</v>
      </c>
      <c r="J73" s="2" t="s">
        <v>12</v>
      </c>
      <c r="K73" s="2" t="s">
        <v>13</v>
      </c>
      <c r="L73" s="2" t="s">
        <v>14</v>
      </c>
      <c r="M73" s="2" t="s">
        <v>15</v>
      </c>
      <c r="N73" s="2" t="s">
        <v>16</v>
      </c>
      <c r="O73" s="2" t="s">
        <v>17</v>
      </c>
      <c r="P73" s="2" t="s">
        <v>18</v>
      </c>
      <c r="Q73" s="75" t="s">
        <v>80</v>
      </c>
      <c r="R73" s="75" t="s">
        <v>81</v>
      </c>
    </row>
    <row r="74" spans="1:18" x14ac:dyDescent="0.5">
      <c r="A74" s="2" t="s">
        <v>4</v>
      </c>
      <c r="B74" s="3">
        <f t="array" ref="B74:P88">MMULT(B54:P68,B54:P68)</f>
        <v>4971.5532566226702</v>
      </c>
      <c r="C74" s="3">
        <v>13364.212825342911</v>
      </c>
      <c r="D74" s="3">
        <v>9324.9679267370411</v>
      </c>
      <c r="E74" s="3">
        <v>4226.221662596633</v>
      </c>
      <c r="F74" s="3">
        <v>1368.7147462284443</v>
      </c>
      <c r="G74" s="3">
        <v>4907.3453337432238</v>
      </c>
      <c r="H74" s="3">
        <v>10151.262648046544</v>
      </c>
      <c r="I74" s="3">
        <v>7495.8303433461861</v>
      </c>
      <c r="J74" s="3">
        <v>1789.4851046343294</v>
      </c>
      <c r="K74" s="3">
        <v>8910.7828958890041</v>
      </c>
      <c r="L74" s="3">
        <v>2979.9481114563469</v>
      </c>
      <c r="M74" s="3">
        <v>6774.3118844577057</v>
      </c>
      <c r="N74" s="3">
        <v>4478.5262867341553</v>
      </c>
      <c r="O74" s="3">
        <v>3802.7783114606691</v>
      </c>
      <c r="P74" s="3">
        <v>2774.273223064316</v>
      </c>
      <c r="Q74">
        <f>SUM(B74:P74)</f>
        <v>87320.214560360197</v>
      </c>
      <c r="R74">
        <f>Q74/$Q$89</f>
        <v>4.7405821314749824E-2</v>
      </c>
    </row>
    <row r="75" spans="1:18" x14ac:dyDescent="0.5">
      <c r="A75" s="2" t="s">
        <v>5</v>
      </c>
      <c r="B75" s="3">
        <v>2392.435941798848</v>
      </c>
      <c r="C75" s="3">
        <v>6485.778279324657</v>
      </c>
      <c r="D75" s="3">
        <v>4503.69358434267</v>
      </c>
      <c r="E75" s="3">
        <v>2039.9369413353597</v>
      </c>
      <c r="F75" s="3">
        <v>659.98554030971445</v>
      </c>
      <c r="G75" s="3">
        <v>2364.0237535019155</v>
      </c>
      <c r="H75" s="3">
        <v>4900.959207121231</v>
      </c>
      <c r="I75" s="3">
        <v>3622.8950667114832</v>
      </c>
      <c r="J75" s="3">
        <v>863.9257215119635</v>
      </c>
      <c r="K75" s="3">
        <v>4294.5817366159672</v>
      </c>
      <c r="L75" s="3">
        <v>1424.0576609615225</v>
      </c>
      <c r="M75" s="3">
        <v>3226.3815110669047</v>
      </c>
      <c r="N75" s="3">
        <v>2155.4135264208253</v>
      </c>
      <c r="O75" s="3">
        <v>1830.8047987997152</v>
      </c>
      <c r="P75" s="3">
        <v>1337.3593554199688</v>
      </c>
      <c r="Q75">
        <f t="shared" ref="Q75:Q88" si="20">SUM(B75:P75)</f>
        <v>42102.232625242737</v>
      </c>
      <c r="R75">
        <f t="shared" ref="R75:R88" si="21">Q75/$Q$89</f>
        <v>2.2857146272867043E-2</v>
      </c>
    </row>
    <row r="76" spans="1:18" x14ac:dyDescent="0.5">
      <c r="A76" s="2" t="s">
        <v>6</v>
      </c>
      <c r="B76" s="3">
        <v>2870.085910099353</v>
      </c>
      <c r="C76" s="3">
        <v>7724.938335195031</v>
      </c>
      <c r="D76" s="3">
        <v>5458.7185015200594</v>
      </c>
      <c r="E76" s="3">
        <v>2451.4453088161254</v>
      </c>
      <c r="F76" s="3">
        <v>790.12440301956894</v>
      </c>
      <c r="G76" s="3">
        <v>2852.4071862553233</v>
      </c>
      <c r="H76" s="3">
        <v>5875.7412686349035</v>
      </c>
      <c r="I76" s="3">
        <v>4347.3714507574505</v>
      </c>
      <c r="J76" s="3">
        <v>1039.7301963762393</v>
      </c>
      <c r="K76" s="3">
        <v>5181.330036960092</v>
      </c>
      <c r="L76" s="3">
        <v>1737.5974843701958</v>
      </c>
      <c r="M76" s="3">
        <v>3992.9209644360863</v>
      </c>
      <c r="N76" s="3">
        <v>2608.3671469337514</v>
      </c>
      <c r="O76" s="3">
        <v>2193.3609437022687</v>
      </c>
      <c r="P76" s="3">
        <v>1639.1517864326797</v>
      </c>
      <c r="Q76">
        <f t="shared" si="20"/>
        <v>50763.290923509136</v>
      </c>
      <c r="R76">
        <f t="shared" si="21"/>
        <v>2.7559202768621886E-2</v>
      </c>
    </row>
    <row r="77" spans="1:18" x14ac:dyDescent="0.5">
      <c r="A77" s="2" t="s">
        <v>7</v>
      </c>
      <c r="B77" s="3">
        <v>5700.3429283037995</v>
      </c>
      <c r="C77" s="3">
        <v>15316.982564330865</v>
      </c>
      <c r="D77" s="3">
        <v>10748.953417714933</v>
      </c>
      <c r="E77" s="3">
        <v>4857.9372478435844</v>
      </c>
      <c r="F77" s="3">
        <v>1571.5191290167302</v>
      </c>
      <c r="G77" s="3">
        <v>5643.3116755179435</v>
      </c>
      <c r="H77" s="3">
        <v>11648.945013952174</v>
      </c>
      <c r="I77" s="3">
        <v>8608.0237881296016</v>
      </c>
      <c r="J77" s="3">
        <v>2057.1585698543031</v>
      </c>
      <c r="K77" s="3">
        <v>10244.546148795094</v>
      </c>
      <c r="L77" s="3">
        <v>3432.3144092454522</v>
      </c>
      <c r="M77" s="3">
        <v>7834.4148944784947</v>
      </c>
      <c r="N77" s="3">
        <v>5150.3885806878088</v>
      </c>
      <c r="O77" s="3">
        <v>4356.6169284002535</v>
      </c>
      <c r="P77" s="3">
        <v>3209.34998746665</v>
      </c>
      <c r="Q77">
        <f t="shared" si="20"/>
        <v>100380.80528373767</v>
      </c>
      <c r="R77">
        <f t="shared" si="21"/>
        <v>5.4496367681530967E-2</v>
      </c>
    </row>
    <row r="78" spans="1:18" x14ac:dyDescent="0.5">
      <c r="A78" s="2" t="s">
        <v>8</v>
      </c>
      <c r="B78" s="3">
        <v>21649.807901629432</v>
      </c>
      <c r="C78" s="3">
        <v>57687.012701384301</v>
      </c>
      <c r="D78" s="3">
        <v>40325.008292771228</v>
      </c>
      <c r="E78" s="3">
        <v>18331.073266107895</v>
      </c>
      <c r="F78" s="3">
        <v>6026.6707463317789</v>
      </c>
      <c r="G78" s="3">
        <v>21410.582992605639</v>
      </c>
      <c r="H78" s="3">
        <v>43982.542765691185</v>
      </c>
      <c r="I78" s="3">
        <v>32304.31993657268</v>
      </c>
      <c r="J78" s="3">
        <v>7841.9453445538311</v>
      </c>
      <c r="K78" s="3">
        <v>38784.070973135771</v>
      </c>
      <c r="L78" s="3">
        <v>13099.294269753158</v>
      </c>
      <c r="M78" s="3">
        <v>29996.638957114195</v>
      </c>
      <c r="N78" s="3">
        <v>19742.730507253098</v>
      </c>
      <c r="O78" s="3">
        <v>16737.546729392256</v>
      </c>
      <c r="P78" s="3">
        <v>12083.766600873612</v>
      </c>
      <c r="Q78">
        <f t="shared" si="20"/>
        <v>380003.01198517001</v>
      </c>
      <c r="R78">
        <f t="shared" si="21"/>
        <v>0.20630222882449817</v>
      </c>
    </row>
    <row r="79" spans="1:18" x14ac:dyDescent="0.5">
      <c r="A79" s="2" t="s">
        <v>9</v>
      </c>
      <c r="B79" s="3">
        <v>4676.9047570696921</v>
      </c>
      <c r="C79" s="3">
        <v>12546.685156427811</v>
      </c>
      <c r="D79" s="3">
        <v>8820.7883625700961</v>
      </c>
      <c r="E79" s="3">
        <v>3978.1262205919506</v>
      </c>
      <c r="F79" s="3">
        <v>1291.3430539067469</v>
      </c>
      <c r="G79" s="3">
        <v>4638.6576957095394</v>
      </c>
      <c r="H79" s="3">
        <v>9540.180328970202</v>
      </c>
      <c r="I79" s="3">
        <v>7040.5221795078814</v>
      </c>
      <c r="J79" s="3">
        <v>1687.8746941167933</v>
      </c>
      <c r="K79" s="3">
        <v>8406.4804070071168</v>
      </c>
      <c r="L79" s="3">
        <v>2827.8421578269736</v>
      </c>
      <c r="M79" s="3">
        <v>6496.1346410863398</v>
      </c>
      <c r="N79" s="3">
        <v>4251.1502787344825</v>
      </c>
      <c r="O79" s="3">
        <v>3582.454236302427</v>
      </c>
      <c r="P79" s="3">
        <v>2646.0175856683732</v>
      </c>
      <c r="Q79">
        <f t="shared" si="20"/>
        <v>82431.161755496418</v>
      </c>
      <c r="R79">
        <f t="shared" si="21"/>
        <v>4.475157264125925E-2</v>
      </c>
    </row>
    <row r="80" spans="1:18" x14ac:dyDescent="0.5">
      <c r="A80" s="2" t="s">
        <v>10</v>
      </c>
      <c r="B80" s="3">
        <v>2431.7912231812602</v>
      </c>
      <c r="C80" s="3">
        <v>6555.9443333037507</v>
      </c>
      <c r="D80" s="3">
        <v>4577.6648562680775</v>
      </c>
      <c r="E80" s="3">
        <v>2071.025672772324</v>
      </c>
      <c r="F80" s="3">
        <v>668.70966875972192</v>
      </c>
      <c r="G80" s="3">
        <v>2401.6828930479423</v>
      </c>
      <c r="H80" s="3">
        <v>4975.9758463962962</v>
      </c>
      <c r="I80" s="3">
        <v>3677.5461257464194</v>
      </c>
      <c r="J80" s="3">
        <v>875.06250274062586</v>
      </c>
      <c r="K80" s="3">
        <v>4362.0103478227993</v>
      </c>
      <c r="L80" s="3">
        <v>1454.3706353872108</v>
      </c>
      <c r="M80" s="3">
        <v>3303.6813909608454</v>
      </c>
      <c r="N80" s="3">
        <v>2186.4066585290952</v>
      </c>
      <c r="O80" s="3">
        <v>1859.4811417041315</v>
      </c>
      <c r="P80" s="3">
        <v>1359.7303024010976</v>
      </c>
      <c r="Q80">
        <f t="shared" si="20"/>
        <v>42761.0835990216</v>
      </c>
      <c r="R80">
        <f t="shared" si="21"/>
        <v>2.321483402813956E-2</v>
      </c>
    </row>
    <row r="81" spans="1:18" x14ac:dyDescent="0.5">
      <c r="A81" s="2" t="s">
        <v>11</v>
      </c>
      <c r="B81" s="3">
        <v>3574.3672155119871</v>
      </c>
      <c r="C81" s="3">
        <v>9656.753334252644</v>
      </c>
      <c r="D81" s="3">
        <v>6769.0400935197786</v>
      </c>
      <c r="E81" s="3">
        <v>3046.049745995007</v>
      </c>
      <c r="F81" s="3">
        <v>973.79730311021956</v>
      </c>
      <c r="G81" s="3">
        <v>3532.8880264007789</v>
      </c>
      <c r="H81" s="3">
        <v>7321.1425967124251</v>
      </c>
      <c r="I81" s="3">
        <v>5430.4331364939499</v>
      </c>
      <c r="J81" s="3">
        <v>1285.9853939582756</v>
      </c>
      <c r="K81" s="3">
        <v>6434.061338402289</v>
      </c>
      <c r="L81" s="3">
        <v>2145.0250543130833</v>
      </c>
      <c r="M81" s="3">
        <v>4886.4922314044807</v>
      </c>
      <c r="N81" s="3">
        <v>3215.6033816552103</v>
      </c>
      <c r="O81" s="3">
        <v>2712.7140700157815</v>
      </c>
      <c r="P81" s="3">
        <v>2018.7089585287429</v>
      </c>
      <c r="Q81">
        <f t="shared" si="20"/>
        <v>63003.061880274647</v>
      </c>
      <c r="R81">
        <f t="shared" si="21"/>
        <v>3.4204129121944128E-2</v>
      </c>
    </row>
    <row r="82" spans="1:18" x14ac:dyDescent="0.5">
      <c r="A82" s="2" t="s">
        <v>12</v>
      </c>
      <c r="B82" s="3">
        <v>14465.807985940379</v>
      </c>
      <c r="C82" s="3">
        <v>38758.858966389445</v>
      </c>
      <c r="D82" s="3">
        <v>27216.147047178099</v>
      </c>
      <c r="E82" s="3">
        <v>12304.501337862859</v>
      </c>
      <c r="F82" s="3">
        <v>3993.6793383705667</v>
      </c>
      <c r="G82" s="3">
        <v>14328.585976043398</v>
      </c>
      <c r="H82" s="3">
        <v>29501.150297765471</v>
      </c>
      <c r="I82" s="3">
        <v>21781.836925669992</v>
      </c>
      <c r="J82" s="3">
        <v>5251.8626066374409</v>
      </c>
      <c r="K82" s="3">
        <v>26052.817431067713</v>
      </c>
      <c r="L82" s="3">
        <v>8759.0376199014936</v>
      </c>
      <c r="M82" s="3">
        <v>20040.343117436598</v>
      </c>
      <c r="N82" s="3">
        <v>13169.625964519677</v>
      </c>
      <c r="O82" s="3">
        <v>11085.307494117109</v>
      </c>
      <c r="P82" s="3">
        <v>8177.6290197851449</v>
      </c>
      <c r="Q82">
        <f t="shared" si="20"/>
        <v>254887.19112868543</v>
      </c>
      <c r="R82">
        <f t="shared" si="21"/>
        <v>0.13837731273223644</v>
      </c>
    </row>
    <row r="83" spans="1:18" x14ac:dyDescent="0.5">
      <c r="A83" s="2" t="s">
        <v>13</v>
      </c>
      <c r="B83" s="3">
        <v>2644.67450445438</v>
      </c>
      <c r="C83" s="3">
        <v>7116.6888161283805</v>
      </c>
      <c r="D83" s="3">
        <v>5013.2330667786491</v>
      </c>
      <c r="E83" s="3">
        <v>2251.9969874577614</v>
      </c>
      <c r="F83" s="3">
        <v>721.49463251418285</v>
      </c>
      <c r="G83" s="3">
        <v>2620.0210908306631</v>
      </c>
      <c r="H83" s="3">
        <v>5405.2051531751085</v>
      </c>
      <c r="I83" s="3">
        <v>4008.1513318098773</v>
      </c>
      <c r="J83" s="3">
        <v>955.73153378291147</v>
      </c>
      <c r="K83" s="3">
        <v>4773.3439449704147</v>
      </c>
      <c r="L83" s="3">
        <v>1601.0537407328584</v>
      </c>
      <c r="M83" s="3">
        <v>3670.2677823483536</v>
      </c>
      <c r="N83" s="3">
        <v>2398.0270557639183</v>
      </c>
      <c r="O83" s="3">
        <v>2007.1968519011032</v>
      </c>
      <c r="P83" s="3">
        <v>1506.6260425617065</v>
      </c>
      <c r="Q83">
        <f t="shared" si="20"/>
        <v>46693.712535210274</v>
      </c>
      <c r="R83">
        <f t="shared" si="21"/>
        <v>2.5349843723028769E-2</v>
      </c>
    </row>
    <row r="84" spans="1:18" x14ac:dyDescent="0.5">
      <c r="A84" s="2" t="s">
        <v>14</v>
      </c>
      <c r="B84" s="3">
        <v>8309.3536616670917</v>
      </c>
      <c r="C84" s="3">
        <v>22259.522491850974</v>
      </c>
      <c r="D84" s="3">
        <v>15705.236770642141</v>
      </c>
      <c r="E84" s="3">
        <v>7064.1747123316563</v>
      </c>
      <c r="F84" s="3">
        <v>2275.858144420848</v>
      </c>
      <c r="G84" s="3">
        <v>8237.1634084903835</v>
      </c>
      <c r="H84" s="3">
        <v>16939.669095608238</v>
      </c>
      <c r="I84" s="3">
        <v>12537.620376808904</v>
      </c>
      <c r="J84" s="3">
        <v>3002.1568427074135</v>
      </c>
      <c r="K84" s="3">
        <v>14979.494615527305</v>
      </c>
      <c r="L84" s="3">
        <v>5050.2118654008755</v>
      </c>
      <c r="M84" s="3">
        <v>11616.028739748814</v>
      </c>
      <c r="N84" s="3">
        <v>7556.0271785706536</v>
      </c>
      <c r="O84" s="3">
        <v>6319.5487758906847</v>
      </c>
      <c r="P84" s="3">
        <v>4728.474168300555</v>
      </c>
      <c r="Q84">
        <f t="shared" si="20"/>
        <v>146580.54084796653</v>
      </c>
      <c r="R84">
        <f t="shared" si="21"/>
        <v>7.957803313521114E-2</v>
      </c>
    </row>
    <row r="85" spans="1:18" x14ac:dyDescent="0.5">
      <c r="A85" s="2" t="s">
        <v>15</v>
      </c>
      <c r="B85" s="3">
        <v>5130.0529314416599</v>
      </c>
      <c r="C85" s="3">
        <v>13729.303783847619</v>
      </c>
      <c r="D85" s="3">
        <v>9720.0705009655758</v>
      </c>
      <c r="E85" s="3">
        <v>4352.3356233531667</v>
      </c>
      <c r="F85" s="3">
        <v>1411.3871060728045</v>
      </c>
      <c r="G85" s="3">
        <v>5100.5996806866933</v>
      </c>
      <c r="H85" s="3">
        <v>10444.577720365522</v>
      </c>
      <c r="I85" s="3">
        <v>7705.5969873843542</v>
      </c>
      <c r="J85" s="3">
        <v>1852.202709099935</v>
      </c>
      <c r="K85" s="3">
        <v>9242.7058479542175</v>
      </c>
      <c r="L85" s="3">
        <v>3129.2742132497879</v>
      </c>
      <c r="M85" s="3">
        <v>7267.9573653533271</v>
      </c>
      <c r="N85" s="3">
        <v>4695.1455935446584</v>
      </c>
      <c r="O85" s="3">
        <v>3926.4692636450336</v>
      </c>
      <c r="P85" s="3">
        <v>2941.8946751576136</v>
      </c>
      <c r="Q85">
        <f t="shared" si="20"/>
        <v>90649.574002121997</v>
      </c>
      <c r="R85">
        <f t="shared" si="21"/>
        <v>4.9213318233800964E-2</v>
      </c>
    </row>
    <row r="86" spans="1:18" x14ac:dyDescent="0.5">
      <c r="A86" s="2" t="s">
        <v>16</v>
      </c>
      <c r="B86" s="3">
        <v>6139.3118786557552</v>
      </c>
      <c r="C86" s="3">
        <v>16364.931347131511</v>
      </c>
      <c r="D86" s="3">
        <v>11424.29956852505</v>
      </c>
      <c r="E86" s="3">
        <v>5184.558475477018</v>
      </c>
      <c r="F86" s="3">
        <v>1699.2715186376718</v>
      </c>
      <c r="G86" s="3">
        <v>6064.9430332004413</v>
      </c>
      <c r="H86" s="3">
        <v>12464.933987344906</v>
      </c>
      <c r="I86" s="3">
        <v>9160.6090631674197</v>
      </c>
      <c r="J86" s="3">
        <v>2219.1450086964487</v>
      </c>
      <c r="K86" s="3">
        <v>10997.133852131548</v>
      </c>
      <c r="L86" s="3">
        <v>3715.7043538804546</v>
      </c>
      <c r="M86" s="3">
        <v>8518.9818150160863</v>
      </c>
      <c r="N86" s="3">
        <v>5605.6686836480994</v>
      </c>
      <c r="O86" s="3">
        <v>4743.3870664712704</v>
      </c>
      <c r="P86" s="3">
        <v>3427.9358020195214</v>
      </c>
      <c r="Q86">
        <f t="shared" si="20"/>
        <v>107730.8154540032</v>
      </c>
      <c r="R86">
        <f t="shared" si="21"/>
        <v>5.848666100075256E-2</v>
      </c>
    </row>
    <row r="87" spans="1:18" x14ac:dyDescent="0.5">
      <c r="A87" s="2" t="s">
        <v>17</v>
      </c>
      <c r="B87" s="3">
        <v>9192.9278686123471</v>
      </c>
      <c r="C87" s="3">
        <v>24507.795088443039</v>
      </c>
      <c r="D87" s="3">
        <v>17115.545778746811</v>
      </c>
      <c r="E87" s="3">
        <v>7785.2352473471874</v>
      </c>
      <c r="F87" s="3">
        <v>2567.6971848949861</v>
      </c>
      <c r="G87" s="3">
        <v>9088.7606051761431</v>
      </c>
      <c r="H87" s="3">
        <v>18711.927628404559</v>
      </c>
      <c r="I87" s="3">
        <v>13711.506801741678</v>
      </c>
      <c r="J87" s="3">
        <v>3336.9860483947859</v>
      </c>
      <c r="K87" s="3">
        <v>16460.845134029616</v>
      </c>
      <c r="L87" s="3">
        <v>5545.6008344814254</v>
      </c>
      <c r="M87" s="3">
        <v>12668.513801787356</v>
      </c>
      <c r="N87" s="3">
        <v>8393.656068374321</v>
      </c>
      <c r="O87" s="3">
        <v>7173.7615310351312</v>
      </c>
      <c r="P87" s="3">
        <v>5128.5130999011462</v>
      </c>
      <c r="Q87">
        <f t="shared" si="20"/>
        <v>161389.27272137054</v>
      </c>
      <c r="R87">
        <f t="shared" si="21"/>
        <v>8.7617638862512212E-2</v>
      </c>
    </row>
    <row r="88" spans="1:18" x14ac:dyDescent="0.5">
      <c r="A88" s="2" t="s">
        <v>18</v>
      </c>
      <c r="B88" s="3">
        <v>10479.492575450084</v>
      </c>
      <c r="C88" s="3">
        <v>28128.144891532593</v>
      </c>
      <c r="D88" s="3">
        <v>19897.8036673323</v>
      </c>
      <c r="E88" s="3">
        <v>8939.2333899581172</v>
      </c>
      <c r="F88" s="3">
        <v>2879.4973218081391</v>
      </c>
      <c r="G88" s="3">
        <v>10412.620993526602</v>
      </c>
      <c r="H88" s="3">
        <v>21406.964150147331</v>
      </c>
      <c r="I88" s="3">
        <v>15850.143798613937</v>
      </c>
      <c r="J88" s="3">
        <v>3797.747422031769</v>
      </c>
      <c r="K88" s="3">
        <v>18929.584957857671</v>
      </c>
      <c r="L88" s="3">
        <v>6371.0890857235208</v>
      </c>
      <c r="M88" s="3">
        <v>14662.37589069774</v>
      </c>
      <c r="N88" s="3">
        <v>9543.4636134070388</v>
      </c>
      <c r="O88" s="3">
        <v>7977.390957461007</v>
      </c>
      <c r="P88" s="3">
        <v>6000.8800761029061</v>
      </c>
      <c r="Q88">
        <f t="shared" si="20"/>
        <v>185276.43279165076</v>
      </c>
      <c r="R88">
        <f t="shared" si="21"/>
        <v>0.10058588965884718</v>
      </c>
    </row>
    <row r="89" spans="1:18" x14ac:dyDescent="0.5">
      <c r="A89" s="115" t="s">
        <v>67</v>
      </c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>
        <f>SUM(Q74:Q88)</f>
        <v>1841972.402093821</v>
      </c>
      <c r="R89">
        <f>SUM(R74:R88)</f>
        <v>0.99999999999999989</v>
      </c>
    </row>
    <row r="91" spans="1:18" x14ac:dyDescent="0.5">
      <c r="A91" s="72" t="s">
        <v>83</v>
      </c>
      <c r="B91" s="72"/>
      <c r="C91" s="72"/>
      <c r="D91" s="72"/>
      <c r="E91" s="72"/>
      <c r="F91" s="72"/>
      <c r="G91" s="72"/>
      <c r="H91" s="72"/>
    </row>
    <row r="92" spans="1:18" x14ac:dyDescent="0.5">
      <c r="A92" s="63" t="s">
        <v>21</v>
      </c>
      <c r="B92" s="73" t="s">
        <v>70</v>
      </c>
      <c r="C92" s="72"/>
      <c r="D92" s="76" t="s">
        <v>85</v>
      </c>
      <c r="E92" s="76"/>
      <c r="F92" s="76"/>
      <c r="G92" s="76"/>
      <c r="H92" s="76"/>
    </row>
    <row r="93" spans="1:18" x14ac:dyDescent="0.5">
      <c r="A93" s="2" t="s">
        <v>4</v>
      </c>
      <c r="B93" s="73">
        <f>R54-R74</f>
        <v>-1.4282541895204171E-3</v>
      </c>
      <c r="C93" s="72"/>
      <c r="D93" s="77" t="s">
        <v>86</v>
      </c>
      <c r="E93" s="77"/>
      <c r="F93" s="77"/>
      <c r="G93" s="77"/>
      <c r="H93" s="77"/>
    </row>
    <row r="94" spans="1:18" x14ac:dyDescent="0.5">
      <c r="A94" s="2" t="s">
        <v>5</v>
      </c>
      <c r="B94" s="73">
        <f t="shared" ref="B94:B107" si="22">R55-R75</f>
        <v>-1.2909940921471026E-3</v>
      </c>
      <c r="C94" s="72"/>
      <c r="D94" s="77"/>
      <c r="E94" s="77"/>
      <c r="F94" s="77"/>
      <c r="G94" s="77"/>
      <c r="H94" s="77"/>
    </row>
    <row r="95" spans="1:18" x14ac:dyDescent="0.5">
      <c r="A95" s="2" t="s">
        <v>6</v>
      </c>
      <c r="B95" s="73">
        <f t="shared" si="22"/>
        <v>-6.732043589263402E-4</v>
      </c>
      <c r="C95" s="72"/>
      <c r="D95" s="77"/>
      <c r="E95" s="77"/>
      <c r="F95" s="77"/>
      <c r="G95" s="77"/>
      <c r="H95" s="77"/>
    </row>
    <row r="96" spans="1:18" x14ac:dyDescent="0.5">
      <c r="A96" s="2" t="s">
        <v>7</v>
      </c>
      <c r="B96" s="73">
        <f t="shared" si="22"/>
        <v>-1.1341785979930574E-3</v>
      </c>
      <c r="C96" s="72"/>
      <c r="D96" s="77"/>
      <c r="E96" s="77"/>
      <c r="F96" s="77"/>
      <c r="G96" s="77"/>
      <c r="H96" s="77"/>
    </row>
    <row r="97" spans="1:8" x14ac:dyDescent="0.5">
      <c r="A97" s="2" t="s">
        <v>8</v>
      </c>
      <c r="B97" s="73">
        <f t="shared" si="22"/>
        <v>5.8545731013670554E-3</v>
      </c>
      <c r="C97" s="72"/>
      <c r="D97" s="72"/>
      <c r="E97" s="72"/>
      <c r="F97" s="72"/>
      <c r="G97" s="72"/>
      <c r="H97" s="72"/>
    </row>
    <row r="98" spans="1:8" x14ac:dyDescent="0.5">
      <c r="A98" s="2" t="s">
        <v>9</v>
      </c>
      <c r="B98" s="73">
        <f t="shared" si="22"/>
        <v>-4.0413359172690455E-4</v>
      </c>
      <c r="D98" s="72"/>
      <c r="E98" s="72"/>
      <c r="F98" s="72"/>
      <c r="G98" s="72"/>
      <c r="H98" s="72"/>
    </row>
    <row r="99" spans="1:8" x14ac:dyDescent="0.5">
      <c r="A99" s="2" t="s">
        <v>10</v>
      </c>
      <c r="B99" s="73">
        <f t="shared" si="22"/>
        <v>-1.0732607243506692E-3</v>
      </c>
      <c r="D99" s="72"/>
      <c r="E99" s="72"/>
      <c r="F99" s="72"/>
      <c r="G99" s="72"/>
      <c r="H99" s="72"/>
    </row>
    <row r="100" spans="1:8" x14ac:dyDescent="0.5">
      <c r="A100" s="2" t="s">
        <v>11</v>
      </c>
      <c r="B100" s="73">
        <f t="shared" si="22"/>
        <v>-2.1112247331269152E-3</v>
      </c>
      <c r="D100" s="72"/>
      <c r="E100" s="72"/>
      <c r="F100" s="72"/>
      <c r="G100" s="72"/>
      <c r="H100" s="72"/>
    </row>
    <row r="101" spans="1:8" x14ac:dyDescent="0.5">
      <c r="A101" s="2" t="s">
        <v>12</v>
      </c>
      <c r="B101" s="73">
        <f t="shared" si="22"/>
        <v>7.112454330726603E-4</v>
      </c>
      <c r="D101" s="72"/>
      <c r="E101" s="72"/>
      <c r="F101" s="72"/>
      <c r="G101" s="72"/>
      <c r="H101" s="72"/>
    </row>
    <row r="102" spans="1:8" x14ac:dyDescent="0.5">
      <c r="A102" s="2" t="s">
        <v>13</v>
      </c>
      <c r="B102" s="73">
        <f t="shared" si="22"/>
        <v>-8.2058291242946557E-4</v>
      </c>
      <c r="D102" s="72"/>
      <c r="E102" s="72"/>
      <c r="F102" s="72"/>
      <c r="G102" s="72"/>
      <c r="H102" s="72"/>
    </row>
    <row r="103" spans="1:8" x14ac:dyDescent="0.5">
      <c r="A103" s="2" t="s">
        <v>14</v>
      </c>
      <c r="B103" s="73">
        <f t="shared" si="22"/>
        <v>-7.0279117420896098E-4</v>
      </c>
    </row>
    <row r="104" spans="1:8" x14ac:dyDescent="0.5">
      <c r="A104" s="2" t="s">
        <v>15</v>
      </c>
      <c r="B104" s="73">
        <f t="shared" si="22"/>
        <v>6.8897744318757725E-5</v>
      </c>
    </row>
    <row r="105" spans="1:8" x14ac:dyDescent="0.5">
      <c r="A105" s="2" t="s">
        <v>16</v>
      </c>
      <c r="B105" s="73">
        <f t="shared" si="22"/>
        <v>9.7948476790178651E-4</v>
      </c>
    </row>
    <row r="106" spans="1:8" x14ac:dyDescent="0.5">
      <c r="A106" s="2" t="s">
        <v>17</v>
      </c>
      <c r="B106" s="73">
        <f t="shared" si="22"/>
        <v>2.5937330576961404E-3</v>
      </c>
    </row>
    <row r="107" spans="1:8" x14ac:dyDescent="0.5">
      <c r="A107" s="2" t="s">
        <v>18</v>
      </c>
      <c r="B107" s="73">
        <f t="shared" si="22"/>
        <v>-5.6930972992656759E-4</v>
      </c>
    </row>
    <row r="109" spans="1:8" x14ac:dyDescent="0.5">
      <c r="A109" s="63" t="s">
        <v>21</v>
      </c>
      <c r="B109" s="73" t="s">
        <v>88</v>
      </c>
      <c r="C109" s="73" t="s">
        <v>89</v>
      </c>
    </row>
    <row r="110" spans="1:8" x14ac:dyDescent="0.5">
      <c r="A110" s="2" t="s">
        <v>4</v>
      </c>
      <c r="B110" s="73">
        <f>_xlfn.RANK.EQ(C110,$C$110:$C$124,0)</f>
        <v>9</v>
      </c>
      <c r="C110" s="74">
        <f>R74</f>
        <v>4.7405821314749824E-2</v>
      </c>
    </row>
    <row r="111" spans="1:8" x14ac:dyDescent="0.5">
      <c r="A111" s="2" t="s">
        <v>5</v>
      </c>
      <c r="B111" s="73">
        <f t="shared" ref="B111:B124" si="23">_xlfn.RANK.EQ(C111,$C$110:$C$124,0)</f>
        <v>15</v>
      </c>
      <c r="C111" s="74">
        <f t="shared" ref="C111:C124" si="24">R75</f>
        <v>2.2857146272867043E-2</v>
      </c>
    </row>
    <row r="112" spans="1:8" x14ac:dyDescent="0.5">
      <c r="A112" s="2" t="s">
        <v>6</v>
      </c>
      <c r="B112" s="73">
        <f t="shared" si="23"/>
        <v>12</v>
      </c>
      <c r="C112" s="74">
        <f t="shared" si="24"/>
        <v>2.7559202768621886E-2</v>
      </c>
    </row>
    <row r="113" spans="1:3" x14ac:dyDescent="0.5">
      <c r="A113" s="2" t="s">
        <v>7</v>
      </c>
      <c r="B113" s="73">
        <f t="shared" si="23"/>
        <v>7</v>
      </c>
      <c r="C113" s="74">
        <f t="shared" si="24"/>
        <v>5.4496367681530967E-2</v>
      </c>
    </row>
    <row r="114" spans="1:3" x14ac:dyDescent="0.5">
      <c r="A114" s="2" t="s">
        <v>8</v>
      </c>
      <c r="B114" s="73">
        <f t="shared" si="23"/>
        <v>1</v>
      </c>
      <c r="C114" s="74">
        <f t="shared" si="24"/>
        <v>0.20630222882449817</v>
      </c>
    </row>
    <row r="115" spans="1:3" x14ac:dyDescent="0.5">
      <c r="A115" s="2" t="s">
        <v>9</v>
      </c>
      <c r="B115" s="73">
        <f t="shared" si="23"/>
        <v>10</v>
      </c>
      <c r="C115" s="74">
        <f t="shared" si="24"/>
        <v>4.475157264125925E-2</v>
      </c>
    </row>
    <row r="116" spans="1:3" x14ac:dyDescent="0.5">
      <c r="A116" s="2" t="s">
        <v>10</v>
      </c>
      <c r="B116" s="73">
        <f t="shared" si="23"/>
        <v>14</v>
      </c>
      <c r="C116" s="74">
        <f t="shared" si="24"/>
        <v>2.321483402813956E-2</v>
      </c>
    </row>
    <row r="117" spans="1:3" x14ac:dyDescent="0.5">
      <c r="A117" s="2" t="s">
        <v>11</v>
      </c>
      <c r="B117" s="73">
        <f t="shared" si="23"/>
        <v>11</v>
      </c>
      <c r="C117" s="74">
        <f t="shared" si="24"/>
        <v>3.4204129121944128E-2</v>
      </c>
    </row>
    <row r="118" spans="1:3" x14ac:dyDescent="0.5">
      <c r="A118" s="2" t="s">
        <v>12</v>
      </c>
      <c r="B118" s="73">
        <f t="shared" si="23"/>
        <v>2</v>
      </c>
      <c r="C118" s="74">
        <f t="shared" si="24"/>
        <v>0.13837731273223644</v>
      </c>
    </row>
    <row r="119" spans="1:3" x14ac:dyDescent="0.5">
      <c r="A119" s="2" t="s">
        <v>13</v>
      </c>
      <c r="B119" s="73">
        <f t="shared" si="23"/>
        <v>13</v>
      </c>
      <c r="C119" s="74">
        <f t="shared" si="24"/>
        <v>2.5349843723028769E-2</v>
      </c>
    </row>
    <row r="120" spans="1:3" x14ac:dyDescent="0.5">
      <c r="A120" s="2" t="s">
        <v>14</v>
      </c>
      <c r="B120" s="73">
        <f t="shared" si="23"/>
        <v>5</v>
      </c>
      <c r="C120" s="74">
        <f t="shared" si="24"/>
        <v>7.957803313521114E-2</v>
      </c>
    </row>
    <row r="121" spans="1:3" x14ac:dyDescent="0.5">
      <c r="A121" s="2" t="s">
        <v>15</v>
      </c>
      <c r="B121" s="73">
        <f t="shared" si="23"/>
        <v>8</v>
      </c>
      <c r="C121" s="74">
        <f t="shared" si="24"/>
        <v>4.9213318233800964E-2</v>
      </c>
    </row>
    <row r="122" spans="1:3" x14ac:dyDescent="0.5">
      <c r="A122" s="2" t="s">
        <v>16</v>
      </c>
      <c r="B122" s="73">
        <f t="shared" si="23"/>
        <v>6</v>
      </c>
      <c r="C122" s="74">
        <f t="shared" si="24"/>
        <v>5.848666100075256E-2</v>
      </c>
    </row>
    <row r="123" spans="1:3" x14ac:dyDescent="0.5">
      <c r="A123" s="2" t="s">
        <v>17</v>
      </c>
      <c r="B123" s="73">
        <f t="shared" si="23"/>
        <v>4</v>
      </c>
      <c r="C123" s="74">
        <f t="shared" si="24"/>
        <v>8.7617638862512212E-2</v>
      </c>
    </row>
    <row r="124" spans="1:3" x14ac:dyDescent="0.5">
      <c r="A124" s="2" t="s">
        <v>18</v>
      </c>
      <c r="B124" s="73">
        <f t="shared" si="23"/>
        <v>3</v>
      </c>
      <c r="C124" s="74">
        <f t="shared" si="24"/>
        <v>0.10058588965884718</v>
      </c>
    </row>
  </sheetData>
  <mergeCells count="6">
    <mergeCell ref="D93:H96"/>
    <mergeCell ref="C40:C44"/>
    <mergeCell ref="A47:P47"/>
    <mergeCell ref="A69:P69"/>
    <mergeCell ref="A89:P89"/>
    <mergeCell ref="D92:H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Ranking (DPRD)</vt:lpstr>
      <vt:lpstr>Ranking (Jefri)</vt:lpstr>
      <vt:lpstr>Ranking (Jhon)</vt:lpstr>
      <vt:lpstr>AHP (Jhon)</vt:lpstr>
      <vt:lpstr>AHP (Jefri)</vt:lpstr>
      <vt:lpstr>AHP (DPRD)</vt:lpstr>
      <vt:lpstr>Pairw Comp Matrix</vt:lpstr>
      <vt:lpstr>PERBANDINGAN KRITERIA</vt:lpstr>
      <vt:lpstr>PERSENTASE KERUSAKAN GEDUNG</vt:lpstr>
      <vt:lpstr>LOKASI GEDUNG</vt:lpstr>
      <vt:lpstr>USIA BANGUNAN</vt:lpstr>
      <vt:lpstr>JUMLAH SISWA</vt:lpstr>
      <vt:lpstr>OLAH DATA KRITERIA</vt:lpstr>
      <vt:lpstr>NORMALISASI % KERUSAKAN GEDUNG</vt:lpstr>
      <vt:lpstr>AHP &amp; Rank (% Kerusakan)</vt:lpstr>
      <vt:lpstr>NORMALISASI LOKASI GEDUNG</vt:lpstr>
      <vt:lpstr>AHP &amp; Rank (Lokasi Gedung)</vt:lpstr>
      <vt:lpstr>NORMALISASI USIA BANGUNAN</vt:lpstr>
      <vt:lpstr>AHP &amp; Rank (Usia Gedung)</vt:lpstr>
      <vt:lpstr>NORMALISASI JUMLAH SISWA</vt:lpstr>
      <vt:lpstr>AHP &amp; Rank (Jumlah Siswa)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Ivena Neysa Abigail</dc:creator>
  <cp:lastModifiedBy>Juli Yandi Rahman</cp:lastModifiedBy>
  <dcterms:created xsi:type="dcterms:W3CDTF">2025-10-05T14:18:08Z</dcterms:created>
  <dcterms:modified xsi:type="dcterms:W3CDTF">2025-10-14T07:54:43Z</dcterms:modified>
</cp:coreProperties>
</file>